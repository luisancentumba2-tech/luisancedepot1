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0" yWindow="0" windowWidth="23040" windowHeight="8496" tabRatio="500" firstSheet="0" activeTab="0" autoFilterDateGrouping="1"/>
  </bookViews>
  <sheets>
    <sheet name="PARAMETRES" sheetId="1" state="visible" r:id="rId1"/>
    <sheet name="EMPLOYES" sheetId="2" state="visible" r:id="rId2"/>
    <sheet name="VARIABLES" sheetId="3" state="visible" r:id="rId3"/>
    <sheet name="BULLETIN" sheetId="4" state="visible" r:id="rId4"/>
    <sheet name="JOURNAL" sheetId="5" state="visible" r:id="rId5"/>
    <sheet name="DECLARATIONS" sheetId="6" state="visible" r:id="rId6"/>
    <sheet name="DASHBOARD_RH" sheetId="7" state="visible" r:id="rId7"/>
    <sheet name="HISTORIQUE" sheetId="8" state="visible" r:id="rId8"/>
  </sheets>
  <definedNames>
    <definedName name="allocation_familiale_enfant">PARAMETRES!$C$164</definedName>
    <definedName name="annee_courante">PARAMETRES!$C$29</definedName>
    <definedName name="bul_brut">BULLETIN!$C$36</definedName>
    <definedName name="bul_matricule_selection">BULLETIN!$C$5</definedName>
    <definedName name="bul_net_a_payer">BULLETIN!$C$45</definedName>
    <definedName name="contrevaleur_logement">PARAMETRES!$C$165</definedName>
    <definedName name="dash_total_annuel_brut">DASHBOARD_RH!$D$73</definedName>
    <definedName name="dash_total_annuel_net">DASHBOARD_RH!$E$73</definedName>
    <definedName name="decl_total_general">DECLARATIONS!$C$37</definedName>
    <definedName name="emp_effectif_actif">EMPLOYES!$C$5</definedName>
    <definedName name="emp_enfants">EMPLOYES!$O$15:$O$74</definedName>
    <definedName name="emp_matricule">EMPLOYES!$C$15:$C$74</definedName>
    <definedName name="emp_regime">EMPLOYES!$M$15:$M$74</definedName>
    <definedName name="emp_salaire">EMPLOYES!$P$15:$P$74</definedName>
    <definedName name="emp_sexe">EMPLOYES!$E$15:$E$74</definedName>
    <definedName name="emp_statut">EMPLOYES!$T$15:$T$74</definedName>
    <definedName name="grille_tension_categorie">PARAMETRES!$C$240:$C$256</definedName>
    <definedName name="grille_tension_echelon">PARAMETRES!$D$240:$D$256</definedName>
    <definedName name="grille_tension_label">PARAMETRES!$H$240:$H$256</definedName>
    <definedName name="grille_tension_valeur">PARAMETRES!$E$240:$E$256</definedName>
    <definedName name="heures_par_jour">PARAMETRES!$C$221</definedName>
    <definedName name="ipr_plafond_pct">PARAMETRES!$C$195</definedName>
    <definedName name="ipr_plancher">PARAMETRES!$C$194</definedName>
    <definedName name="ipr_reduction_famille">PARAMETRES!$C$196</definedName>
    <definedName name="ipr_t1_sup_mensuel">PARAMETRES!$E$189</definedName>
    <definedName name="ipr_t2_sup_mensuel">PARAMETRES!$E$190</definedName>
    <definedName name="ipr_t3_sup_mensuel">PARAMETRES!$E$191</definedName>
    <definedName name="ipr_taux1">PARAMETRES!$F$189</definedName>
    <definedName name="ipr_taux2">PARAMETRES!$F$190</definedName>
    <definedName name="ipr_taux3">PARAMETRES!$F$191</definedName>
    <definedName name="ipr_taux4">PARAMETRES!$F$192</definedName>
    <definedName name="jours_feries_dates_retenues">PARAMETRES!$G$200:$G$209</definedName>
    <definedName name="jours_ouvrables_5j_mois_courant">PARAMETRES!$C$34</definedName>
    <definedName name="jours_ouvrables_6j_mois_courant">PARAMETRES!$C$33</definedName>
    <definedName name="jours_smig_legal">26</definedName>
    <definedName name="jrn_total_brut">JOURNAL!$Q$67</definedName>
    <definedName name="jrn_total_cout_employeur">JOURNAL!$AB$67</definedName>
    <definedName name="jrn_total_net_a_payer">JOURNAL!$X$67</definedName>
    <definedName name="majoration_anciennete_conge">PARAMETRES!$C$231</definedName>
    <definedName name="mois_courant">PARAMETRES!$C$30</definedName>
    <definedName name="mois_courant_numero">PARAMETRES!$C$224</definedName>
    <definedName name="opt_arrondi">PARAMETRES!$C$24</definedName>
    <definedName name="opt_cnss_deductible_ipr">PARAMETRES!$C$25</definedName>
    <definedName name="opt_devise">PARAMETRES!$C$21</definedName>
    <definedName name="opt_taux_change">PARAMETRES!$C$22</definedName>
    <definedName name="seuil_alerte_avance">PARAMETRES!$C$218</definedName>
    <definedName name="smig_journalier">PARAMETRES!$C$161</definedName>
    <definedName name="smig_mensuel_5j">PARAMETRES!$C$163</definedName>
    <definedName name="smig_mensuel_6j">PARAMETRES!$C$162</definedName>
    <definedName name="soc_effectif">PARAMETRES!$C$17</definedName>
    <definedName name="soc_raison_sociale">PARAMETRES!$C$10</definedName>
    <definedName name="soc_type">PARAMETRES!$C$18</definedName>
    <definedName name="t_cnss_famille_employeur">PARAMETRES!$C$171</definedName>
    <definedName name="t_cnss_pension_employeur">PARAMETRES!$C$170</definedName>
    <definedName name="t_cnss_pension_salarie">PARAMETRES!$D$170</definedName>
    <definedName name="t_cnss_risques_employeur">PARAMETRES!$C$172</definedName>
    <definedName name="t_cnss_total_employeur">PARAMETRES!$C$173</definedName>
    <definedName name="t_cnss_total_salarie">PARAMETRES!$D$173</definedName>
    <definedName name="t_inpp_applicable">PARAMETRES!$C$182</definedName>
    <definedName name="t_onem">PARAMETRES!$C$185</definedName>
    <definedName name="taux_acquisition_conge">PARAMETRES!$C$230</definedName>
    <definedName name="taux_majoration_hs">PARAMETRES!$C$222</definedName>
    <definedName name="taux_majoration_hs_tier2">PARAMETRES!$C$227</definedName>
    <definedName name="taux_majoration_nuit">PARAMETRES!$C$234</definedName>
    <definedName name="taux_majoration_repos">PARAMETRES!$C$235</definedName>
  </definedNames>
  <calcPr calcId="162913" fullCalcOnLoad="1" iterateDelta="0.0001"/>
</workbook>
</file>

<file path=xl/styles.xml><?xml version="1.0" encoding="utf-8"?>
<styleSheet xmlns="http://schemas.openxmlformats.org/spreadsheetml/2006/main">
  <numFmts count="3">
    <numFmt numFmtId="164" formatCode="0.0%"/>
    <numFmt numFmtId="165" formatCode="0.0000"/>
    <numFmt numFmtId="166" formatCode="0.0"/>
  </numFmts>
  <fonts count="20">
    <font>
      <name val="Calibri"/>
      <charset val="1"/>
      <family val="2"/>
      <color theme="1"/>
      <sz val="11"/>
    </font>
    <font>
      <name val="Arial"/>
      <charset val="1"/>
      <b val="1"/>
      <color rgb="FFFFFFFF"/>
      <sz val="16"/>
    </font>
    <font>
      <name val="Arial"/>
      <charset val="1"/>
      <i val="1"/>
      <color rgb="FF1F3864"/>
      <sz val="10"/>
    </font>
    <font>
      <name val="Arial"/>
      <charset val="1"/>
      <b val="1"/>
      <color rgb="FFFFFFFF"/>
      <sz val="10"/>
    </font>
    <font>
      <name val="Arial"/>
      <charset val="1"/>
      <color rgb="FF000000"/>
      <sz val="9"/>
    </font>
    <font>
      <name val="Arial"/>
      <charset val="1"/>
      <i val="1"/>
      <color rgb="FF808080"/>
      <sz val="8"/>
    </font>
    <font>
      <name val="Arial"/>
      <charset val="1"/>
      <b val="1"/>
      <color rgb="FFFFFFFF"/>
      <sz val="12"/>
    </font>
    <font>
      <name val="Arial"/>
      <charset val="1"/>
      <color rgb="FF000000"/>
      <sz val="10"/>
    </font>
    <font>
      <name val="Arial"/>
      <charset val="1"/>
      <b val="1"/>
      <color rgb="FF0000FF"/>
      <sz val="10"/>
    </font>
    <font>
      <name val="Arial"/>
      <charset val="1"/>
      <b val="1"/>
      <color rgb="FFC00000"/>
      <sz val="9"/>
    </font>
    <font>
      <name val="Arial"/>
      <charset val="1"/>
      <i val="1"/>
      <color rgb="FF1F3864"/>
      <sz val="9"/>
    </font>
    <font>
      <name val="Arial"/>
      <charset val="1"/>
      <b val="1"/>
      <color rgb="FF000000"/>
      <sz val="10"/>
    </font>
    <font>
      <name val="Arial"/>
      <charset val="1"/>
      <i val="1"/>
      <color rgb="FF1F3864"/>
      <sz val="8"/>
    </font>
    <font>
      <name val="Arial"/>
      <charset val="1"/>
      <b val="1"/>
      <color rgb="FFFFFFFF"/>
      <sz val="9"/>
    </font>
    <font>
      <name val="Arial"/>
      <charset val="1"/>
      <b val="1"/>
      <color rgb="FFFFFFFF"/>
      <sz val="8"/>
    </font>
    <font>
      <name val="Arial"/>
      <charset val="1"/>
      <i val="1"/>
      <color rgb="FF808080"/>
      <sz val="7"/>
    </font>
    <font>
      <name val="Arial"/>
      <charset val="1"/>
      <b val="1"/>
      <color rgb="FF1F3864"/>
      <sz val="8"/>
    </font>
    <font>
      <name val="Arial"/>
      <charset val="1"/>
      <b val="1"/>
      <color rgb="FF0000FF"/>
      <sz val="9"/>
    </font>
    <font>
      <name val="Arial"/>
      <charset val="1"/>
      <b val="1"/>
      <color rgb="FF000000"/>
      <sz val="11"/>
    </font>
    <font>
      <name val="Arial"/>
      <charset val="1"/>
      <b val="1"/>
      <color rgb="FF000000"/>
      <sz val="9"/>
    </font>
  </fonts>
  <fills count="13">
    <fill>
      <patternFill/>
    </fill>
    <fill>
      <patternFill patternType="gray125"/>
    </fill>
    <fill>
      <patternFill patternType="solid">
        <fgColor rgb="FF1F3864"/>
        <bgColor rgb="FF333333"/>
      </patternFill>
    </fill>
    <fill>
      <patternFill patternType="solid">
        <fgColor rgb="FFFFF2CC"/>
        <bgColor rgb="FFFCE4D6"/>
      </patternFill>
    </fill>
    <fill>
      <patternFill patternType="solid">
        <fgColor rgb="FFFFC000"/>
        <bgColor rgb="FFFF9900"/>
      </patternFill>
    </fill>
    <fill>
      <patternFill patternType="solid">
        <fgColor rgb="FFFFFDE7"/>
        <bgColor rgb="FFFFFFFF"/>
      </patternFill>
    </fill>
    <fill>
      <patternFill patternType="solid">
        <fgColor rgb="FF2E5395"/>
        <bgColor rgb="FF1F3864"/>
      </patternFill>
    </fill>
    <fill>
      <patternFill patternType="solid">
        <fgColor rgb="FFFCE4D6"/>
        <bgColor rgb="FFFFF2CC"/>
      </patternFill>
    </fill>
    <fill>
      <patternFill patternType="solid">
        <fgColor rgb="FFFFFFFF"/>
        <bgColor rgb="FFFFFDE7"/>
      </patternFill>
    </fill>
    <fill>
      <patternFill patternType="solid">
        <fgColor rgb="FFF2F2F2"/>
        <bgColor rgb="FFE7E9F5"/>
      </patternFill>
    </fill>
    <fill>
      <patternFill patternType="solid">
        <fgColor rgb="FF8496B0"/>
        <bgColor rgb="FF808080"/>
      </patternFill>
    </fill>
    <fill>
      <patternFill patternType="solid">
        <fgColor rgb="FFD9E1F2"/>
        <bgColor rgb="FFDDDDDD"/>
      </patternFill>
    </fill>
    <fill>
      <patternFill patternType="solid">
        <fgColor rgb="FFE7E9F5"/>
        <bgColor rgb="FFF2F2F2"/>
      </patternFill>
    </fill>
  </fills>
  <borders count="7">
    <border>
      <left/>
      <right/>
      <top/>
      <bottom/>
      <diagonal/>
    </border>
    <border>
      <left style="thin">
        <color rgb="FFBFBFBF"/>
      </left>
      <right style="thin">
        <color rgb="FFBFBFBF"/>
      </right>
      <top style="thin">
        <color rgb="FFBFBFBF"/>
      </top>
      <bottom style="thin">
        <color rgb="FFBFBFBF"/>
      </bottom>
      <diagonal/>
    </border>
    <border>
      <left style="medium">
        <color rgb="FFC00000"/>
      </left>
      <right style="medium">
        <color rgb="FFC00000"/>
      </right>
      <top style="medium">
        <color rgb="FFC00000"/>
      </top>
      <bottom style="medium">
        <color rgb="FFC00000"/>
      </bottom>
      <diagonal/>
    </border>
    <border>
      <left/>
      <right/>
      <top style="medium">
        <color rgb="FFC00000"/>
      </top>
      <bottom/>
      <diagonal/>
    </border>
    <border>
      <left/>
      <right style="medium">
        <color rgb="FFC00000"/>
      </right>
      <top style="medium">
        <color rgb="FFC00000"/>
      </top>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s>
  <cellStyleXfs count="1">
    <xf numFmtId="0" fontId="0" fillId="0" borderId="0"/>
  </cellStyleXfs>
  <cellXfs count="75">
    <xf numFmtId="0" fontId="0" fillId="0" borderId="0" pivotButton="0" quotePrefix="0" xfId="0"/>
    <xf numFmtId="0" fontId="14" fillId="4" borderId="0" applyAlignment="1" pivotButton="0" quotePrefix="0" xfId="0">
      <alignment horizontal="left" vertical="center" wrapText="1"/>
    </xf>
    <xf numFmtId="0" fontId="13" fillId="4" borderId="0" applyAlignment="1" pivotButton="0" quotePrefix="0" xfId="0">
      <alignment horizontal="left" vertical="center" wrapText="1"/>
    </xf>
    <xf numFmtId="0" fontId="12" fillId="0" borderId="0" applyAlignment="1" pivotButton="0" quotePrefix="0" xfId="0">
      <alignment horizontal="left" vertical="top" wrapText="1"/>
    </xf>
    <xf numFmtId="0" fontId="6" fillId="6" borderId="0" applyAlignment="1" pivotButton="0" quotePrefix="0" xfId="0">
      <alignment horizontal="left" vertical="center" wrapText="1"/>
    </xf>
    <xf numFmtId="0" fontId="10" fillId="0" borderId="0" applyAlignment="1" pivotButton="0" quotePrefix="0" xfId="0">
      <alignment horizontal="left" vertical="top" wrapText="1"/>
    </xf>
    <xf numFmtId="0" fontId="10" fillId="8" borderId="0" applyAlignment="1" pivotButton="0" quotePrefix="0" xfId="0">
      <alignment horizontal="left" vertical="top" wrapText="1"/>
    </xf>
    <xf numFmtId="0" fontId="9" fillId="7" borderId="2" applyAlignment="1" pivotButton="0" quotePrefix="0" xfId="0">
      <alignment horizontal="left" vertical="top" wrapText="1"/>
    </xf>
    <xf numFmtId="0" fontId="6" fillId="6" borderId="0" applyAlignment="1" pivotButton="0" quotePrefix="0" xfId="0">
      <alignment horizontal="left" vertical="center"/>
    </xf>
    <xf numFmtId="0" fontId="5" fillId="0" borderId="0" pivotButton="0" quotePrefix="0" xfId="0"/>
    <xf numFmtId="0" fontId="4" fillId="0" borderId="0" pivotButton="0" quotePrefix="0" xfId="0"/>
    <xf numFmtId="0" fontId="4" fillId="5" borderId="0" applyAlignment="1" pivotButton="0" quotePrefix="0" xfId="0">
      <alignment horizontal="left" vertical="center" wrapText="1"/>
    </xf>
    <xf numFmtId="0" fontId="3" fillId="4" borderId="0" applyAlignment="1" pivotButton="0" quotePrefix="0" xfId="0">
      <alignment horizontal="left" vertical="center" wrapText="1"/>
    </xf>
    <xf numFmtId="0" fontId="2" fillId="3" borderId="0" applyAlignment="1" pivotButton="0" quotePrefix="0" xfId="0">
      <alignment horizontal="center" vertical="center"/>
    </xf>
    <xf numFmtId="0" fontId="1" fillId="2" borderId="0" applyAlignment="1" pivotButton="0" quotePrefix="0" xfId="0">
      <alignment horizontal="center" vertical="center"/>
    </xf>
    <xf numFmtId="0" fontId="0" fillId="0" borderId="0" pivotButton="0" quotePrefix="0" xfId="0"/>
    <xf numFmtId="0" fontId="7" fillId="0" borderId="0" applyAlignment="1" pivotButton="0" quotePrefix="0" xfId="0">
      <alignment horizontal="left" vertical="center" wrapText="1"/>
    </xf>
    <xf numFmtId="0" fontId="8" fillId="5" borderId="1" applyAlignment="1" pivotButton="0" quotePrefix="0" xfId="0">
      <alignment horizontal="center" vertical="center" wrapText="1"/>
    </xf>
    <xf numFmtId="0" fontId="5" fillId="0" borderId="0" applyAlignment="1" pivotButton="0" quotePrefix="0" xfId="0">
      <alignment horizontal="left" vertical="top" wrapText="1"/>
    </xf>
    <xf numFmtId="0" fontId="7" fillId="0" borderId="1" applyAlignment="1" pivotButton="0" quotePrefix="0" xfId="0">
      <alignment horizontal="center" vertical="center" wrapText="1"/>
    </xf>
    <xf numFmtId="0" fontId="5" fillId="0" borderId="0" applyAlignment="1" pivotButton="0" quotePrefix="0" xfId="0">
      <alignment horizontal="left" vertical="center" wrapText="1"/>
    </xf>
    <xf numFmtId="3" fontId="8" fillId="5" borderId="1" applyAlignment="1" pivotButton="0" quotePrefix="0" xfId="0">
      <alignment horizontal="center" vertical="center" wrapText="1"/>
    </xf>
    <xf numFmtId="0" fontId="3" fillId="4" borderId="1" applyAlignment="1" pivotButton="0" quotePrefix="0" xfId="0">
      <alignment horizontal="center" vertical="center" wrapText="1"/>
    </xf>
    <xf numFmtId="3" fontId="7" fillId="0" borderId="1" applyAlignment="1" pivotButton="0" quotePrefix="0" xfId="0">
      <alignment horizontal="center" vertical="center" wrapText="1"/>
    </xf>
    <xf numFmtId="0" fontId="7" fillId="0" borderId="1" applyAlignment="1" pivotButton="0" quotePrefix="0" xfId="0">
      <alignment horizontal="left" vertical="center" wrapText="1"/>
    </xf>
    <xf numFmtId="164" fontId="8" fillId="5" borderId="1" applyAlignment="1" pivotButton="0" quotePrefix="0" xfId="0">
      <alignment horizontal="center" vertical="center" wrapText="1"/>
    </xf>
    <xf numFmtId="164" fontId="7" fillId="0" borderId="1" applyAlignment="1" pivotButton="0" quotePrefix="0" xfId="0">
      <alignment horizontal="center" vertical="center" wrapText="1"/>
    </xf>
    <xf numFmtId="0" fontId="11" fillId="9" borderId="1" applyAlignment="1" pivotButton="0" quotePrefix="0" xfId="0">
      <alignment horizontal="left" vertical="center" wrapText="1"/>
    </xf>
    <xf numFmtId="164" fontId="11" fillId="9" borderId="1" applyAlignment="1" pivotButton="0" quotePrefix="0" xfId="0">
      <alignment horizontal="center" vertical="center" wrapText="1"/>
    </xf>
    <xf numFmtId="9" fontId="8" fillId="5" borderId="1" applyAlignment="1" pivotButton="0" quotePrefix="0" xfId="0">
      <alignment horizontal="center" vertical="center" wrapText="1"/>
    </xf>
    <xf numFmtId="14" fontId="7" fillId="0" borderId="1" applyAlignment="1" pivotButton="0" quotePrefix="0" xfId="0">
      <alignment horizontal="center" vertical="center" wrapText="1"/>
    </xf>
    <xf numFmtId="14" fontId="8" fillId="5" borderId="1" applyAlignment="1" pivotButton="0" quotePrefix="0" xfId="0">
      <alignment horizontal="center" vertical="center" wrapText="1"/>
    </xf>
    <xf numFmtId="0" fontId="13" fillId="4" borderId="1" applyAlignment="1" pivotButton="0" quotePrefix="0" xfId="0">
      <alignment horizontal="center" vertical="center" wrapText="1"/>
    </xf>
    <xf numFmtId="165" fontId="7" fillId="0" borderId="1" applyAlignment="1" pivotButton="0" quotePrefix="0" xfId="0">
      <alignment horizontal="center" vertical="center" wrapText="1"/>
    </xf>
    <xf numFmtId="0" fontId="7" fillId="0" borderId="0" pivotButton="0" quotePrefix="0" xfId="0"/>
    <xf numFmtId="0" fontId="8" fillId="5" borderId="1" applyAlignment="1" pivotButton="0" quotePrefix="0" xfId="0">
      <alignment horizontal="left" vertical="center" wrapText="1"/>
    </xf>
    <xf numFmtId="0" fontId="15" fillId="0" borderId="0" pivotButton="0" quotePrefix="0" xfId="0"/>
    <xf numFmtId="0" fontId="15" fillId="0" borderId="0" applyAlignment="1" pivotButton="0" quotePrefix="0" xfId="0">
      <alignment horizontal="center" vertical="center" wrapText="1"/>
    </xf>
    <xf numFmtId="0" fontId="16" fillId="0" borderId="0" pivotButton="0" quotePrefix="0" xfId="0"/>
    <xf numFmtId="0" fontId="16" fillId="0" borderId="1" applyAlignment="1" pivotButton="0" quotePrefix="0" xfId="0">
      <alignment horizontal="center" vertical="center" wrapText="1"/>
    </xf>
    <xf numFmtId="0" fontId="14" fillId="4" borderId="1" applyAlignment="1" pivotButton="0" quotePrefix="0" xfId="0">
      <alignment horizontal="center" vertical="center" wrapText="1"/>
    </xf>
    <xf numFmtId="0" fontId="4" fillId="0" borderId="1" applyAlignment="1" pivotButton="0" quotePrefix="0" xfId="0">
      <alignment horizontal="center" vertical="center" wrapText="1"/>
    </xf>
    <xf numFmtId="0" fontId="0" fillId="0" borderId="1" applyAlignment="1" pivotButton="0" quotePrefix="0" xfId="0">
      <alignment horizontal="center" vertical="center" wrapText="1"/>
    </xf>
    <xf numFmtId="0" fontId="0" fillId="0" borderId="1" applyAlignment="1" pivotButton="0" quotePrefix="0" xfId="0">
      <alignment horizontal="left" vertical="center" wrapText="1"/>
    </xf>
    <xf numFmtId="166" fontId="17" fillId="5" borderId="1" applyAlignment="1" pivotButton="0" quotePrefix="0" xfId="0">
      <alignment horizontal="center" vertical="center" wrapText="1"/>
    </xf>
    <xf numFmtId="3" fontId="17" fillId="5" borderId="1" applyAlignment="1" pivotButton="0" quotePrefix="0" xfId="0">
      <alignment horizontal="center" vertical="center" wrapText="1"/>
    </xf>
    <xf numFmtId="0" fontId="17" fillId="5" borderId="1" applyAlignment="1" pivotButton="0" quotePrefix="0" xfId="0">
      <alignment horizontal="center" vertical="center" wrapText="1"/>
    </xf>
    <xf numFmtId="0" fontId="5" fillId="0" borderId="1" applyAlignment="1" pivotButton="0" quotePrefix="0" xfId="0">
      <alignment horizontal="center" vertical="center" wrapText="1"/>
    </xf>
    <xf numFmtId="166" fontId="7" fillId="0" borderId="1" applyAlignment="1" pivotButton="0" quotePrefix="0" xfId="0">
      <alignment horizontal="center" vertical="center" wrapText="1"/>
    </xf>
    <xf numFmtId="1" fontId="7" fillId="0" borderId="1" applyAlignment="1" pivotButton="0" quotePrefix="0" xfId="0">
      <alignment horizontal="center" vertical="center" wrapText="1"/>
    </xf>
    <xf numFmtId="4" fontId="7" fillId="0" borderId="1" applyAlignment="1" pivotButton="0" quotePrefix="0" xfId="0">
      <alignment horizontal="center" vertical="center" wrapText="1"/>
    </xf>
    <xf numFmtId="0" fontId="11" fillId="0" borderId="0" applyAlignment="1" pivotButton="0" quotePrefix="0" xfId="0">
      <alignment horizontal="left" vertical="center" wrapText="1"/>
    </xf>
    <xf numFmtId="3" fontId="18" fillId="11" borderId="1" applyAlignment="1" pivotButton="0" quotePrefix="0" xfId="0">
      <alignment horizontal="center" vertical="center" wrapText="1"/>
    </xf>
    <xf numFmtId="3" fontId="18" fillId="0" borderId="1" applyAlignment="1" pivotButton="0" quotePrefix="0" xfId="0">
      <alignment horizontal="center" vertical="center" wrapText="1"/>
    </xf>
    <xf numFmtId="0" fontId="18" fillId="0" borderId="1" applyAlignment="1" pivotButton="0" quotePrefix="0" xfId="0">
      <alignment horizontal="center" vertical="center" wrapText="1"/>
    </xf>
    <xf numFmtId="0" fontId="5" fillId="0" borderId="0" pivotButton="0" quotePrefix="0" xfId="0"/>
    <xf numFmtId="0" fontId="4" fillId="0" borderId="1" applyAlignment="1" pivotButton="0" quotePrefix="0" xfId="0">
      <alignment horizontal="left" vertical="center" wrapText="1"/>
    </xf>
    <xf numFmtId="3" fontId="4" fillId="0" borderId="1" applyAlignment="1" pivotButton="0" quotePrefix="0" xfId="0">
      <alignment horizontal="center" vertical="center" wrapText="1"/>
    </xf>
    <xf numFmtId="1" fontId="4" fillId="0" borderId="1" applyAlignment="1" pivotButton="0" quotePrefix="0" xfId="0">
      <alignment horizontal="center" vertical="center" wrapText="1"/>
    </xf>
    <xf numFmtId="166" fontId="4" fillId="0" borderId="1" applyAlignment="1" pivotButton="0" quotePrefix="0" xfId="0">
      <alignment horizontal="center" vertical="center" wrapText="1"/>
    </xf>
    <xf numFmtId="0" fontId="19" fillId="0" borderId="0" applyAlignment="1" pivotButton="0" quotePrefix="0" xfId="0">
      <alignment horizontal="left" vertical="center" wrapText="1"/>
    </xf>
    <xf numFmtId="3" fontId="19" fillId="11" borderId="1" applyAlignment="1" pivotButton="0" quotePrefix="0" xfId="0">
      <alignment horizontal="center" vertical="center" wrapText="1"/>
    </xf>
    <xf numFmtId="3" fontId="0" fillId="0" borderId="0" pivotButton="0" quotePrefix="0" xfId="0"/>
    <xf numFmtId="9" fontId="7" fillId="0" borderId="1" applyAlignment="1" pivotButton="0" quotePrefix="0" xfId="0">
      <alignment horizontal="center" vertical="center" wrapText="1"/>
    </xf>
    <xf numFmtId="0" fontId="11" fillId="0" borderId="1" applyAlignment="1" pivotButton="0" quotePrefix="0" xfId="0">
      <alignment horizontal="left" vertical="center" wrapText="1"/>
    </xf>
    <xf numFmtId="0" fontId="0" fillId="11" borderId="1" pivotButton="0" quotePrefix="0" xfId="0"/>
    <xf numFmtId="3" fontId="11" fillId="11" borderId="1" applyAlignment="1" pivotButton="0" quotePrefix="0" xfId="0">
      <alignment horizontal="center" vertical="center" wrapText="1"/>
    </xf>
    <xf numFmtId="0" fontId="7" fillId="12" borderId="1" applyAlignment="1" pivotButton="0" quotePrefix="0" xfId="0">
      <alignment horizontal="center" vertical="center" wrapText="1"/>
    </xf>
    <xf numFmtId="14" fontId="4" fillId="0" borderId="1" applyAlignment="1" pivotButton="0" quotePrefix="0" xfId="0">
      <alignment horizontal="center" vertical="center" wrapText="1"/>
    </xf>
    <xf numFmtId="0" fontId="4" fillId="12" borderId="1" applyAlignment="1" pivotButton="0" quotePrefix="0" xfId="0">
      <alignment horizontal="center" vertical="center" wrapText="1"/>
    </xf>
    <xf numFmtId="0" fontId="4" fillId="12" borderId="1" applyAlignment="1" pivotButton="0" quotePrefix="0" xfId="0">
      <alignment horizontal="left" vertical="center" wrapText="1"/>
    </xf>
    <xf numFmtId="0" fontId="3" fillId="10" borderId="0" applyAlignment="1" pivotButton="0" quotePrefix="0" xfId="0">
      <alignment horizontal="left" vertical="center"/>
    </xf>
    <xf numFmtId="0" fontId="4" fillId="3" borderId="0" applyAlignment="1" pivotButton="0" quotePrefix="0" xfId="0">
      <alignment horizontal="left" vertical="top" wrapText="1"/>
    </xf>
    <xf numFmtId="0" fontId="0" fillId="0" borderId="5" pivotButton="0" quotePrefix="0" xfId="0"/>
    <xf numFmtId="0" fontId="0" fillId="0" borderId="6" pivotButton="0" quotePrefix="0" xfId="0"/>
  </cellXfs>
  <cellStyles count="1">
    <cellStyle name="Normal" xfId="0" builtinId="0"/>
  </cellStyles>
  <dxfs count="24">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
      <fill>
        <patternFill>
          <bgColor rgb="FFDDDDDD"/>
        </patternFill>
      </fill>
    </dxf>
  </dxfs>
  <tableStyles count="0" defaultTableStyle="TableStyleMedium2" defaultPivotStyle="PivotStyleLight16"/>
  <colors>
    <indexedColors>
      <rgbColor rgb="FF000000"/>
      <rgbColor rgb="FFFFFFFF"/>
      <rgbColor rgb="FFC0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FFDE7"/>
      <rgbColor rgb="FFE7E9F5"/>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F2F2F2"/>
      <rgbColor rgb="FFDDDDDD"/>
      <rgbColor rgb="FFFFF2CC"/>
      <rgbColor rgb="FF99CCFF"/>
      <rgbColor rgb="FFFF99CC"/>
      <rgbColor rgb="FFCC99FF"/>
      <rgbColor rgb="FFFCE4D6"/>
      <rgbColor rgb="FF3366FF"/>
      <rgbColor rgb="FF33CCCC"/>
      <rgbColor rgb="FF99CC00"/>
      <rgbColor rgb="FFFFC000"/>
      <rgbColor rgb="FFFF9900"/>
      <rgbColor rgb="FFFF6600"/>
      <rgbColor rgb="FF666699"/>
      <rgbColor rgb="FF8496B0"/>
      <rgbColor rgb="FF1F3864"/>
      <rgbColor rgb="FF339966"/>
      <rgbColor rgb="FF003300"/>
      <rgbColor rgb="FF333300"/>
      <rgbColor rgb="FF993300"/>
      <rgbColor rgb="FF993366"/>
      <rgbColor rgb="FF2E5395"/>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Id="rId11" Type="http://schemas.openxmlformats.org/officeDocument/2006/relationships/vbaProject" Target="vbaProject.bin"/></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I256"/>
  <sheetViews>
    <sheetView showGridLines="0" tabSelected="1" zoomScaleNormal="100" workbookViewId="0">
      <pane ySplit="5" topLeftCell="A163" activePane="bottomLeft" state="frozen"/>
      <selection pane="bottomLeft" activeCell="A1" sqref="A1:I1"/>
    </sheetView>
  </sheetViews>
  <sheetFormatPr baseColWidth="10" defaultColWidth="8.6640625" defaultRowHeight="14.4" outlineLevelRow="1"/>
  <cols>
    <col width="4" customWidth="1" style="15" min="1" max="1"/>
    <col width="34" customWidth="1" style="15" min="2" max="2"/>
    <col width="22" customWidth="1" style="15" min="3" max="3"/>
    <col width="14" customWidth="1" style="15" min="4" max="5"/>
    <col width="40" customWidth="1" style="15" min="6" max="6"/>
    <col width="13" customWidth="1" style="15" min="7" max="9"/>
  </cols>
  <sheetData>
    <row r="1" ht="30" customHeight="1" s="15">
      <c r="A1" s="14" t="inlineStr">
        <is>
          <t>PARAMÈTRES — SYSTÈME DE PAIE &amp; RH RDC</t>
        </is>
      </c>
    </row>
    <row r="2" ht="18" customHeight="1" s="15">
      <c r="A2" s="13" t="inlineStr">
        <is>
          <t>Morning SARL  —  Maquette de validation  —  Valeurs légales vérifiées au 22/07/2026</t>
        </is>
      </c>
    </row>
    <row r="4" ht="18" customHeight="1" s="15">
      <c r="A4" s="12" t="inlineStr">
        <is>
          <t>LÉGENDE</t>
        </is>
      </c>
    </row>
    <row r="5" ht="15" customHeight="1" s="15">
      <c r="B5" s="11" t="inlineStr">
        <is>
          <t>Cellule à saisir / modifier (paramètre configurable par l'acheteur)</t>
        </is>
      </c>
    </row>
    <row r="6" ht="15" customHeight="1" s="15">
      <c r="B6" s="10" t="inlineStr">
        <is>
          <t>Cellule calculée automatiquement par formule — ne pas modifier</t>
        </is>
      </c>
    </row>
    <row r="7" ht="15" customHeight="1" s="15">
      <c r="B7" s="55" t="inlineStr">
        <is>
          <t>Référence légale ou note explicative (colonne F)</t>
        </is>
      </c>
    </row>
    <row r="9" ht="21.75" customHeight="1" s="15">
      <c r="B9" s="8" t="inlineStr">
        <is>
          <t xml:space="preserve">  1.  IDENTITÉ DE L'ENTREPRISE</t>
        </is>
      </c>
    </row>
    <row r="10" ht="15" customHeight="1" s="15">
      <c r="B10" s="16" t="inlineStr">
        <is>
          <t>Raison sociale</t>
        </is>
      </c>
      <c r="C10" s="17" t="inlineStr">
        <is>
          <t>Ma Société SARL</t>
        </is>
      </c>
    </row>
    <row r="11" ht="15" customHeight="1" s="15">
      <c r="B11" s="16" t="inlineStr">
        <is>
          <t>Sigle / nom commercial</t>
        </is>
      </c>
      <c r="C11" s="17" t="inlineStr">
        <is>
          <t>MASOC</t>
        </is>
      </c>
    </row>
    <row r="12" ht="23.25" customHeight="1" s="15">
      <c r="B12" s="16" t="inlineStr">
        <is>
          <t>RCCM</t>
        </is>
      </c>
      <c r="C12" s="17" t="inlineStr">
        <is>
          <t>CD/KNG/RCCM/24-B-00000</t>
        </is>
      </c>
      <c r="F12" s="18" t="inlineStr">
        <is>
          <t>Format indicatif — à remplacer par le RCCM réel de l'entreprise</t>
        </is>
      </c>
    </row>
    <row r="13" ht="15" customHeight="1" s="15">
      <c r="B13" s="16" t="inlineStr">
        <is>
          <t>Identifiant National (ID NAT)</t>
        </is>
      </c>
      <c r="C13" s="17" t="inlineStr">
        <is>
          <t>01-A0000-N00000</t>
        </is>
      </c>
    </row>
    <row r="14" ht="15" customHeight="1" s="15">
      <c r="B14" s="16" t="inlineStr">
        <is>
          <t>Numéro Impôt (NIF)</t>
        </is>
      </c>
      <c r="C14" s="17" t="inlineStr">
        <is>
          <t>A0000000A</t>
        </is>
      </c>
    </row>
    <row r="15" ht="15" customHeight="1" s="15">
      <c r="B15" s="16" t="inlineStr">
        <is>
          <t>Numéro employeur CNSS</t>
        </is>
      </c>
      <c r="C15" s="17" t="inlineStr">
        <is>
          <t>000000-00</t>
        </is>
      </c>
    </row>
    <row r="16" ht="34.5" customHeight="1" s="15">
      <c r="B16" s="16" t="inlineStr">
        <is>
          <t>Adresse du siège</t>
        </is>
      </c>
      <c r="C16" s="17" t="inlineStr">
        <is>
          <t>Avenue de la Paix, Commune de Gombe, Kinshasa</t>
        </is>
      </c>
    </row>
    <row r="17" ht="18.75" customHeight="1" s="15">
      <c r="B17" s="16" t="inlineStr">
        <is>
          <t>Effectif total (agents actifs)</t>
        </is>
      </c>
      <c r="C17" s="19">
        <f>EMPLOYES!C5</f>
        <v/>
      </c>
      <c r="D17" s="20" t="inlineStr">
        <is>
          <t>agents</t>
        </is>
      </c>
      <c r="F17" s="18" t="inlineStr">
        <is>
          <t>Désormais calculé automatiquement depuis EMPLOYES (statut = Actif). Alimente le barème INPP en section 6.</t>
        </is>
      </c>
    </row>
    <row r="18" ht="15" customHeight="1" s="15">
      <c r="B18" s="16" t="inlineStr">
        <is>
          <t>Type d'entreprise</t>
        </is>
      </c>
      <c r="C18" s="17" t="inlineStr">
        <is>
          <t>Privée</t>
        </is>
      </c>
    </row>
    <row r="20" ht="21.75" customHeight="1" s="15">
      <c r="B20" s="8" t="inlineStr">
        <is>
          <t xml:space="preserve">  2.  DEVISE, ARRONDI ET OPTIONS DE CALCUL</t>
        </is>
      </c>
    </row>
    <row r="21" ht="15" customHeight="1" s="15">
      <c r="B21" s="16" t="inlineStr">
        <is>
          <t>Devise de référence</t>
        </is>
      </c>
      <c r="C21" s="17" t="inlineStr">
        <is>
          <t>CDF</t>
        </is>
      </c>
    </row>
    <row r="22" ht="23.25" customHeight="1" s="15">
      <c r="B22" s="16" t="inlineStr">
        <is>
          <t>Taux de change de référence (CDF pour 1 USD)</t>
        </is>
      </c>
      <c r="C22" s="21" t="n">
        <v>2900</v>
      </c>
      <c r="D22" s="20" t="inlineStr">
        <is>
          <t>CDF/USD</t>
        </is>
      </c>
      <c r="F22" s="18" t="inlineStr">
        <is>
          <t>Taux indicatif — à mettre à jour selon le taux BCC en vigueur au moment de la paie.</t>
        </is>
      </c>
    </row>
    <row r="23" ht="30" customHeight="1" s="15">
      <c r="B23" s="7" t="inlineStr">
        <is>
          <t>⚠  TAUX DE CHANGE À ACTUALISER CHAQUE MOIS AVANT LE CALCUL DE LA PAIE. Le marché des changes en RDC est volatil — un taux périmé fausse directement tous les montants exprimés en CDF pour les salaires négociés en USD. Vérifier le taux indicatif de la Banque Centrale du Congo (BCC) avant chaque clôture mensuelle.</t>
        </is>
      </c>
      <c r="C23" s="73" t="n"/>
      <c r="D23" s="73" t="n"/>
      <c r="E23" s="73" t="n"/>
      <c r="F23" s="74" t="n"/>
    </row>
    <row r="24" ht="15" customHeight="1" s="15">
      <c r="B24" s="16" t="inlineStr">
        <is>
          <t>Arrondi des montants calculés</t>
        </is>
      </c>
      <c r="C24" s="17" t="inlineStr">
        <is>
          <t>Aucun</t>
        </is>
      </c>
    </row>
    <row r="25" ht="23.25" customHeight="1" s="15">
      <c r="B25" s="16" t="inlineStr">
        <is>
          <t>CNSS salariale déductible de la base imposable IPR</t>
        </is>
      </c>
      <c r="C25" s="17" t="inlineStr">
        <is>
          <t>Non</t>
        </is>
      </c>
    </row>
    <row r="26" ht="27.75" customHeight="1" s="15">
      <c r="B26" s="6" t="inlineStr">
        <is>
          <t>ℹ  Point non tranché de manière uniforme dans la pratique administrative en RDC. Ce paramètre permet d'activer/désactiver la déduction sans modifier les formules du moteur de paie.</t>
        </is>
      </c>
    </row>
    <row r="28" ht="21.75" customHeight="1" s="15">
      <c r="B28" s="8" t="inlineStr">
        <is>
          <t xml:space="preserve">  3.  ANNÉE EN COURS ET CALENDRIER DE RÉFÉRENCE (2026-2035)</t>
        </is>
      </c>
    </row>
    <row r="29" ht="15" customHeight="1" s="15">
      <c r="B29" s="16" t="inlineStr">
        <is>
          <t>Année en cours</t>
        </is>
      </c>
      <c r="C29" s="17" t="n">
        <v>2026</v>
      </c>
    </row>
    <row r="30" ht="15" customHeight="1" s="15">
      <c r="B30" s="16" t="inlineStr">
        <is>
          <t>Mois de paie en cours</t>
        </is>
      </c>
      <c r="C30" s="17" t="inlineStr">
        <is>
          <t>Janvier</t>
        </is>
      </c>
    </row>
    <row r="31" ht="27.75" customHeight="1" s="15">
      <c r="B31" s="6" t="inlineStr">
        <is>
          <t>ℹ  Ces deux cellules pilotent le calendrier de tout le classeur (EMPLOYES, BULLETIN, JOURNAL, DASHBOARD_RH, HISTORIQUE). Réglez l'année avant de démarrer une nouvelle année de paie — tout se recalcule automatiquement, y compris les jours ouvrables ci-dessous.</t>
        </is>
      </c>
    </row>
    <row r="33" ht="23.25" customHeight="1" s="15">
      <c r="B33" s="16" t="inlineStr">
        <is>
          <t>Jours ouvrables du mois en cours — régime 6 jours (lundi-samedi)</t>
        </is>
      </c>
      <c r="C33" s="19">
        <f>SUMPRODUCT((B38:B157=C29)*(D38:D157=C30)*(H38:H157))</f>
        <v/>
      </c>
    </row>
    <row r="34" ht="23.25" customHeight="1" s="15">
      <c r="B34" s="16" t="inlineStr">
        <is>
          <t>Jours ouvrables du mois en cours — régime 5 jours (lundi-vendredi)</t>
        </is>
      </c>
      <c r="C34" s="19">
        <f>SUMPRODUCT((B38:B157=C29)*(D38:D157=C30)*(I38:I157))</f>
        <v/>
      </c>
    </row>
    <row r="35" ht="27.75" customHeight="1" s="15">
      <c r="B35" s="6" t="inlineStr">
        <is>
          <t>ℹ  Calcul sur le vrai calendrier du mois (DATE / WEEKDAY / SUMPRODUCT), pas un forfait fixe — un mois de 28, 30 ou 31 jours n'a pas le même nombre de jours ouvrables. Source du tableau : décompte réel ci-dessous, sur lequel vous n'avez rien à saisir.</t>
        </is>
      </c>
    </row>
    <row r="37" ht="15" customHeight="1" s="15">
      <c r="B37" s="22" t="inlineStr">
        <is>
          <t>Année</t>
        </is>
      </c>
      <c r="C37" s="22" t="inlineStr">
        <is>
          <t>N°</t>
        </is>
      </c>
      <c r="D37" s="22" t="inlineStr">
        <is>
          <t>Mois</t>
        </is>
      </c>
      <c r="E37" s="22" t="inlineStr">
        <is>
          <t>Jours du mois</t>
        </is>
      </c>
      <c r="F37" s="22" t="inlineStr">
        <is>
          <t>Dimanches</t>
        </is>
      </c>
      <c r="G37" s="22" t="inlineStr">
        <is>
          <t>Samedis</t>
        </is>
      </c>
      <c r="H37" s="22" t="inlineStr">
        <is>
          <t>Jours ouvr. 6j</t>
        </is>
      </c>
      <c r="I37" s="22" t="inlineStr">
        <is>
          <t>Jours ouvr. 5j</t>
        </is>
      </c>
    </row>
    <row r="38" hidden="1" outlineLevel="1" ht="15" customHeight="1" s="15">
      <c r="B38" s="19" t="n">
        <v>2026</v>
      </c>
      <c r="C38" s="19" t="n">
        <v>1</v>
      </c>
      <c r="D38" s="19" t="inlineStr">
        <is>
          <t>Janvier</t>
        </is>
      </c>
      <c r="E38" s="19">
        <f>DAY(EOMONTH(DATE(B38,C38,1),0))</f>
        <v/>
      </c>
      <c r="F38" s="19">
        <f>SUMPRODUCT(--(WEEKDAY(DATE(B38,C38,ROW(INDIRECT("1:"&amp;E38))))=1))</f>
        <v/>
      </c>
      <c r="G38" s="19">
        <f>SUMPRODUCT(--(WEEKDAY(DATE(B38,C38,ROW(INDIRECT("1:"&amp;E38))))=7))</f>
        <v/>
      </c>
      <c r="H38" s="19">
        <f>E38-F38</f>
        <v/>
      </c>
      <c r="I38" s="19">
        <f>E38-F38-G38</f>
        <v/>
      </c>
    </row>
    <row r="39" hidden="1" outlineLevel="1" ht="15" customHeight="1" s="15">
      <c r="B39" s="19" t="n">
        <v>2026</v>
      </c>
      <c r="C39" s="19" t="n">
        <v>2</v>
      </c>
      <c r="D39" s="19" t="inlineStr">
        <is>
          <t>Février</t>
        </is>
      </c>
      <c r="E39" s="19">
        <f>DAY(EOMONTH(DATE(B39,C39,1),0))</f>
        <v/>
      </c>
      <c r="F39" s="19">
        <f>SUMPRODUCT(--(WEEKDAY(DATE(B39,C39,ROW(INDIRECT("1:"&amp;E39))))=1))</f>
        <v/>
      </c>
      <c r="G39" s="19">
        <f>SUMPRODUCT(--(WEEKDAY(DATE(B39,C39,ROW(INDIRECT("1:"&amp;E39))))=7))</f>
        <v/>
      </c>
      <c r="H39" s="19">
        <f>E39-F39</f>
        <v/>
      </c>
      <c r="I39" s="19">
        <f>E39-F39-G39</f>
        <v/>
      </c>
    </row>
    <row r="40" hidden="1" outlineLevel="1" ht="15" customHeight="1" s="15">
      <c r="B40" s="19" t="n">
        <v>2026</v>
      </c>
      <c r="C40" s="19" t="n">
        <v>3</v>
      </c>
      <c r="D40" s="19" t="inlineStr">
        <is>
          <t>Mars</t>
        </is>
      </c>
      <c r="E40" s="19">
        <f>DAY(EOMONTH(DATE(B40,C40,1),0))</f>
        <v/>
      </c>
      <c r="F40" s="19">
        <f>SUMPRODUCT(--(WEEKDAY(DATE(B40,C40,ROW(INDIRECT("1:"&amp;E40))))=1))</f>
        <v/>
      </c>
      <c r="G40" s="19">
        <f>SUMPRODUCT(--(WEEKDAY(DATE(B40,C40,ROW(INDIRECT("1:"&amp;E40))))=7))</f>
        <v/>
      </c>
      <c r="H40" s="19">
        <f>E40-F40</f>
        <v/>
      </c>
      <c r="I40" s="19">
        <f>E40-F40-G40</f>
        <v/>
      </c>
    </row>
    <row r="41" hidden="1" outlineLevel="1" ht="15" customHeight="1" s="15">
      <c r="B41" s="19" t="n">
        <v>2026</v>
      </c>
      <c r="C41" s="19" t="n">
        <v>4</v>
      </c>
      <c r="D41" s="19" t="inlineStr">
        <is>
          <t>Avril</t>
        </is>
      </c>
      <c r="E41" s="19">
        <f>DAY(EOMONTH(DATE(B41,C41,1),0))</f>
        <v/>
      </c>
      <c r="F41" s="19">
        <f>SUMPRODUCT(--(WEEKDAY(DATE(B41,C41,ROW(INDIRECT("1:"&amp;E41))))=1))</f>
        <v/>
      </c>
      <c r="G41" s="19">
        <f>SUMPRODUCT(--(WEEKDAY(DATE(B41,C41,ROW(INDIRECT("1:"&amp;E41))))=7))</f>
        <v/>
      </c>
      <c r="H41" s="19">
        <f>E41-F41</f>
        <v/>
      </c>
      <c r="I41" s="19">
        <f>E41-F41-G41</f>
        <v/>
      </c>
    </row>
    <row r="42" hidden="1" outlineLevel="1" ht="15" customHeight="1" s="15">
      <c r="B42" s="19" t="n">
        <v>2026</v>
      </c>
      <c r="C42" s="19" t="n">
        <v>5</v>
      </c>
      <c r="D42" s="19" t="inlineStr">
        <is>
          <t>Mai</t>
        </is>
      </c>
      <c r="E42" s="19">
        <f>DAY(EOMONTH(DATE(B42,C42,1),0))</f>
        <v/>
      </c>
      <c r="F42" s="19">
        <f>SUMPRODUCT(--(WEEKDAY(DATE(B42,C42,ROW(INDIRECT("1:"&amp;E42))))=1))</f>
        <v/>
      </c>
      <c r="G42" s="19">
        <f>SUMPRODUCT(--(WEEKDAY(DATE(B42,C42,ROW(INDIRECT("1:"&amp;E42))))=7))</f>
        <v/>
      </c>
      <c r="H42" s="19">
        <f>E42-F42</f>
        <v/>
      </c>
      <c r="I42" s="19">
        <f>E42-F42-G42</f>
        <v/>
      </c>
    </row>
    <row r="43" hidden="1" outlineLevel="1" ht="15" customHeight="1" s="15">
      <c r="B43" s="19" t="n">
        <v>2026</v>
      </c>
      <c r="C43" s="19" t="n">
        <v>6</v>
      </c>
      <c r="D43" s="19" t="inlineStr">
        <is>
          <t>Juin</t>
        </is>
      </c>
      <c r="E43" s="19">
        <f>DAY(EOMONTH(DATE(B43,C43,1),0))</f>
        <v/>
      </c>
      <c r="F43" s="19">
        <f>SUMPRODUCT(--(WEEKDAY(DATE(B43,C43,ROW(INDIRECT("1:"&amp;E43))))=1))</f>
        <v/>
      </c>
      <c r="G43" s="19">
        <f>SUMPRODUCT(--(WEEKDAY(DATE(B43,C43,ROW(INDIRECT("1:"&amp;E43))))=7))</f>
        <v/>
      </c>
      <c r="H43" s="19">
        <f>E43-F43</f>
        <v/>
      </c>
      <c r="I43" s="19">
        <f>E43-F43-G43</f>
        <v/>
      </c>
    </row>
    <row r="44" hidden="1" outlineLevel="1" ht="15" customHeight="1" s="15">
      <c r="B44" s="19" t="n">
        <v>2026</v>
      </c>
      <c r="C44" s="19" t="n">
        <v>7</v>
      </c>
      <c r="D44" s="19" t="inlineStr">
        <is>
          <t>Juillet</t>
        </is>
      </c>
      <c r="E44" s="19">
        <f>DAY(EOMONTH(DATE(B44,C44,1),0))</f>
        <v/>
      </c>
      <c r="F44" s="19">
        <f>SUMPRODUCT(--(WEEKDAY(DATE(B44,C44,ROW(INDIRECT("1:"&amp;E44))))=1))</f>
        <v/>
      </c>
      <c r="G44" s="19">
        <f>SUMPRODUCT(--(WEEKDAY(DATE(B44,C44,ROW(INDIRECT("1:"&amp;E44))))=7))</f>
        <v/>
      </c>
      <c r="H44" s="19">
        <f>E44-F44</f>
        <v/>
      </c>
      <c r="I44" s="19">
        <f>E44-F44-G44</f>
        <v/>
      </c>
    </row>
    <row r="45" hidden="1" outlineLevel="1" ht="15" customHeight="1" s="15">
      <c r="B45" s="19" t="n">
        <v>2026</v>
      </c>
      <c r="C45" s="19" t="n">
        <v>8</v>
      </c>
      <c r="D45" s="19" t="inlineStr">
        <is>
          <t>Août</t>
        </is>
      </c>
      <c r="E45" s="19">
        <f>DAY(EOMONTH(DATE(B45,C45,1),0))</f>
        <v/>
      </c>
      <c r="F45" s="19">
        <f>SUMPRODUCT(--(WEEKDAY(DATE(B45,C45,ROW(INDIRECT("1:"&amp;E45))))=1))</f>
        <v/>
      </c>
      <c r="G45" s="19">
        <f>SUMPRODUCT(--(WEEKDAY(DATE(B45,C45,ROW(INDIRECT("1:"&amp;E45))))=7))</f>
        <v/>
      </c>
      <c r="H45" s="19">
        <f>E45-F45</f>
        <v/>
      </c>
      <c r="I45" s="19">
        <f>E45-F45-G45</f>
        <v/>
      </c>
    </row>
    <row r="46" hidden="1" outlineLevel="1" ht="15" customHeight="1" s="15">
      <c r="B46" s="19" t="n">
        <v>2026</v>
      </c>
      <c r="C46" s="19" t="n">
        <v>9</v>
      </c>
      <c r="D46" s="19" t="inlineStr">
        <is>
          <t>Septembre</t>
        </is>
      </c>
      <c r="E46" s="19">
        <f>DAY(EOMONTH(DATE(B46,C46,1),0))</f>
        <v/>
      </c>
      <c r="F46" s="19">
        <f>SUMPRODUCT(--(WEEKDAY(DATE(B46,C46,ROW(INDIRECT("1:"&amp;E46))))=1))</f>
        <v/>
      </c>
      <c r="G46" s="19">
        <f>SUMPRODUCT(--(WEEKDAY(DATE(B46,C46,ROW(INDIRECT("1:"&amp;E46))))=7))</f>
        <v/>
      </c>
      <c r="H46" s="19">
        <f>E46-F46</f>
        <v/>
      </c>
      <c r="I46" s="19">
        <f>E46-F46-G46</f>
        <v/>
      </c>
    </row>
    <row r="47" hidden="1" outlineLevel="1" ht="15" customHeight="1" s="15">
      <c r="B47" s="19" t="n">
        <v>2026</v>
      </c>
      <c r="C47" s="19" t="n">
        <v>10</v>
      </c>
      <c r="D47" s="19" t="inlineStr">
        <is>
          <t>Octobre</t>
        </is>
      </c>
      <c r="E47" s="19">
        <f>DAY(EOMONTH(DATE(B47,C47,1),0))</f>
        <v/>
      </c>
      <c r="F47" s="19">
        <f>SUMPRODUCT(--(WEEKDAY(DATE(B47,C47,ROW(INDIRECT("1:"&amp;E47))))=1))</f>
        <v/>
      </c>
      <c r="G47" s="19">
        <f>SUMPRODUCT(--(WEEKDAY(DATE(B47,C47,ROW(INDIRECT("1:"&amp;E47))))=7))</f>
        <v/>
      </c>
      <c r="H47" s="19">
        <f>E47-F47</f>
        <v/>
      </c>
      <c r="I47" s="19">
        <f>E47-F47-G47</f>
        <v/>
      </c>
    </row>
    <row r="48" hidden="1" outlineLevel="1" ht="15" customHeight="1" s="15">
      <c r="B48" s="19" t="n">
        <v>2026</v>
      </c>
      <c r="C48" s="19" t="n">
        <v>11</v>
      </c>
      <c r="D48" s="19" t="inlineStr">
        <is>
          <t>Novembre</t>
        </is>
      </c>
      <c r="E48" s="19">
        <f>DAY(EOMONTH(DATE(B48,C48,1),0))</f>
        <v/>
      </c>
      <c r="F48" s="19">
        <f>SUMPRODUCT(--(WEEKDAY(DATE(B48,C48,ROW(INDIRECT("1:"&amp;E48))))=1))</f>
        <v/>
      </c>
      <c r="G48" s="19">
        <f>SUMPRODUCT(--(WEEKDAY(DATE(B48,C48,ROW(INDIRECT("1:"&amp;E48))))=7))</f>
        <v/>
      </c>
      <c r="H48" s="19">
        <f>E48-F48</f>
        <v/>
      </c>
      <c r="I48" s="19">
        <f>E48-F48-G48</f>
        <v/>
      </c>
    </row>
    <row r="49" hidden="1" outlineLevel="1" ht="15" customHeight="1" s="15">
      <c r="B49" s="19" t="n">
        <v>2026</v>
      </c>
      <c r="C49" s="19" t="n">
        <v>12</v>
      </c>
      <c r="D49" s="19" t="inlineStr">
        <is>
          <t>Décembre</t>
        </is>
      </c>
      <c r="E49" s="19">
        <f>DAY(EOMONTH(DATE(B49,C49,1),0))</f>
        <v/>
      </c>
      <c r="F49" s="19">
        <f>SUMPRODUCT(--(WEEKDAY(DATE(B49,C49,ROW(INDIRECT("1:"&amp;E49))))=1))</f>
        <v/>
      </c>
      <c r="G49" s="19">
        <f>SUMPRODUCT(--(WEEKDAY(DATE(B49,C49,ROW(INDIRECT("1:"&amp;E49))))=7))</f>
        <v/>
      </c>
      <c r="H49" s="19">
        <f>E49-F49</f>
        <v/>
      </c>
      <c r="I49" s="19">
        <f>E49-F49-G49</f>
        <v/>
      </c>
    </row>
    <row r="50" hidden="1" outlineLevel="1" ht="15" customHeight="1" s="15">
      <c r="B50" s="19" t="n">
        <v>2027</v>
      </c>
      <c r="C50" s="19" t="n">
        <v>1</v>
      </c>
      <c r="D50" s="19" t="inlineStr">
        <is>
          <t>Janvier</t>
        </is>
      </c>
      <c r="E50" s="19">
        <f>DAY(EOMONTH(DATE(B50,C50,1),0))</f>
        <v/>
      </c>
      <c r="F50" s="19">
        <f>SUMPRODUCT(--(WEEKDAY(DATE(B50,C50,ROW(INDIRECT("1:"&amp;E50))))=1))</f>
        <v/>
      </c>
      <c r="G50" s="19">
        <f>SUMPRODUCT(--(WEEKDAY(DATE(B50,C50,ROW(INDIRECT("1:"&amp;E50))))=7))</f>
        <v/>
      </c>
      <c r="H50" s="19">
        <f>E50-F50</f>
        <v/>
      </c>
      <c r="I50" s="19">
        <f>E50-F50-G50</f>
        <v/>
      </c>
    </row>
    <row r="51" hidden="1" outlineLevel="1" ht="15" customHeight="1" s="15">
      <c r="B51" s="19" t="n">
        <v>2027</v>
      </c>
      <c r="C51" s="19" t="n">
        <v>2</v>
      </c>
      <c r="D51" s="19" t="inlineStr">
        <is>
          <t>Février</t>
        </is>
      </c>
      <c r="E51" s="19">
        <f>DAY(EOMONTH(DATE(B51,C51,1),0))</f>
        <v/>
      </c>
      <c r="F51" s="19">
        <f>SUMPRODUCT(--(WEEKDAY(DATE(B51,C51,ROW(INDIRECT("1:"&amp;E51))))=1))</f>
        <v/>
      </c>
      <c r="G51" s="19">
        <f>SUMPRODUCT(--(WEEKDAY(DATE(B51,C51,ROW(INDIRECT("1:"&amp;E51))))=7))</f>
        <v/>
      </c>
      <c r="H51" s="19">
        <f>E51-F51</f>
        <v/>
      </c>
      <c r="I51" s="19">
        <f>E51-F51-G51</f>
        <v/>
      </c>
    </row>
    <row r="52" hidden="1" outlineLevel="1" ht="15" customHeight="1" s="15">
      <c r="B52" s="19" t="n">
        <v>2027</v>
      </c>
      <c r="C52" s="19" t="n">
        <v>3</v>
      </c>
      <c r="D52" s="19" t="inlineStr">
        <is>
          <t>Mars</t>
        </is>
      </c>
      <c r="E52" s="19">
        <f>DAY(EOMONTH(DATE(B52,C52,1),0))</f>
        <v/>
      </c>
      <c r="F52" s="19">
        <f>SUMPRODUCT(--(WEEKDAY(DATE(B52,C52,ROW(INDIRECT("1:"&amp;E52))))=1))</f>
        <v/>
      </c>
      <c r="G52" s="19">
        <f>SUMPRODUCT(--(WEEKDAY(DATE(B52,C52,ROW(INDIRECT("1:"&amp;E52))))=7))</f>
        <v/>
      </c>
      <c r="H52" s="19">
        <f>E52-F52</f>
        <v/>
      </c>
      <c r="I52" s="19">
        <f>E52-F52-G52</f>
        <v/>
      </c>
    </row>
    <row r="53" hidden="1" outlineLevel="1" ht="15" customHeight="1" s="15">
      <c r="B53" s="19" t="n">
        <v>2027</v>
      </c>
      <c r="C53" s="19" t="n">
        <v>4</v>
      </c>
      <c r="D53" s="19" t="inlineStr">
        <is>
          <t>Avril</t>
        </is>
      </c>
      <c r="E53" s="19">
        <f>DAY(EOMONTH(DATE(B53,C53,1),0))</f>
        <v/>
      </c>
      <c r="F53" s="19">
        <f>SUMPRODUCT(--(WEEKDAY(DATE(B53,C53,ROW(INDIRECT("1:"&amp;E53))))=1))</f>
        <v/>
      </c>
      <c r="G53" s="19">
        <f>SUMPRODUCT(--(WEEKDAY(DATE(B53,C53,ROW(INDIRECT("1:"&amp;E53))))=7))</f>
        <v/>
      </c>
      <c r="H53" s="19">
        <f>E53-F53</f>
        <v/>
      </c>
      <c r="I53" s="19">
        <f>E53-F53-G53</f>
        <v/>
      </c>
    </row>
    <row r="54" hidden="1" outlineLevel="1" ht="15" customHeight="1" s="15">
      <c r="B54" s="19" t="n">
        <v>2027</v>
      </c>
      <c r="C54" s="19" t="n">
        <v>5</v>
      </c>
      <c r="D54" s="19" t="inlineStr">
        <is>
          <t>Mai</t>
        </is>
      </c>
      <c r="E54" s="19">
        <f>DAY(EOMONTH(DATE(B54,C54,1),0))</f>
        <v/>
      </c>
      <c r="F54" s="19">
        <f>SUMPRODUCT(--(WEEKDAY(DATE(B54,C54,ROW(INDIRECT("1:"&amp;E54))))=1))</f>
        <v/>
      </c>
      <c r="G54" s="19">
        <f>SUMPRODUCT(--(WEEKDAY(DATE(B54,C54,ROW(INDIRECT("1:"&amp;E54))))=7))</f>
        <v/>
      </c>
      <c r="H54" s="19">
        <f>E54-F54</f>
        <v/>
      </c>
      <c r="I54" s="19">
        <f>E54-F54-G54</f>
        <v/>
      </c>
    </row>
    <row r="55" hidden="1" outlineLevel="1" ht="15" customHeight="1" s="15">
      <c r="B55" s="19" t="n">
        <v>2027</v>
      </c>
      <c r="C55" s="19" t="n">
        <v>6</v>
      </c>
      <c r="D55" s="19" t="inlineStr">
        <is>
          <t>Juin</t>
        </is>
      </c>
      <c r="E55" s="19">
        <f>DAY(EOMONTH(DATE(B55,C55,1),0))</f>
        <v/>
      </c>
      <c r="F55" s="19">
        <f>SUMPRODUCT(--(WEEKDAY(DATE(B55,C55,ROW(INDIRECT("1:"&amp;E55))))=1))</f>
        <v/>
      </c>
      <c r="G55" s="19">
        <f>SUMPRODUCT(--(WEEKDAY(DATE(B55,C55,ROW(INDIRECT("1:"&amp;E55))))=7))</f>
        <v/>
      </c>
      <c r="H55" s="19">
        <f>E55-F55</f>
        <v/>
      </c>
      <c r="I55" s="19">
        <f>E55-F55-G55</f>
        <v/>
      </c>
    </row>
    <row r="56" hidden="1" outlineLevel="1" ht="15" customHeight="1" s="15">
      <c r="B56" s="19" t="n">
        <v>2027</v>
      </c>
      <c r="C56" s="19" t="n">
        <v>7</v>
      </c>
      <c r="D56" s="19" t="inlineStr">
        <is>
          <t>Juillet</t>
        </is>
      </c>
      <c r="E56" s="19">
        <f>DAY(EOMONTH(DATE(B56,C56,1),0))</f>
        <v/>
      </c>
      <c r="F56" s="19">
        <f>SUMPRODUCT(--(WEEKDAY(DATE(B56,C56,ROW(INDIRECT("1:"&amp;E56))))=1))</f>
        <v/>
      </c>
      <c r="G56" s="19">
        <f>SUMPRODUCT(--(WEEKDAY(DATE(B56,C56,ROW(INDIRECT("1:"&amp;E56))))=7))</f>
        <v/>
      </c>
      <c r="H56" s="19">
        <f>E56-F56</f>
        <v/>
      </c>
      <c r="I56" s="19">
        <f>E56-F56-G56</f>
        <v/>
      </c>
    </row>
    <row r="57" hidden="1" outlineLevel="1" ht="15" customHeight="1" s="15">
      <c r="B57" s="19" t="n">
        <v>2027</v>
      </c>
      <c r="C57" s="19" t="n">
        <v>8</v>
      </c>
      <c r="D57" s="19" t="inlineStr">
        <is>
          <t>Août</t>
        </is>
      </c>
      <c r="E57" s="19">
        <f>DAY(EOMONTH(DATE(B57,C57,1),0))</f>
        <v/>
      </c>
      <c r="F57" s="19">
        <f>SUMPRODUCT(--(WEEKDAY(DATE(B57,C57,ROW(INDIRECT("1:"&amp;E57))))=1))</f>
        <v/>
      </c>
      <c r="G57" s="19">
        <f>SUMPRODUCT(--(WEEKDAY(DATE(B57,C57,ROW(INDIRECT("1:"&amp;E57))))=7))</f>
        <v/>
      </c>
      <c r="H57" s="19">
        <f>E57-F57</f>
        <v/>
      </c>
      <c r="I57" s="19">
        <f>E57-F57-G57</f>
        <v/>
      </c>
    </row>
    <row r="58" hidden="1" outlineLevel="1" ht="15" customHeight="1" s="15">
      <c r="B58" s="19" t="n">
        <v>2027</v>
      </c>
      <c r="C58" s="19" t="n">
        <v>9</v>
      </c>
      <c r="D58" s="19" t="inlineStr">
        <is>
          <t>Septembre</t>
        </is>
      </c>
      <c r="E58" s="19">
        <f>DAY(EOMONTH(DATE(B58,C58,1),0))</f>
        <v/>
      </c>
      <c r="F58" s="19">
        <f>SUMPRODUCT(--(WEEKDAY(DATE(B58,C58,ROW(INDIRECT("1:"&amp;E58))))=1))</f>
        <v/>
      </c>
      <c r="G58" s="19">
        <f>SUMPRODUCT(--(WEEKDAY(DATE(B58,C58,ROW(INDIRECT("1:"&amp;E58))))=7))</f>
        <v/>
      </c>
      <c r="H58" s="19">
        <f>E58-F58</f>
        <v/>
      </c>
      <c r="I58" s="19">
        <f>E58-F58-G58</f>
        <v/>
      </c>
    </row>
    <row r="59" hidden="1" outlineLevel="1" ht="15" customHeight="1" s="15">
      <c r="B59" s="19" t="n">
        <v>2027</v>
      </c>
      <c r="C59" s="19" t="n">
        <v>10</v>
      </c>
      <c r="D59" s="19" t="inlineStr">
        <is>
          <t>Octobre</t>
        </is>
      </c>
      <c r="E59" s="19">
        <f>DAY(EOMONTH(DATE(B59,C59,1),0))</f>
        <v/>
      </c>
      <c r="F59" s="19">
        <f>SUMPRODUCT(--(WEEKDAY(DATE(B59,C59,ROW(INDIRECT("1:"&amp;E59))))=1))</f>
        <v/>
      </c>
      <c r="G59" s="19">
        <f>SUMPRODUCT(--(WEEKDAY(DATE(B59,C59,ROW(INDIRECT("1:"&amp;E59))))=7))</f>
        <v/>
      </c>
      <c r="H59" s="19">
        <f>E59-F59</f>
        <v/>
      </c>
      <c r="I59" s="19">
        <f>E59-F59-G59</f>
        <v/>
      </c>
    </row>
    <row r="60" hidden="1" outlineLevel="1" ht="15" customHeight="1" s="15">
      <c r="B60" s="19" t="n">
        <v>2027</v>
      </c>
      <c r="C60" s="19" t="n">
        <v>11</v>
      </c>
      <c r="D60" s="19" t="inlineStr">
        <is>
          <t>Novembre</t>
        </is>
      </c>
      <c r="E60" s="19">
        <f>DAY(EOMONTH(DATE(B60,C60,1),0))</f>
        <v/>
      </c>
      <c r="F60" s="19">
        <f>SUMPRODUCT(--(WEEKDAY(DATE(B60,C60,ROW(INDIRECT("1:"&amp;E60))))=1))</f>
        <v/>
      </c>
      <c r="G60" s="19">
        <f>SUMPRODUCT(--(WEEKDAY(DATE(B60,C60,ROW(INDIRECT("1:"&amp;E60))))=7))</f>
        <v/>
      </c>
      <c r="H60" s="19">
        <f>E60-F60</f>
        <v/>
      </c>
      <c r="I60" s="19">
        <f>E60-F60-G60</f>
        <v/>
      </c>
    </row>
    <row r="61" hidden="1" outlineLevel="1" ht="15" customHeight="1" s="15">
      <c r="B61" s="19" t="n">
        <v>2027</v>
      </c>
      <c r="C61" s="19" t="n">
        <v>12</v>
      </c>
      <c r="D61" s="19" t="inlineStr">
        <is>
          <t>Décembre</t>
        </is>
      </c>
      <c r="E61" s="19">
        <f>DAY(EOMONTH(DATE(B61,C61,1),0))</f>
        <v/>
      </c>
      <c r="F61" s="19">
        <f>SUMPRODUCT(--(WEEKDAY(DATE(B61,C61,ROW(INDIRECT("1:"&amp;E61))))=1))</f>
        <v/>
      </c>
      <c r="G61" s="19">
        <f>SUMPRODUCT(--(WEEKDAY(DATE(B61,C61,ROW(INDIRECT("1:"&amp;E61))))=7))</f>
        <v/>
      </c>
      <c r="H61" s="19">
        <f>E61-F61</f>
        <v/>
      </c>
      <c r="I61" s="19">
        <f>E61-F61-G61</f>
        <v/>
      </c>
    </row>
    <row r="62" hidden="1" outlineLevel="1" ht="15" customHeight="1" s="15">
      <c r="B62" s="19" t="n">
        <v>2028</v>
      </c>
      <c r="C62" s="19" t="n">
        <v>1</v>
      </c>
      <c r="D62" s="19" t="inlineStr">
        <is>
          <t>Janvier</t>
        </is>
      </c>
      <c r="E62" s="19">
        <f>DAY(EOMONTH(DATE(B62,C62,1),0))</f>
        <v/>
      </c>
      <c r="F62" s="19">
        <f>SUMPRODUCT(--(WEEKDAY(DATE(B62,C62,ROW(INDIRECT("1:"&amp;E62))))=1))</f>
        <v/>
      </c>
      <c r="G62" s="19">
        <f>SUMPRODUCT(--(WEEKDAY(DATE(B62,C62,ROW(INDIRECT("1:"&amp;E62))))=7))</f>
        <v/>
      </c>
      <c r="H62" s="19">
        <f>E62-F62</f>
        <v/>
      </c>
      <c r="I62" s="19">
        <f>E62-F62-G62</f>
        <v/>
      </c>
    </row>
    <row r="63" hidden="1" outlineLevel="1" ht="15" customHeight="1" s="15">
      <c r="B63" s="19" t="n">
        <v>2028</v>
      </c>
      <c r="C63" s="19" t="n">
        <v>2</v>
      </c>
      <c r="D63" s="19" t="inlineStr">
        <is>
          <t>Février</t>
        </is>
      </c>
      <c r="E63" s="19">
        <f>DAY(EOMONTH(DATE(B63,C63,1),0))</f>
        <v/>
      </c>
      <c r="F63" s="19">
        <f>SUMPRODUCT(--(WEEKDAY(DATE(B63,C63,ROW(INDIRECT("1:"&amp;E63))))=1))</f>
        <v/>
      </c>
      <c r="G63" s="19">
        <f>SUMPRODUCT(--(WEEKDAY(DATE(B63,C63,ROW(INDIRECT("1:"&amp;E63))))=7))</f>
        <v/>
      </c>
      <c r="H63" s="19">
        <f>E63-F63</f>
        <v/>
      </c>
      <c r="I63" s="19">
        <f>E63-F63-G63</f>
        <v/>
      </c>
    </row>
    <row r="64" hidden="1" outlineLevel="1" ht="15" customHeight="1" s="15">
      <c r="B64" s="19" t="n">
        <v>2028</v>
      </c>
      <c r="C64" s="19" t="n">
        <v>3</v>
      </c>
      <c r="D64" s="19" t="inlineStr">
        <is>
          <t>Mars</t>
        </is>
      </c>
      <c r="E64" s="19">
        <f>DAY(EOMONTH(DATE(B64,C64,1),0))</f>
        <v/>
      </c>
      <c r="F64" s="19">
        <f>SUMPRODUCT(--(WEEKDAY(DATE(B64,C64,ROW(INDIRECT("1:"&amp;E64))))=1))</f>
        <v/>
      </c>
      <c r="G64" s="19">
        <f>SUMPRODUCT(--(WEEKDAY(DATE(B64,C64,ROW(INDIRECT("1:"&amp;E64))))=7))</f>
        <v/>
      </c>
      <c r="H64" s="19">
        <f>E64-F64</f>
        <v/>
      </c>
      <c r="I64" s="19">
        <f>E64-F64-G64</f>
        <v/>
      </c>
    </row>
    <row r="65" hidden="1" outlineLevel="1" ht="15" customHeight="1" s="15">
      <c r="B65" s="19" t="n">
        <v>2028</v>
      </c>
      <c r="C65" s="19" t="n">
        <v>4</v>
      </c>
      <c r="D65" s="19" t="inlineStr">
        <is>
          <t>Avril</t>
        </is>
      </c>
      <c r="E65" s="19">
        <f>DAY(EOMONTH(DATE(B65,C65,1),0))</f>
        <v/>
      </c>
      <c r="F65" s="19">
        <f>SUMPRODUCT(--(WEEKDAY(DATE(B65,C65,ROW(INDIRECT("1:"&amp;E65))))=1))</f>
        <v/>
      </c>
      <c r="G65" s="19">
        <f>SUMPRODUCT(--(WEEKDAY(DATE(B65,C65,ROW(INDIRECT("1:"&amp;E65))))=7))</f>
        <v/>
      </c>
      <c r="H65" s="19">
        <f>E65-F65</f>
        <v/>
      </c>
      <c r="I65" s="19">
        <f>E65-F65-G65</f>
        <v/>
      </c>
    </row>
    <row r="66" hidden="1" outlineLevel="1" ht="15" customHeight="1" s="15">
      <c r="B66" s="19" t="n">
        <v>2028</v>
      </c>
      <c r="C66" s="19" t="n">
        <v>5</v>
      </c>
      <c r="D66" s="19" t="inlineStr">
        <is>
          <t>Mai</t>
        </is>
      </c>
      <c r="E66" s="19">
        <f>DAY(EOMONTH(DATE(B66,C66,1),0))</f>
        <v/>
      </c>
      <c r="F66" s="19">
        <f>SUMPRODUCT(--(WEEKDAY(DATE(B66,C66,ROW(INDIRECT("1:"&amp;E66))))=1))</f>
        <v/>
      </c>
      <c r="G66" s="19">
        <f>SUMPRODUCT(--(WEEKDAY(DATE(B66,C66,ROW(INDIRECT("1:"&amp;E66))))=7))</f>
        <v/>
      </c>
      <c r="H66" s="19">
        <f>E66-F66</f>
        <v/>
      </c>
      <c r="I66" s="19">
        <f>E66-F66-G66</f>
        <v/>
      </c>
    </row>
    <row r="67" hidden="1" outlineLevel="1" ht="15" customHeight="1" s="15">
      <c r="B67" s="19" t="n">
        <v>2028</v>
      </c>
      <c r="C67" s="19" t="n">
        <v>6</v>
      </c>
      <c r="D67" s="19" t="inlineStr">
        <is>
          <t>Juin</t>
        </is>
      </c>
      <c r="E67" s="19">
        <f>DAY(EOMONTH(DATE(B67,C67,1),0))</f>
        <v/>
      </c>
      <c r="F67" s="19">
        <f>SUMPRODUCT(--(WEEKDAY(DATE(B67,C67,ROW(INDIRECT("1:"&amp;E67))))=1))</f>
        <v/>
      </c>
      <c r="G67" s="19">
        <f>SUMPRODUCT(--(WEEKDAY(DATE(B67,C67,ROW(INDIRECT("1:"&amp;E67))))=7))</f>
        <v/>
      </c>
      <c r="H67" s="19">
        <f>E67-F67</f>
        <v/>
      </c>
      <c r="I67" s="19">
        <f>E67-F67-G67</f>
        <v/>
      </c>
    </row>
    <row r="68" hidden="1" outlineLevel="1" ht="15" customHeight="1" s="15">
      <c r="B68" s="19" t="n">
        <v>2028</v>
      </c>
      <c r="C68" s="19" t="n">
        <v>7</v>
      </c>
      <c r="D68" s="19" t="inlineStr">
        <is>
          <t>Juillet</t>
        </is>
      </c>
      <c r="E68" s="19">
        <f>DAY(EOMONTH(DATE(B68,C68,1),0))</f>
        <v/>
      </c>
      <c r="F68" s="19">
        <f>SUMPRODUCT(--(WEEKDAY(DATE(B68,C68,ROW(INDIRECT("1:"&amp;E68))))=1))</f>
        <v/>
      </c>
      <c r="G68" s="19">
        <f>SUMPRODUCT(--(WEEKDAY(DATE(B68,C68,ROW(INDIRECT("1:"&amp;E68))))=7))</f>
        <v/>
      </c>
      <c r="H68" s="19">
        <f>E68-F68</f>
        <v/>
      </c>
      <c r="I68" s="19">
        <f>E68-F68-G68</f>
        <v/>
      </c>
    </row>
    <row r="69" hidden="1" outlineLevel="1" ht="15" customHeight="1" s="15">
      <c r="B69" s="19" t="n">
        <v>2028</v>
      </c>
      <c r="C69" s="19" t="n">
        <v>8</v>
      </c>
      <c r="D69" s="19" t="inlineStr">
        <is>
          <t>Août</t>
        </is>
      </c>
      <c r="E69" s="19">
        <f>DAY(EOMONTH(DATE(B69,C69,1),0))</f>
        <v/>
      </c>
      <c r="F69" s="19">
        <f>SUMPRODUCT(--(WEEKDAY(DATE(B69,C69,ROW(INDIRECT("1:"&amp;E69))))=1))</f>
        <v/>
      </c>
      <c r="G69" s="19">
        <f>SUMPRODUCT(--(WEEKDAY(DATE(B69,C69,ROW(INDIRECT("1:"&amp;E69))))=7))</f>
        <v/>
      </c>
      <c r="H69" s="19">
        <f>E69-F69</f>
        <v/>
      </c>
      <c r="I69" s="19">
        <f>E69-F69-G69</f>
        <v/>
      </c>
    </row>
    <row r="70" hidden="1" outlineLevel="1" ht="15" customHeight="1" s="15">
      <c r="B70" s="19" t="n">
        <v>2028</v>
      </c>
      <c r="C70" s="19" t="n">
        <v>9</v>
      </c>
      <c r="D70" s="19" t="inlineStr">
        <is>
          <t>Septembre</t>
        </is>
      </c>
      <c r="E70" s="19">
        <f>DAY(EOMONTH(DATE(B70,C70,1),0))</f>
        <v/>
      </c>
      <c r="F70" s="19">
        <f>SUMPRODUCT(--(WEEKDAY(DATE(B70,C70,ROW(INDIRECT("1:"&amp;E70))))=1))</f>
        <v/>
      </c>
      <c r="G70" s="19">
        <f>SUMPRODUCT(--(WEEKDAY(DATE(B70,C70,ROW(INDIRECT("1:"&amp;E70))))=7))</f>
        <v/>
      </c>
      <c r="H70" s="19">
        <f>E70-F70</f>
        <v/>
      </c>
      <c r="I70" s="19">
        <f>E70-F70-G70</f>
        <v/>
      </c>
    </row>
    <row r="71" hidden="1" outlineLevel="1" ht="15" customHeight="1" s="15">
      <c r="B71" s="19" t="n">
        <v>2028</v>
      </c>
      <c r="C71" s="19" t="n">
        <v>10</v>
      </c>
      <c r="D71" s="19" t="inlineStr">
        <is>
          <t>Octobre</t>
        </is>
      </c>
      <c r="E71" s="19">
        <f>DAY(EOMONTH(DATE(B71,C71,1),0))</f>
        <v/>
      </c>
      <c r="F71" s="19">
        <f>SUMPRODUCT(--(WEEKDAY(DATE(B71,C71,ROW(INDIRECT("1:"&amp;E71))))=1))</f>
        <v/>
      </c>
      <c r="G71" s="19">
        <f>SUMPRODUCT(--(WEEKDAY(DATE(B71,C71,ROW(INDIRECT("1:"&amp;E71))))=7))</f>
        <v/>
      </c>
      <c r="H71" s="19">
        <f>E71-F71</f>
        <v/>
      </c>
      <c r="I71" s="19">
        <f>E71-F71-G71</f>
        <v/>
      </c>
    </row>
    <row r="72" hidden="1" outlineLevel="1" ht="15" customHeight="1" s="15">
      <c r="B72" s="19" t="n">
        <v>2028</v>
      </c>
      <c r="C72" s="19" t="n">
        <v>11</v>
      </c>
      <c r="D72" s="19" t="inlineStr">
        <is>
          <t>Novembre</t>
        </is>
      </c>
      <c r="E72" s="19">
        <f>DAY(EOMONTH(DATE(B72,C72,1),0))</f>
        <v/>
      </c>
      <c r="F72" s="19">
        <f>SUMPRODUCT(--(WEEKDAY(DATE(B72,C72,ROW(INDIRECT("1:"&amp;E72))))=1))</f>
        <v/>
      </c>
      <c r="G72" s="19">
        <f>SUMPRODUCT(--(WEEKDAY(DATE(B72,C72,ROW(INDIRECT("1:"&amp;E72))))=7))</f>
        <v/>
      </c>
      <c r="H72" s="19">
        <f>E72-F72</f>
        <v/>
      </c>
      <c r="I72" s="19">
        <f>E72-F72-G72</f>
        <v/>
      </c>
    </row>
    <row r="73" hidden="1" outlineLevel="1" ht="15" customHeight="1" s="15">
      <c r="B73" s="19" t="n">
        <v>2028</v>
      </c>
      <c r="C73" s="19" t="n">
        <v>12</v>
      </c>
      <c r="D73" s="19" t="inlineStr">
        <is>
          <t>Décembre</t>
        </is>
      </c>
      <c r="E73" s="19">
        <f>DAY(EOMONTH(DATE(B73,C73,1),0))</f>
        <v/>
      </c>
      <c r="F73" s="19">
        <f>SUMPRODUCT(--(WEEKDAY(DATE(B73,C73,ROW(INDIRECT("1:"&amp;E73))))=1))</f>
        <v/>
      </c>
      <c r="G73" s="19">
        <f>SUMPRODUCT(--(WEEKDAY(DATE(B73,C73,ROW(INDIRECT("1:"&amp;E73))))=7))</f>
        <v/>
      </c>
      <c r="H73" s="19">
        <f>E73-F73</f>
        <v/>
      </c>
      <c r="I73" s="19">
        <f>E73-F73-G73</f>
        <v/>
      </c>
    </row>
    <row r="74" hidden="1" outlineLevel="1" ht="15" customHeight="1" s="15">
      <c r="B74" s="19" t="n">
        <v>2029</v>
      </c>
      <c r="C74" s="19" t="n">
        <v>1</v>
      </c>
      <c r="D74" s="19" t="inlineStr">
        <is>
          <t>Janvier</t>
        </is>
      </c>
      <c r="E74" s="19">
        <f>DAY(EOMONTH(DATE(B74,C74,1),0))</f>
        <v/>
      </c>
      <c r="F74" s="19">
        <f>SUMPRODUCT(--(WEEKDAY(DATE(B74,C74,ROW(INDIRECT("1:"&amp;E74))))=1))</f>
        <v/>
      </c>
      <c r="G74" s="19">
        <f>SUMPRODUCT(--(WEEKDAY(DATE(B74,C74,ROW(INDIRECT("1:"&amp;E74))))=7))</f>
        <v/>
      </c>
      <c r="H74" s="19">
        <f>E74-F74</f>
        <v/>
      </c>
      <c r="I74" s="19">
        <f>E74-F74-G74</f>
        <v/>
      </c>
    </row>
    <row r="75" hidden="1" outlineLevel="1" ht="15" customHeight="1" s="15">
      <c r="B75" s="19" t="n">
        <v>2029</v>
      </c>
      <c r="C75" s="19" t="n">
        <v>2</v>
      </c>
      <c r="D75" s="19" t="inlineStr">
        <is>
          <t>Février</t>
        </is>
      </c>
      <c r="E75" s="19">
        <f>DAY(EOMONTH(DATE(B75,C75,1),0))</f>
        <v/>
      </c>
      <c r="F75" s="19">
        <f>SUMPRODUCT(--(WEEKDAY(DATE(B75,C75,ROW(INDIRECT("1:"&amp;E75))))=1))</f>
        <v/>
      </c>
      <c r="G75" s="19">
        <f>SUMPRODUCT(--(WEEKDAY(DATE(B75,C75,ROW(INDIRECT("1:"&amp;E75))))=7))</f>
        <v/>
      </c>
      <c r="H75" s="19">
        <f>E75-F75</f>
        <v/>
      </c>
      <c r="I75" s="19">
        <f>E75-F75-G75</f>
        <v/>
      </c>
    </row>
    <row r="76" hidden="1" outlineLevel="1" ht="15" customHeight="1" s="15">
      <c r="B76" s="19" t="n">
        <v>2029</v>
      </c>
      <c r="C76" s="19" t="n">
        <v>3</v>
      </c>
      <c r="D76" s="19" t="inlineStr">
        <is>
          <t>Mars</t>
        </is>
      </c>
      <c r="E76" s="19">
        <f>DAY(EOMONTH(DATE(B76,C76,1),0))</f>
        <v/>
      </c>
      <c r="F76" s="19">
        <f>SUMPRODUCT(--(WEEKDAY(DATE(B76,C76,ROW(INDIRECT("1:"&amp;E76))))=1))</f>
        <v/>
      </c>
      <c r="G76" s="19">
        <f>SUMPRODUCT(--(WEEKDAY(DATE(B76,C76,ROW(INDIRECT("1:"&amp;E76))))=7))</f>
        <v/>
      </c>
      <c r="H76" s="19">
        <f>E76-F76</f>
        <v/>
      </c>
      <c r="I76" s="19">
        <f>E76-F76-G76</f>
        <v/>
      </c>
    </row>
    <row r="77" hidden="1" outlineLevel="1" ht="15" customHeight="1" s="15">
      <c r="B77" s="19" t="n">
        <v>2029</v>
      </c>
      <c r="C77" s="19" t="n">
        <v>4</v>
      </c>
      <c r="D77" s="19" t="inlineStr">
        <is>
          <t>Avril</t>
        </is>
      </c>
      <c r="E77" s="19">
        <f>DAY(EOMONTH(DATE(B77,C77,1),0))</f>
        <v/>
      </c>
      <c r="F77" s="19">
        <f>SUMPRODUCT(--(WEEKDAY(DATE(B77,C77,ROW(INDIRECT("1:"&amp;E77))))=1))</f>
        <v/>
      </c>
      <c r="G77" s="19">
        <f>SUMPRODUCT(--(WEEKDAY(DATE(B77,C77,ROW(INDIRECT("1:"&amp;E77))))=7))</f>
        <v/>
      </c>
      <c r="H77" s="19">
        <f>E77-F77</f>
        <v/>
      </c>
      <c r="I77" s="19">
        <f>E77-F77-G77</f>
        <v/>
      </c>
    </row>
    <row r="78" hidden="1" outlineLevel="1" ht="15" customHeight="1" s="15">
      <c r="B78" s="19" t="n">
        <v>2029</v>
      </c>
      <c r="C78" s="19" t="n">
        <v>5</v>
      </c>
      <c r="D78" s="19" t="inlineStr">
        <is>
          <t>Mai</t>
        </is>
      </c>
      <c r="E78" s="19">
        <f>DAY(EOMONTH(DATE(B78,C78,1),0))</f>
        <v/>
      </c>
      <c r="F78" s="19">
        <f>SUMPRODUCT(--(WEEKDAY(DATE(B78,C78,ROW(INDIRECT("1:"&amp;E78))))=1))</f>
        <v/>
      </c>
      <c r="G78" s="19">
        <f>SUMPRODUCT(--(WEEKDAY(DATE(B78,C78,ROW(INDIRECT("1:"&amp;E78))))=7))</f>
        <v/>
      </c>
      <c r="H78" s="19">
        <f>E78-F78</f>
        <v/>
      </c>
      <c r="I78" s="19">
        <f>E78-F78-G78</f>
        <v/>
      </c>
    </row>
    <row r="79" hidden="1" outlineLevel="1" ht="15" customHeight="1" s="15">
      <c r="B79" s="19" t="n">
        <v>2029</v>
      </c>
      <c r="C79" s="19" t="n">
        <v>6</v>
      </c>
      <c r="D79" s="19" t="inlineStr">
        <is>
          <t>Juin</t>
        </is>
      </c>
      <c r="E79" s="19">
        <f>DAY(EOMONTH(DATE(B79,C79,1),0))</f>
        <v/>
      </c>
      <c r="F79" s="19">
        <f>SUMPRODUCT(--(WEEKDAY(DATE(B79,C79,ROW(INDIRECT("1:"&amp;E79))))=1))</f>
        <v/>
      </c>
      <c r="G79" s="19">
        <f>SUMPRODUCT(--(WEEKDAY(DATE(B79,C79,ROW(INDIRECT("1:"&amp;E79))))=7))</f>
        <v/>
      </c>
      <c r="H79" s="19">
        <f>E79-F79</f>
        <v/>
      </c>
      <c r="I79" s="19">
        <f>E79-F79-G79</f>
        <v/>
      </c>
    </row>
    <row r="80" hidden="1" outlineLevel="1" ht="15" customHeight="1" s="15">
      <c r="B80" s="19" t="n">
        <v>2029</v>
      </c>
      <c r="C80" s="19" t="n">
        <v>7</v>
      </c>
      <c r="D80" s="19" t="inlineStr">
        <is>
          <t>Juillet</t>
        </is>
      </c>
      <c r="E80" s="19">
        <f>DAY(EOMONTH(DATE(B80,C80,1),0))</f>
        <v/>
      </c>
      <c r="F80" s="19">
        <f>SUMPRODUCT(--(WEEKDAY(DATE(B80,C80,ROW(INDIRECT("1:"&amp;E80))))=1))</f>
        <v/>
      </c>
      <c r="G80" s="19">
        <f>SUMPRODUCT(--(WEEKDAY(DATE(B80,C80,ROW(INDIRECT("1:"&amp;E80))))=7))</f>
        <v/>
      </c>
      <c r="H80" s="19">
        <f>E80-F80</f>
        <v/>
      </c>
      <c r="I80" s="19">
        <f>E80-F80-G80</f>
        <v/>
      </c>
    </row>
    <row r="81" hidden="1" outlineLevel="1" ht="15" customHeight="1" s="15">
      <c r="B81" s="19" t="n">
        <v>2029</v>
      </c>
      <c r="C81" s="19" t="n">
        <v>8</v>
      </c>
      <c r="D81" s="19" t="inlineStr">
        <is>
          <t>Août</t>
        </is>
      </c>
      <c r="E81" s="19">
        <f>DAY(EOMONTH(DATE(B81,C81,1),0))</f>
        <v/>
      </c>
      <c r="F81" s="19">
        <f>SUMPRODUCT(--(WEEKDAY(DATE(B81,C81,ROW(INDIRECT("1:"&amp;E81))))=1))</f>
        <v/>
      </c>
      <c r="G81" s="19">
        <f>SUMPRODUCT(--(WEEKDAY(DATE(B81,C81,ROW(INDIRECT("1:"&amp;E81))))=7))</f>
        <v/>
      </c>
      <c r="H81" s="19">
        <f>E81-F81</f>
        <v/>
      </c>
      <c r="I81" s="19">
        <f>E81-F81-G81</f>
        <v/>
      </c>
    </row>
    <row r="82" hidden="1" outlineLevel="1" ht="15" customHeight="1" s="15">
      <c r="B82" s="19" t="n">
        <v>2029</v>
      </c>
      <c r="C82" s="19" t="n">
        <v>9</v>
      </c>
      <c r="D82" s="19" t="inlineStr">
        <is>
          <t>Septembre</t>
        </is>
      </c>
      <c r="E82" s="19">
        <f>DAY(EOMONTH(DATE(B82,C82,1),0))</f>
        <v/>
      </c>
      <c r="F82" s="19">
        <f>SUMPRODUCT(--(WEEKDAY(DATE(B82,C82,ROW(INDIRECT("1:"&amp;E82))))=1))</f>
        <v/>
      </c>
      <c r="G82" s="19">
        <f>SUMPRODUCT(--(WEEKDAY(DATE(B82,C82,ROW(INDIRECT("1:"&amp;E82))))=7))</f>
        <v/>
      </c>
      <c r="H82" s="19">
        <f>E82-F82</f>
        <v/>
      </c>
      <c r="I82" s="19">
        <f>E82-F82-G82</f>
        <v/>
      </c>
    </row>
    <row r="83" hidden="1" outlineLevel="1" ht="15" customHeight="1" s="15">
      <c r="B83" s="19" t="n">
        <v>2029</v>
      </c>
      <c r="C83" s="19" t="n">
        <v>10</v>
      </c>
      <c r="D83" s="19" t="inlineStr">
        <is>
          <t>Octobre</t>
        </is>
      </c>
      <c r="E83" s="19">
        <f>DAY(EOMONTH(DATE(B83,C83,1),0))</f>
        <v/>
      </c>
      <c r="F83" s="19">
        <f>SUMPRODUCT(--(WEEKDAY(DATE(B83,C83,ROW(INDIRECT("1:"&amp;E83))))=1))</f>
        <v/>
      </c>
      <c r="G83" s="19">
        <f>SUMPRODUCT(--(WEEKDAY(DATE(B83,C83,ROW(INDIRECT("1:"&amp;E83))))=7))</f>
        <v/>
      </c>
      <c r="H83" s="19">
        <f>E83-F83</f>
        <v/>
      </c>
      <c r="I83" s="19">
        <f>E83-F83-G83</f>
        <v/>
      </c>
    </row>
    <row r="84" hidden="1" outlineLevel="1" ht="15" customHeight="1" s="15">
      <c r="B84" s="19" t="n">
        <v>2029</v>
      </c>
      <c r="C84" s="19" t="n">
        <v>11</v>
      </c>
      <c r="D84" s="19" t="inlineStr">
        <is>
          <t>Novembre</t>
        </is>
      </c>
      <c r="E84" s="19">
        <f>DAY(EOMONTH(DATE(B84,C84,1),0))</f>
        <v/>
      </c>
      <c r="F84" s="19">
        <f>SUMPRODUCT(--(WEEKDAY(DATE(B84,C84,ROW(INDIRECT("1:"&amp;E84))))=1))</f>
        <v/>
      </c>
      <c r="G84" s="19">
        <f>SUMPRODUCT(--(WEEKDAY(DATE(B84,C84,ROW(INDIRECT("1:"&amp;E84))))=7))</f>
        <v/>
      </c>
      <c r="H84" s="19">
        <f>E84-F84</f>
        <v/>
      </c>
      <c r="I84" s="19">
        <f>E84-F84-G84</f>
        <v/>
      </c>
    </row>
    <row r="85" hidden="1" outlineLevel="1" ht="15" customHeight="1" s="15">
      <c r="B85" s="19" t="n">
        <v>2029</v>
      </c>
      <c r="C85" s="19" t="n">
        <v>12</v>
      </c>
      <c r="D85" s="19" t="inlineStr">
        <is>
          <t>Décembre</t>
        </is>
      </c>
      <c r="E85" s="19">
        <f>DAY(EOMONTH(DATE(B85,C85,1),0))</f>
        <v/>
      </c>
      <c r="F85" s="19">
        <f>SUMPRODUCT(--(WEEKDAY(DATE(B85,C85,ROW(INDIRECT("1:"&amp;E85))))=1))</f>
        <v/>
      </c>
      <c r="G85" s="19">
        <f>SUMPRODUCT(--(WEEKDAY(DATE(B85,C85,ROW(INDIRECT("1:"&amp;E85))))=7))</f>
        <v/>
      </c>
      <c r="H85" s="19">
        <f>E85-F85</f>
        <v/>
      </c>
      <c r="I85" s="19">
        <f>E85-F85-G85</f>
        <v/>
      </c>
    </row>
    <row r="86" hidden="1" outlineLevel="1" ht="15" customHeight="1" s="15">
      <c r="B86" s="19" t="n">
        <v>2030</v>
      </c>
      <c r="C86" s="19" t="n">
        <v>1</v>
      </c>
      <c r="D86" s="19" t="inlineStr">
        <is>
          <t>Janvier</t>
        </is>
      </c>
      <c r="E86" s="19">
        <f>DAY(EOMONTH(DATE(B86,C86,1),0))</f>
        <v/>
      </c>
      <c r="F86" s="19">
        <f>SUMPRODUCT(--(WEEKDAY(DATE(B86,C86,ROW(INDIRECT("1:"&amp;E86))))=1))</f>
        <v/>
      </c>
      <c r="G86" s="19">
        <f>SUMPRODUCT(--(WEEKDAY(DATE(B86,C86,ROW(INDIRECT("1:"&amp;E86))))=7))</f>
        <v/>
      </c>
      <c r="H86" s="19">
        <f>E86-F86</f>
        <v/>
      </c>
      <c r="I86" s="19">
        <f>E86-F86-G86</f>
        <v/>
      </c>
    </row>
    <row r="87" hidden="1" outlineLevel="1" ht="15" customHeight="1" s="15">
      <c r="B87" s="19" t="n">
        <v>2030</v>
      </c>
      <c r="C87" s="19" t="n">
        <v>2</v>
      </c>
      <c r="D87" s="19" t="inlineStr">
        <is>
          <t>Février</t>
        </is>
      </c>
      <c r="E87" s="19">
        <f>DAY(EOMONTH(DATE(B87,C87,1),0))</f>
        <v/>
      </c>
      <c r="F87" s="19">
        <f>SUMPRODUCT(--(WEEKDAY(DATE(B87,C87,ROW(INDIRECT("1:"&amp;E87))))=1))</f>
        <v/>
      </c>
      <c r="G87" s="19">
        <f>SUMPRODUCT(--(WEEKDAY(DATE(B87,C87,ROW(INDIRECT("1:"&amp;E87))))=7))</f>
        <v/>
      </c>
      <c r="H87" s="19">
        <f>E87-F87</f>
        <v/>
      </c>
      <c r="I87" s="19">
        <f>E87-F87-G87</f>
        <v/>
      </c>
    </row>
    <row r="88" hidden="1" outlineLevel="1" ht="15" customHeight="1" s="15">
      <c r="B88" s="19" t="n">
        <v>2030</v>
      </c>
      <c r="C88" s="19" t="n">
        <v>3</v>
      </c>
      <c r="D88" s="19" t="inlineStr">
        <is>
          <t>Mars</t>
        </is>
      </c>
      <c r="E88" s="19">
        <f>DAY(EOMONTH(DATE(B88,C88,1),0))</f>
        <v/>
      </c>
      <c r="F88" s="19">
        <f>SUMPRODUCT(--(WEEKDAY(DATE(B88,C88,ROW(INDIRECT("1:"&amp;E88))))=1))</f>
        <v/>
      </c>
      <c r="G88" s="19">
        <f>SUMPRODUCT(--(WEEKDAY(DATE(B88,C88,ROW(INDIRECT("1:"&amp;E88))))=7))</f>
        <v/>
      </c>
      <c r="H88" s="19">
        <f>E88-F88</f>
        <v/>
      </c>
      <c r="I88" s="19">
        <f>E88-F88-G88</f>
        <v/>
      </c>
    </row>
    <row r="89" hidden="1" outlineLevel="1" ht="15" customHeight="1" s="15">
      <c r="B89" s="19" t="n">
        <v>2030</v>
      </c>
      <c r="C89" s="19" t="n">
        <v>4</v>
      </c>
      <c r="D89" s="19" t="inlineStr">
        <is>
          <t>Avril</t>
        </is>
      </c>
      <c r="E89" s="19">
        <f>DAY(EOMONTH(DATE(B89,C89,1),0))</f>
        <v/>
      </c>
      <c r="F89" s="19">
        <f>SUMPRODUCT(--(WEEKDAY(DATE(B89,C89,ROW(INDIRECT("1:"&amp;E89))))=1))</f>
        <v/>
      </c>
      <c r="G89" s="19">
        <f>SUMPRODUCT(--(WEEKDAY(DATE(B89,C89,ROW(INDIRECT("1:"&amp;E89))))=7))</f>
        <v/>
      </c>
      <c r="H89" s="19">
        <f>E89-F89</f>
        <v/>
      </c>
      <c r="I89" s="19">
        <f>E89-F89-G89</f>
        <v/>
      </c>
    </row>
    <row r="90" hidden="1" outlineLevel="1" ht="15" customHeight="1" s="15">
      <c r="B90" s="19" t="n">
        <v>2030</v>
      </c>
      <c r="C90" s="19" t="n">
        <v>5</v>
      </c>
      <c r="D90" s="19" t="inlineStr">
        <is>
          <t>Mai</t>
        </is>
      </c>
      <c r="E90" s="19">
        <f>DAY(EOMONTH(DATE(B90,C90,1),0))</f>
        <v/>
      </c>
      <c r="F90" s="19">
        <f>SUMPRODUCT(--(WEEKDAY(DATE(B90,C90,ROW(INDIRECT("1:"&amp;E90))))=1))</f>
        <v/>
      </c>
      <c r="G90" s="19">
        <f>SUMPRODUCT(--(WEEKDAY(DATE(B90,C90,ROW(INDIRECT("1:"&amp;E90))))=7))</f>
        <v/>
      </c>
      <c r="H90" s="19">
        <f>E90-F90</f>
        <v/>
      </c>
      <c r="I90" s="19">
        <f>E90-F90-G90</f>
        <v/>
      </c>
    </row>
    <row r="91" hidden="1" outlineLevel="1" ht="15" customHeight="1" s="15">
      <c r="B91" s="19" t="n">
        <v>2030</v>
      </c>
      <c r="C91" s="19" t="n">
        <v>6</v>
      </c>
      <c r="D91" s="19" t="inlineStr">
        <is>
          <t>Juin</t>
        </is>
      </c>
      <c r="E91" s="19">
        <f>DAY(EOMONTH(DATE(B91,C91,1),0))</f>
        <v/>
      </c>
      <c r="F91" s="19">
        <f>SUMPRODUCT(--(WEEKDAY(DATE(B91,C91,ROW(INDIRECT("1:"&amp;E91))))=1))</f>
        <v/>
      </c>
      <c r="G91" s="19">
        <f>SUMPRODUCT(--(WEEKDAY(DATE(B91,C91,ROW(INDIRECT("1:"&amp;E91))))=7))</f>
        <v/>
      </c>
      <c r="H91" s="19">
        <f>E91-F91</f>
        <v/>
      </c>
      <c r="I91" s="19">
        <f>E91-F91-G91</f>
        <v/>
      </c>
    </row>
    <row r="92" hidden="1" outlineLevel="1" ht="15" customHeight="1" s="15">
      <c r="B92" s="19" t="n">
        <v>2030</v>
      </c>
      <c r="C92" s="19" t="n">
        <v>7</v>
      </c>
      <c r="D92" s="19" t="inlineStr">
        <is>
          <t>Juillet</t>
        </is>
      </c>
      <c r="E92" s="19">
        <f>DAY(EOMONTH(DATE(B92,C92,1),0))</f>
        <v/>
      </c>
      <c r="F92" s="19">
        <f>SUMPRODUCT(--(WEEKDAY(DATE(B92,C92,ROW(INDIRECT("1:"&amp;E92))))=1))</f>
        <v/>
      </c>
      <c r="G92" s="19">
        <f>SUMPRODUCT(--(WEEKDAY(DATE(B92,C92,ROW(INDIRECT("1:"&amp;E92))))=7))</f>
        <v/>
      </c>
      <c r="H92" s="19">
        <f>E92-F92</f>
        <v/>
      </c>
      <c r="I92" s="19">
        <f>E92-F92-G92</f>
        <v/>
      </c>
    </row>
    <row r="93" hidden="1" outlineLevel="1" ht="15" customHeight="1" s="15">
      <c r="B93" s="19" t="n">
        <v>2030</v>
      </c>
      <c r="C93" s="19" t="n">
        <v>8</v>
      </c>
      <c r="D93" s="19" t="inlineStr">
        <is>
          <t>Août</t>
        </is>
      </c>
      <c r="E93" s="19">
        <f>DAY(EOMONTH(DATE(B93,C93,1),0))</f>
        <v/>
      </c>
      <c r="F93" s="19">
        <f>SUMPRODUCT(--(WEEKDAY(DATE(B93,C93,ROW(INDIRECT("1:"&amp;E93))))=1))</f>
        <v/>
      </c>
      <c r="G93" s="19">
        <f>SUMPRODUCT(--(WEEKDAY(DATE(B93,C93,ROW(INDIRECT("1:"&amp;E93))))=7))</f>
        <v/>
      </c>
      <c r="H93" s="19">
        <f>E93-F93</f>
        <v/>
      </c>
      <c r="I93" s="19">
        <f>E93-F93-G93</f>
        <v/>
      </c>
    </row>
    <row r="94" hidden="1" outlineLevel="1" ht="15" customHeight="1" s="15">
      <c r="B94" s="19" t="n">
        <v>2030</v>
      </c>
      <c r="C94" s="19" t="n">
        <v>9</v>
      </c>
      <c r="D94" s="19" t="inlineStr">
        <is>
          <t>Septembre</t>
        </is>
      </c>
      <c r="E94" s="19">
        <f>DAY(EOMONTH(DATE(B94,C94,1),0))</f>
        <v/>
      </c>
      <c r="F94" s="19">
        <f>SUMPRODUCT(--(WEEKDAY(DATE(B94,C94,ROW(INDIRECT("1:"&amp;E94))))=1))</f>
        <v/>
      </c>
      <c r="G94" s="19">
        <f>SUMPRODUCT(--(WEEKDAY(DATE(B94,C94,ROW(INDIRECT("1:"&amp;E94))))=7))</f>
        <v/>
      </c>
      <c r="H94" s="19">
        <f>E94-F94</f>
        <v/>
      </c>
      <c r="I94" s="19">
        <f>E94-F94-G94</f>
        <v/>
      </c>
    </row>
    <row r="95" hidden="1" outlineLevel="1" ht="15" customHeight="1" s="15">
      <c r="B95" s="19" t="n">
        <v>2030</v>
      </c>
      <c r="C95" s="19" t="n">
        <v>10</v>
      </c>
      <c r="D95" s="19" t="inlineStr">
        <is>
          <t>Octobre</t>
        </is>
      </c>
      <c r="E95" s="19">
        <f>DAY(EOMONTH(DATE(B95,C95,1),0))</f>
        <v/>
      </c>
      <c r="F95" s="19">
        <f>SUMPRODUCT(--(WEEKDAY(DATE(B95,C95,ROW(INDIRECT("1:"&amp;E95))))=1))</f>
        <v/>
      </c>
      <c r="G95" s="19">
        <f>SUMPRODUCT(--(WEEKDAY(DATE(B95,C95,ROW(INDIRECT("1:"&amp;E95))))=7))</f>
        <v/>
      </c>
      <c r="H95" s="19">
        <f>E95-F95</f>
        <v/>
      </c>
      <c r="I95" s="19">
        <f>E95-F95-G95</f>
        <v/>
      </c>
    </row>
    <row r="96" hidden="1" outlineLevel="1" ht="15" customHeight="1" s="15">
      <c r="B96" s="19" t="n">
        <v>2030</v>
      </c>
      <c r="C96" s="19" t="n">
        <v>11</v>
      </c>
      <c r="D96" s="19" t="inlineStr">
        <is>
          <t>Novembre</t>
        </is>
      </c>
      <c r="E96" s="19">
        <f>DAY(EOMONTH(DATE(B96,C96,1),0))</f>
        <v/>
      </c>
      <c r="F96" s="19">
        <f>SUMPRODUCT(--(WEEKDAY(DATE(B96,C96,ROW(INDIRECT("1:"&amp;E96))))=1))</f>
        <v/>
      </c>
      <c r="G96" s="19">
        <f>SUMPRODUCT(--(WEEKDAY(DATE(B96,C96,ROW(INDIRECT("1:"&amp;E96))))=7))</f>
        <v/>
      </c>
      <c r="H96" s="19">
        <f>E96-F96</f>
        <v/>
      </c>
      <c r="I96" s="19">
        <f>E96-F96-G96</f>
        <v/>
      </c>
    </row>
    <row r="97" hidden="1" outlineLevel="1" ht="15" customHeight="1" s="15">
      <c r="B97" s="19" t="n">
        <v>2030</v>
      </c>
      <c r="C97" s="19" t="n">
        <v>12</v>
      </c>
      <c r="D97" s="19" t="inlineStr">
        <is>
          <t>Décembre</t>
        </is>
      </c>
      <c r="E97" s="19">
        <f>DAY(EOMONTH(DATE(B97,C97,1),0))</f>
        <v/>
      </c>
      <c r="F97" s="19">
        <f>SUMPRODUCT(--(WEEKDAY(DATE(B97,C97,ROW(INDIRECT("1:"&amp;E97))))=1))</f>
        <v/>
      </c>
      <c r="G97" s="19">
        <f>SUMPRODUCT(--(WEEKDAY(DATE(B97,C97,ROW(INDIRECT("1:"&amp;E97))))=7))</f>
        <v/>
      </c>
      <c r="H97" s="19">
        <f>E97-F97</f>
        <v/>
      </c>
      <c r="I97" s="19">
        <f>E97-F97-G97</f>
        <v/>
      </c>
    </row>
    <row r="98" hidden="1" outlineLevel="1" ht="15" customHeight="1" s="15">
      <c r="B98" s="19" t="n">
        <v>2031</v>
      </c>
      <c r="C98" s="19" t="n">
        <v>1</v>
      </c>
      <c r="D98" s="19" t="inlineStr">
        <is>
          <t>Janvier</t>
        </is>
      </c>
      <c r="E98" s="19">
        <f>DAY(EOMONTH(DATE(B98,C98,1),0))</f>
        <v/>
      </c>
      <c r="F98" s="19">
        <f>SUMPRODUCT(--(WEEKDAY(DATE(B98,C98,ROW(INDIRECT("1:"&amp;E98))))=1))</f>
        <v/>
      </c>
      <c r="G98" s="19">
        <f>SUMPRODUCT(--(WEEKDAY(DATE(B98,C98,ROW(INDIRECT("1:"&amp;E98))))=7))</f>
        <v/>
      </c>
      <c r="H98" s="19">
        <f>E98-F98</f>
        <v/>
      </c>
      <c r="I98" s="19">
        <f>E98-F98-G98</f>
        <v/>
      </c>
    </row>
    <row r="99" hidden="1" outlineLevel="1" ht="15" customHeight="1" s="15">
      <c r="B99" s="19" t="n">
        <v>2031</v>
      </c>
      <c r="C99" s="19" t="n">
        <v>2</v>
      </c>
      <c r="D99" s="19" t="inlineStr">
        <is>
          <t>Février</t>
        </is>
      </c>
      <c r="E99" s="19">
        <f>DAY(EOMONTH(DATE(B99,C99,1),0))</f>
        <v/>
      </c>
      <c r="F99" s="19">
        <f>SUMPRODUCT(--(WEEKDAY(DATE(B99,C99,ROW(INDIRECT("1:"&amp;E99))))=1))</f>
        <v/>
      </c>
      <c r="G99" s="19">
        <f>SUMPRODUCT(--(WEEKDAY(DATE(B99,C99,ROW(INDIRECT("1:"&amp;E99))))=7))</f>
        <v/>
      </c>
      <c r="H99" s="19">
        <f>E99-F99</f>
        <v/>
      </c>
      <c r="I99" s="19">
        <f>E99-F99-G99</f>
        <v/>
      </c>
    </row>
    <row r="100" hidden="1" outlineLevel="1" ht="15" customHeight="1" s="15">
      <c r="B100" s="19" t="n">
        <v>2031</v>
      </c>
      <c r="C100" s="19" t="n">
        <v>3</v>
      </c>
      <c r="D100" s="19" t="inlineStr">
        <is>
          <t>Mars</t>
        </is>
      </c>
      <c r="E100" s="19">
        <f>DAY(EOMONTH(DATE(B100,C100,1),0))</f>
        <v/>
      </c>
      <c r="F100" s="19">
        <f>SUMPRODUCT(--(WEEKDAY(DATE(B100,C100,ROW(INDIRECT("1:"&amp;E100))))=1))</f>
        <v/>
      </c>
      <c r="G100" s="19">
        <f>SUMPRODUCT(--(WEEKDAY(DATE(B100,C100,ROW(INDIRECT("1:"&amp;E100))))=7))</f>
        <v/>
      </c>
      <c r="H100" s="19">
        <f>E100-F100</f>
        <v/>
      </c>
      <c r="I100" s="19">
        <f>E100-F100-G100</f>
        <v/>
      </c>
    </row>
    <row r="101" hidden="1" outlineLevel="1" ht="15" customHeight="1" s="15">
      <c r="B101" s="19" t="n">
        <v>2031</v>
      </c>
      <c r="C101" s="19" t="n">
        <v>4</v>
      </c>
      <c r="D101" s="19" t="inlineStr">
        <is>
          <t>Avril</t>
        </is>
      </c>
      <c r="E101" s="19">
        <f>DAY(EOMONTH(DATE(B101,C101,1),0))</f>
        <v/>
      </c>
      <c r="F101" s="19">
        <f>SUMPRODUCT(--(WEEKDAY(DATE(B101,C101,ROW(INDIRECT("1:"&amp;E101))))=1))</f>
        <v/>
      </c>
      <c r="G101" s="19">
        <f>SUMPRODUCT(--(WEEKDAY(DATE(B101,C101,ROW(INDIRECT("1:"&amp;E101))))=7))</f>
        <v/>
      </c>
      <c r="H101" s="19">
        <f>E101-F101</f>
        <v/>
      </c>
      <c r="I101" s="19">
        <f>E101-F101-G101</f>
        <v/>
      </c>
    </row>
    <row r="102" hidden="1" outlineLevel="1" ht="15" customHeight="1" s="15">
      <c r="B102" s="19" t="n">
        <v>2031</v>
      </c>
      <c r="C102" s="19" t="n">
        <v>5</v>
      </c>
      <c r="D102" s="19" t="inlineStr">
        <is>
          <t>Mai</t>
        </is>
      </c>
      <c r="E102" s="19">
        <f>DAY(EOMONTH(DATE(B102,C102,1),0))</f>
        <v/>
      </c>
      <c r="F102" s="19">
        <f>SUMPRODUCT(--(WEEKDAY(DATE(B102,C102,ROW(INDIRECT("1:"&amp;E102))))=1))</f>
        <v/>
      </c>
      <c r="G102" s="19">
        <f>SUMPRODUCT(--(WEEKDAY(DATE(B102,C102,ROW(INDIRECT("1:"&amp;E102))))=7))</f>
        <v/>
      </c>
      <c r="H102" s="19">
        <f>E102-F102</f>
        <v/>
      </c>
      <c r="I102" s="19">
        <f>E102-F102-G102</f>
        <v/>
      </c>
    </row>
    <row r="103" hidden="1" outlineLevel="1" ht="15" customHeight="1" s="15">
      <c r="B103" s="19" t="n">
        <v>2031</v>
      </c>
      <c r="C103" s="19" t="n">
        <v>6</v>
      </c>
      <c r="D103" s="19" t="inlineStr">
        <is>
          <t>Juin</t>
        </is>
      </c>
      <c r="E103" s="19">
        <f>DAY(EOMONTH(DATE(B103,C103,1),0))</f>
        <v/>
      </c>
      <c r="F103" s="19">
        <f>SUMPRODUCT(--(WEEKDAY(DATE(B103,C103,ROW(INDIRECT("1:"&amp;E103))))=1))</f>
        <v/>
      </c>
      <c r="G103" s="19">
        <f>SUMPRODUCT(--(WEEKDAY(DATE(B103,C103,ROW(INDIRECT("1:"&amp;E103))))=7))</f>
        <v/>
      </c>
      <c r="H103" s="19">
        <f>E103-F103</f>
        <v/>
      </c>
      <c r="I103" s="19">
        <f>E103-F103-G103</f>
        <v/>
      </c>
    </row>
    <row r="104" hidden="1" outlineLevel="1" ht="15" customHeight="1" s="15">
      <c r="B104" s="19" t="n">
        <v>2031</v>
      </c>
      <c r="C104" s="19" t="n">
        <v>7</v>
      </c>
      <c r="D104" s="19" t="inlineStr">
        <is>
          <t>Juillet</t>
        </is>
      </c>
      <c r="E104" s="19">
        <f>DAY(EOMONTH(DATE(B104,C104,1),0))</f>
        <v/>
      </c>
      <c r="F104" s="19">
        <f>SUMPRODUCT(--(WEEKDAY(DATE(B104,C104,ROW(INDIRECT("1:"&amp;E104))))=1))</f>
        <v/>
      </c>
      <c r="G104" s="19">
        <f>SUMPRODUCT(--(WEEKDAY(DATE(B104,C104,ROW(INDIRECT("1:"&amp;E104))))=7))</f>
        <v/>
      </c>
      <c r="H104" s="19">
        <f>E104-F104</f>
        <v/>
      </c>
      <c r="I104" s="19">
        <f>E104-F104-G104</f>
        <v/>
      </c>
    </row>
    <row r="105" hidden="1" outlineLevel="1" ht="15" customHeight="1" s="15">
      <c r="B105" s="19" t="n">
        <v>2031</v>
      </c>
      <c r="C105" s="19" t="n">
        <v>8</v>
      </c>
      <c r="D105" s="19" t="inlineStr">
        <is>
          <t>Août</t>
        </is>
      </c>
      <c r="E105" s="19">
        <f>DAY(EOMONTH(DATE(B105,C105,1),0))</f>
        <v/>
      </c>
      <c r="F105" s="19">
        <f>SUMPRODUCT(--(WEEKDAY(DATE(B105,C105,ROW(INDIRECT("1:"&amp;E105))))=1))</f>
        <v/>
      </c>
      <c r="G105" s="19">
        <f>SUMPRODUCT(--(WEEKDAY(DATE(B105,C105,ROW(INDIRECT("1:"&amp;E105))))=7))</f>
        <v/>
      </c>
      <c r="H105" s="19">
        <f>E105-F105</f>
        <v/>
      </c>
      <c r="I105" s="19">
        <f>E105-F105-G105</f>
        <v/>
      </c>
    </row>
    <row r="106" hidden="1" outlineLevel="1" ht="15" customHeight="1" s="15">
      <c r="B106" s="19" t="n">
        <v>2031</v>
      </c>
      <c r="C106" s="19" t="n">
        <v>9</v>
      </c>
      <c r="D106" s="19" t="inlineStr">
        <is>
          <t>Septembre</t>
        </is>
      </c>
      <c r="E106" s="19">
        <f>DAY(EOMONTH(DATE(B106,C106,1),0))</f>
        <v/>
      </c>
      <c r="F106" s="19">
        <f>SUMPRODUCT(--(WEEKDAY(DATE(B106,C106,ROW(INDIRECT("1:"&amp;E106))))=1))</f>
        <v/>
      </c>
      <c r="G106" s="19">
        <f>SUMPRODUCT(--(WEEKDAY(DATE(B106,C106,ROW(INDIRECT("1:"&amp;E106))))=7))</f>
        <v/>
      </c>
      <c r="H106" s="19">
        <f>E106-F106</f>
        <v/>
      </c>
      <c r="I106" s="19">
        <f>E106-F106-G106</f>
        <v/>
      </c>
    </row>
    <row r="107" hidden="1" outlineLevel="1" ht="15" customHeight="1" s="15">
      <c r="B107" s="19" t="n">
        <v>2031</v>
      </c>
      <c r="C107" s="19" t="n">
        <v>10</v>
      </c>
      <c r="D107" s="19" t="inlineStr">
        <is>
          <t>Octobre</t>
        </is>
      </c>
      <c r="E107" s="19">
        <f>DAY(EOMONTH(DATE(B107,C107,1),0))</f>
        <v/>
      </c>
      <c r="F107" s="19">
        <f>SUMPRODUCT(--(WEEKDAY(DATE(B107,C107,ROW(INDIRECT("1:"&amp;E107))))=1))</f>
        <v/>
      </c>
      <c r="G107" s="19">
        <f>SUMPRODUCT(--(WEEKDAY(DATE(B107,C107,ROW(INDIRECT("1:"&amp;E107))))=7))</f>
        <v/>
      </c>
      <c r="H107" s="19">
        <f>E107-F107</f>
        <v/>
      </c>
      <c r="I107" s="19">
        <f>E107-F107-G107</f>
        <v/>
      </c>
    </row>
    <row r="108" hidden="1" outlineLevel="1" ht="15" customHeight="1" s="15">
      <c r="B108" s="19" t="n">
        <v>2031</v>
      </c>
      <c r="C108" s="19" t="n">
        <v>11</v>
      </c>
      <c r="D108" s="19" t="inlineStr">
        <is>
          <t>Novembre</t>
        </is>
      </c>
      <c r="E108" s="19">
        <f>DAY(EOMONTH(DATE(B108,C108,1),0))</f>
        <v/>
      </c>
      <c r="F108" s="19">
        <f>SUMPRODUCT(--(WEEKDAY(DATE(B108,C108,ROW(INDIRECT("1:"&amp;E108))))=1))</f>
        <v/>
      </c>
      <c r="G108" s="19">
        <f>SUMPRODUCT(--(WEEKDAY(DATE(B108,C108,ROW(INDIRECT("1:"&amp;E108))))=7))</f>
        <v/>
      </c>
      <c r="H108" s="19">
        <f>E108-F108</f>
        <v/>
      </c>
      <c r="I108" s="19">
        <f>E108-F108-G108</f>
        <v/>
      </c>
    </row>
    <row r="109" hidden="1" outlineLevel="1" ht="15" customHeight="1" s="15">
      <c r="B109" s="19" t="n">
        <v>2031</v>
      </c>
      <c r="C109" s="19" t="n">
        <v>12</v>
      </c>
      <c r="D109" s="19" t="inlineStr">
        <is>
          <t>Décembre</t>
        </is>
      </c>
      <c r="E109" s="19">
        <f>DAY(EOMONTH(DATE(B109,C109,1),0))</f>
        <v/>
      </c>
      <c r="F109" s="19">
        <f>SUMPRODUCT(--(WEEKDAY(DATE(B109,C109,ROW(INDIRECT("1:"&amp;E109))))=1))</f>
        <v/>
      </c>
      <c r="G109" s="19">
        <f>SUMPRODUCT(--(WEEKDAY(DATE(B109,C109,ROW(INDIRECT("1:"&amp;E109))))=7))</f>
        <v/>
      </c>
      <c r="H109" s="19">
        <f>E109-F109</f>
        <v/>
      </c>
      <c r="I109" s="19">
        <f>E109-F109-G109</f>
        <v/>
      </c>
    </row>
    <row r="110" hidden="1" outlineLevel="1" ht="15" customHeight="1" s="15">
      <c r="B110" s="19" t="n">
        <v>2032</v>
      </c>
      <c r="C110" s="19" t="n">
        <v>1</v>
      </c>
      <c r="D110" s="19" t="inlineStr">
        <is>
          <t>Janvier</t>
        </is>
      </c>
      <c r="E110" s="19">
        <f>DAY(EOMONTH(DATE(B110,C110,1),0))</f>
        <v/>
      </c>
      <c r="F110" s="19">
        <f>SUMPRODUCT(--(WEEKDAY(DATE(B110,C110,ROW(INDIRECT("1:"&amp;E110))))=1))</f>
        <v/>
      </c>
      <c r="G110" s="19">
        <f>SUMPRODUCT(--(WEEKDAY(DATE(B110,C110,ROW(INDIRECT("1:"&amp;E110))))=7))</f>
        <v/>
      </c>
      <c r="H110" s="19">
        <f>E110-F110</f>
        <v/>
      </c>
      <c r="I110" s="19">
        <f>E110-F110-G110</f>
        <v/>
      </c>
    </row>
    <row r="111" hidden="1" outlineLevel="1" ht="15" customHeight="1" s="15">
      <c r="B111" s="19" t="n">
        <v>2032</v>
      </c>
      <c r="C111" s="19" t="n">
        <v>2</v>
      </c>
      <c r="D111" s="19" t="inlineStr">
        <is>
          <t>Février</t>
        </is>
      </c>
      <c r="E111" s="19">
        <f>DAY(EOMONTH(DATE(B111,C111,1),0))</f>
        <v/>
      </c>
      <c r="F111" s="19">
        <f>SUMPRODUCT(--(WEEKDAY(DATE(B111,C111,ROW(INDIRECT("1:"&amp;E111))))=1))</f>
        <v/>
      </c>
      <c r="G111" s="19">
        <f>SUMPRODUCT(--(WEEKDAY(DATE(B111,C111,ROW(INDIRECT("1:"&amp;E111))))=7))</f>
        <v/>
      </c>
      <c r="H111" s="19">
        <f>E111-F111</f>
        <v/>
      </c>
      <c r="I111" s="19">
        <f>E111-F111-G111</f>
        <v/>
      </c>
    </row>
    <row r="112" hidden="1" outlineLevel="1" ht="15" customHeight="1" s="15">
      <c r="B112" s="19" t="n">
        <v>2032</v>
      </c>
      <c r="C112" s="19" t="n">
        <v>3</v>
      </c>
      <c r="D112" s="19" t="inlineStr">
        <is>
          <t>Mars</t>
        </is>
      </c>
      <c r="E112" s="19">
        <f>DAY(EOMONTH(DATE(B112,C112,1),0))</f>
        <v/>
      </c>
      <c r="F112" s="19">
        <f>SUMPRODUCT(--(WEEKDAY(DATE(B112,C112,ROW(INDIRECT("1:"&amp;E112))))=1))</f>
        <v/>
      </c>
      <c r="G112" s="19">
        <f>SUMPRODUCT(--(WEEKDAY(DATE(B112,C112,ROW(INDIRECT("1:"&amp;E112))))=7))</f>
        <v/>
      </c>
      <c r="H112" s="19">
        <f>E112-F112</f>
        <v/>
      </c>
      <c r="I112" s="19">
        <f>E112-F112-G112</f>
        <v/>
      </c>
    </row>
    <row r="113" hidden="1" outlineLevel="1" ht="15" customHeight="1" s="15">
      <c r="B113" s="19" t="n">
        <v>2032</v>
      </c>
      <c r="C113" s="19" t="n">
        <v>4</v>
      </c>
      <c r="D113" s="19" t="inlineStr">
        <is>
          <t>Avril</t>
        </is>
      </c>
      <c r="E113" s="19">
        <f>DAY(EOMONTH(DATE(B113,C113,1),0))</f>
        <v/>
      </c>
      <c r="F113" s="19">
        <f>SUMPRODUCT(--(WEEKDAY(DATE(B113,C113,ROW(INDIRECT("1:"&amp;E113))))=1))</f>
        <v/>
      </c>
      <c r="G113" s="19">
        <f>SUMPRODUCT(--(WEEKDAY(DATE(B113,C113,ROW(INDIRECT("1:"&amp;E113))))=7))</f>
        <v/>
      </c>
      <c r="H113" s="19">
        <f>E113-F113</f>
        <v/>
      </c>
      <c r="I113" s="19">
        <f>E113-F113-G113</f>
        <v/>
      </c>
    </row>
    <row r="114" hidden="1" outlineLevel="1" ht="15" customHeight="1" s="15">
      <c r="B114" s="19" t="n">
        <v>2032</v>
      </c>
      <c r="C114" s="19" t="n">
        <v>5</v>
      </c>
      <c r="D114" s="19" t="inlineStr">
        <is>
          <t>Mai</t>
        </is>
      </c>
      <c r="E114" s="19">
        <f>DAY(EOMONTH(DATE(B114,C114,1),0))</f>
        <v/>
      </c>
      <c r="F114" s="19">
        <f>SUMPRODUCT(--(WEEKDAY(DATE(B114,C114,ROW(INDIRECT("1:"&amp;E114))))=1))</f>
        <v/>
      </c>
      <c r="G114" s="19">
        <f>SUMPRODUCT(--(WEEKDAY(DATE(B114,C114,ROW(INDIRECT("1:"&amp;E114))))=7))</f>
        <v/>
      </c>
      <c r="H114" s="19">
        <f>E114-F114</f>
        <v/>
      </c>
      <c r="I114" s="19">
        <f>E114-F114-G114</f>
        <v/>
      </c>
    </row>
    <row r="115" hidden="1" outlineLevel="1" ht="15" customHeight="1" s="15">
      <c r="B115" s="19" t="n">
        <v>2032</v>
      </c>
      <c r="C115" s="19" t="n">
        <v>6</v>
      </c>
      <c r="D115" s="19" t="inlineStr">
        <is>
          <t>Juin</t>
        </is>
      </c>
      <c r="E115" s="19">
        <f>DAY(EOMONTH(DATE(B115,C115,1),0))</f>
        <v/>
      </c>
      <c r="F115" s="19">
        <f>SUMPRODUCT(--(WEEKDAY(DATE(B115,C115,ROW(INDIRECT("1:"&amp;E115))))=1))</f>
        <v/>
      </c>
      <c r="G115" s="19">
        <f>SUMPRODUCT(--(WEEKDAY(DATE(B115,C115,ROW(INDIRECT("1:"&amp;E115))))=7))</f>
        <v/>
      </c>
      <c r="H115" s="19">
        <f>E115-F115</f>
        <v/>
      </c>
      <c r="I115" s="19">
        <f>E115-F115-G115</f>
        <v/>
      </c>
    </row>
    <row r="116" hidden="1" outlineLevel="1" ht="15" customHeight="1" s="15">
      <c r="B116" s="19" t="n">
        <v>2032</v>
      </c>
      <c r="C116" s="19" t="n">
        <v>7</v>
      </c>
      <c r="D116" s="19" t="inlineStr">
        <is>
          <t>Juillet</t>
        </is>
      </c>
      <c r="E116" s="19">
        <f>DAY(EOMONTH(DATE(B116,C116,1),0))</f>
        <v/>
      </c>
      <c r="F116" s="19">
        <f>SUMPRODUCT(--(WEEKDAY(DATE(B116,C116,ROW(INDIRECT("1:"&amp;E116))))=1))</f>
        <v/>
      </c>
      <c r="G116" s="19">
        <f>SUMPRODUCT(--(WEEKDAY(DATE(B116,C116,ROW(INDIRECT("1:"&amp;E116))))=7))</f>
        <v/>
      </c>
      <c r="H116" s="19">
        <f>E116-F116</f>
        <v/>
      </c>
      <c r="I116" s="19">
        <f>E116-F116-G116</f>
        <v/>
      </c>
    </row>
    <row r="117" hidden="1" outlineLevel="1" ht="15" customHeight="1" s="15">
      <c r="B117" s="19" t="n">
        <v>2032</v>
      </c>
      <c r="C117" s="19" t="n">
        <v>8</v>
      </c>
      <c r="D117" s="19" t="inlineStr">
        <is>
          <t>Août</t>
        </is>
      </c>
      <c r="E117" s="19">
        <f>DAY(EOMONTH(DATE(B117,C117,1),0))</f>
        <v/>
      </c>
      <c r="F117" s="19">
        <f>SUMPRODUCT(--(WEEKDAY(DATE(B117,C117,ROW(INDIRECT("1:"&amp;E117))))=1))</f>
        <v/>
      </c>
      <c r="G117" s="19">
        <f>SUMPRODUCT(--(WEEKDAY(DATE(B117,C117,ROW(INDIRECT("1:"&amp;E117))))=7))</f>
        <v/>
      </c>
      <c r="H117" s="19">
        <f>E117-F117</f>
        <v/>
      </c>
      <c r="I117" s="19">
        <f>E117-F117-G117</f>
        <v/>
      </c>
    </row>
    <row r="118" hidden="1" outlineLevel="1" ht="15" customHeight="1" s="15">
      <c r="B118" s="19" t="n">
        <v>2032</v>
      </c>
      <c r="C118" s="19" t="n">
        <v>9</v>
      </c>
      <c r="D118" s="19" t="inlineStr">
        <is>
          <t>Septembre</t>
        </is>
      </c>
      <c r="E118" s="19">
        <f>DAY(EOMONTH(DATE(B118,C118,1),0))</f>
        <v/>
      </c>
      <c r="F118" s="19">
        <f>SUMPRODUCT(--(WEEKDAY(DATE(B118,C118,ROW(INDIRECT("1:"&amp;E118))))=1))</f>
        <v/>
      </c>
      <c r="G118" s="19">
        <f>SUMPRODUCT(--(WEEKDAY(DATE(B118,C118,ROW(INDIRECT("1:"&amp;E118))))=7))</f>
        <v/>
      </c>
      <c r="H118" s="19">
        <f>E118-F118</f>
        <v/>
      </c>
      <c r="I118" s="19">
        <f>E118-F118-G118</f>
        <v/>
      </c>
    </row>
    <row r="119" hidden="1" outlineLevel="1" ht="15" customHeight="1" s="15">
      <c r="B119" s="19" t="n">
        <v>2032</v>
      </c>
      <c r="C119" s="19" t="n">
        <v>10</v>
      </c>
      <c r="D119" s="19" t="inlineStr">
        <is>
          <t>Octobre</t>
        </is>
      </c>
      <c r="E119" s="19">
        <f>DAY(EOMONTH(DATE(B119,C119,1),0))</f>
        <v/>
      </c>
      <c r="F119" s="19">
        <f>SUMPRODUCT(--(WEEKDAY(DATE(B119,C119,ROW(INDIRECT("1:"&amp;E119))))=1))</f>
        <v/>
      </c>
      <c r="G119" s="19">
        <f>SUMPRODUCT(--(WEEKDAY(DATE(B119,C119,ROW(INDIRECT("1:"&amp;E119))))=7))</f>
        <v/>
      </c>
      <c r="H119" s="19">
        <f>E119-F119</f>
        <v/>
      </c>
      <c r="I119" s="19">
        <f>E119-F119-G119</f>
        <v/>
      </c>
    </row>
    <row r="120" hidden="1" outlineLevel="1" ht="15" customHeight="1" s="15">
      <c r="B120" s="19" t="n">
        <v>2032</v>
      </c>
      <c r="C120" s="19" t="n">
        <v>11</v>
      </c>
      <c r="D120" s="19" t="inlineStr">
        <is>
          <t>Novembre</t>
        </is>
      </c>
      <c r="E120" s="19">
        <f>DAY(EOMONTH(DATE(B120,C120,1),0))</f>
        <v/>
      </c>
      <c r="F120" s="19">
        <f>SUMPRODUCT(--(WEEKDAY(DATE(B120,C120,ROW(INDIRECT("1:"&amp;E120))))=1))</f>
        <v/>
      </c>
      <c r="G120" s="19">
        <f>SUMPRODUCT(--(WEEKDAY(DATE(B120,C120,ROW(INDIRECT("1:"&amp;E120))))=7))</f>
        <v/>
      </c>
      <c r="H120" s="19">
        <f>E120-F120</f>
        <v/>
      </c>
      <c r="I120" s="19">
        <f>E120-F120-G120</f>
        <v/>
      </c>
    </row>
    <row r="121" hidden="1" outlineLevel="1" ht="15" customHeight="1" s="15">
      <c r="B121" s="19" t="n">
        <v>2032</v>
      </c>
      <c r="C121" s="19" t="n">
        <v>12</v>
      </c>
      <c r="D121" s="19" t="inlineStr">
        <is>
          <t>Décembre</t>
        </is>
      </c>
      <c r="E121" s="19">
        <f>DAY(EOMONTH(DATE(B121,C121,1),0))</f>
        <v/>
      </c>
      <c r="F121" s="19">
        <f>SUMPRODUCT(--(WEEKDAY(DATE(B121,C121,ROW(INDIRECT("1:"&amp;E121))))=1))</f>
        <v/>
      </c>
      <c r="G121" s="19">
        <f>SUMPRODUCT(--(WEEKDAY(DATE(B121,C121,ROW(INDIRECT("1:"&amp;E121))))=7))</f>
        <v/>
      </c>
      <c r="H121" s="19">
        <f>E121-F121</f>
        <v/>
      </c>
      <c r="I121" s="19">
        <f>E121-F121-G121</f>
        <v/>
      </c>
    </row>
    <row r="122" hidden="1" outlineLevel="1" ht="15" customHeight="1" s="15">
      <c r="B122" s="19" t="n">
        <v>2033</v>
      </c>
      <c r="C122" s="19" t="n">
        <v>1</v>
      </c>
      <c r="D122" s="19" t="inlineStr">
        <is>
          <t>Janvier</t>
        </is>
      </c>
      <c r="E122" s="19">
        <f>DAY(EOMONTH(DATE(B122,C122,1),0))</f>
        <v/>
      </c>
      <c r="F122" s="19">
        <f>SUMPRODUCT(--(WEEKDAY(DATE(B122,C122,ROW(INDIRECT("1:"&amp;E122))))=1))</f>
        <v/>
      </c>
      <c r="G122" s="19">
        <f>SUMPRODUCT(--(WEEKDAY(DATE(B122,C122,ROW(INDIRECT("1:"&amp;E122))))=7))</f>
        <v/>
      </c>
      <c r="H122" s="19">
        <f>E122-F122</f>
        <v/>
      </c>
      <c r="I122" s="19">
        <f>E122-F122-G122</f>
        <v/>
      </c>
    </row>
    <row r="123" hidden="1" outlineLevel="1" ht="15" customHeight="1" s="15">
      <c r="B123" s="19" t="n">
        <v>2033</v>
      </c>
      <c r="C123" s="19" t="n">
        <v>2</v>
      </c>
      <c r="D123" s="19" t="inlineStr">
        <is>
          <t>Février</t>
        </is>
      </c>
      <c r="E123" s="19">
        <f>DAY(EOMONTH(DATE(B123,C123,1),0))</f>
        <v/>
      </c>
      <c r="F123" s="19">
        <f>SUMPRODUCT(--(WEEKDAY(DATE(B123,C123,ROW(INDIRECT("1:"&amp;E123))))=1))</f>
        <v/>
      </c>
      <c r="G123" s="19">
        <f>SUMPRODUCT(--(WEEKDAY(DATE(B123,C123,ROW(INDIRECT("1:"&amp;E123))))=7))</f>
        <v/>
      </c>
      <c r="H123" s="19">
        <f>E123-F123</f>
        <v/>
      </c>
      <c r="I123" s="19">
        <f>E123-F123-G123</f>
        <v/>
      </c>
    </row>
    <row r="124" hidden="1" outlineLevel="1" ht="15" customHeight="1" s="15">
      <c r="B124" s="19" t="n">
        <v>2033</v>
      </c>
      <c r="C124" s="19" t="n">
        <v>3</v>
      </c>
      <c r="D124" s="19" t="inlineStr">
        <is>
          <t>Mars</t>
        </is>
      </c>
      <c r="E124" s="19">
        <f>DAY(EOMONTH(DATE(B124,C124,1),0))</f>
        <v/>
      </c>
      <c r="F124" s="19">
        <f>SUMPRODUCT(--(WEEKDAY(DATE(B124,C124,ROW(INDIRECT("1:"&amp;E124))))=1))</f>
        <v/>
      </c>
      <c r="G124" s="19">
        <f>SUMPRODUCT(--(WEEKDAY(DATE(B124,C124,ROW(INDIRECT("1:"&amp;E124))))=7))</f>
        <v/>
      </c>
      <c r="H124" s="19">
        <f>E124-F124</f>
        <v/>
      </c>
      <c r="I124" s="19">
        <f>E124-F124-G124</f>
        <v/>
      </c>
    </row>
    <row r="125" hidden="1" outlineLevel="1" ht="15" customHeight="1" s="15">
      <c r="B125" s="19" t="n">
        <v>2033</v>
      </c>
      <c r="C125" s="19" t="n">
        <v>4</v>
      </c>
      <c r="D125" s="19" t="inlineStr">
        <is>
          <t>Avril</t>
        </is>
      </c>
      <c r="E125" s="19">
        <f>DAY(EOMONTH(DATE(B125,C125,1),0))</f>
        <v/>
      </c>
      <c r="F125" s="19">
        <f>SUMPRODUCT(--(WEEKDAY(DATE(B125,C125,ROW(INDIRECT("1:"&amp;E125))))=1))</f>
        <v/>
      </c>
      <c r="G125" s="19">
        <f>SUMPRODUCT(--(WEEKDAY(DATE(B125,C125,ROW(INDIRECT("1:"&amp;E125))))=7))</f>
        <v/>
      </c>
      <c r="H125" s="19">
        <f>E125-F125</f>
        <v/>
      </c>
      <c r="I125" s="19">
        <f>E125-F125-G125</f>
        <v/>
      </c>
    </row>
    <row r="126" hidden="1" outlineLevel="1" ht="15" customHeight="1" s="15">
      <c r="B126" s="19" t="n">
        <v>2033</v>
      </c>
      <c r="C126" s="19" t="n">
        <v>5</v>
      </c>
      <c r="D126" s="19" t="inlineStr">
        <is>
          <t>Mai</t>
        </is>
      </c>
      <c r="E126" s="19">
        <f>DAY(EOMONTH(DATE(B126,C126,1),0))</f>
        <v/>
      </c>
      <c r="F126" s="19">
        <f>SUMPRODUCT(--(WEEKDAY(DATE(B126,C126,ROW(INDIRECT("1:"&amp;E126))))=1))</f>
        <v/>
      </c>
      <c r="G126" s="19">
        <f>SUMPRODUCT(--(WEEKDAY(DATE(B126,C126,ROW(INDIRECT("1:"&amp;E126))))=7))</f>
        <v/>
      </c>
      <c r="H126" s="19">
        <f>E126-F126</f>
        <v/>
      </c>
      <c r="I126" s="19">
        <f>E126-F126-G126</f>
        <v/>
      </c>
    </row>
    <row r="127" hidden="1" outlineLevel="1" ht="15" customHeight="1" s="15">
      <c r="B127" s="19" t="n">
        <v>2033</v>
      </c>
      <c r="C127" s="19" t="n">
        <v>6</v>
      </c>
      <c r="D127" s="19" t="inlineStr">
        <is>
          <t>Juin</t>
        </is>
      </c>
      <c r="E127" s="19">
        <f>DAY(EOMONTH(DATE(B127,C127,1),0))</f>
        <v/>
      </c>
      <c r="F127" s="19">
        <f>SUMPRODUCT(--(WEEKDAY(DATE(B127,C127,ROW(INDIRECT("1:"&amp;E127))))=1))</f>
        <v/>
      </c>
      <c r="G127" s="19">
        <f>SUMPRODUCT(--(WEEKDAY(DATE(B127,C127,ROW(INDIRECT("1:"&amp;E127))))=7))</f>
        <v/>
      </c>
      <c r="H127" s="19">
        <f>E127-F127</f>
        <v/>
      </c>
      <c r="I127" s="19">
        <f>E127-F127-G127</f>
        <v/>
      </c>
    </row>
    <row r="128" hidden="1" outlineLevel="1" ht="15" customHeight="1" s="15">
      <c r="B128" s="19" t="n">
        <v>2033</v>
      </c>
      <c r="C128" s="19" t="n">
        <v>7</v>
      </c>
      <c r="D128" s="19" t="inlineStr">
        <is>
          <t>Juillet</t>
        </is>
      </c>
      <c r="E128" s="19">
        <f>DAY(EOMONTH(DATE(B128,C128,1),0))</f>
        <v/>
      </c>
      <c r="F128" s="19">
        <f>SUMPRODUCT(--(WEEKDAY(DATE(B128,C128,ROW(INDIRECT("1:"&amp;E128))))=1))</f>
        <v/>
      </c>
      <c r="G128" s="19">
        <f>SUMPRODUCT(--(WEEKDAY(DATE(B128,C128,ROW(INDIRECT("1:"&amp;E128))))=7))</f>
        <v/>
      </c>
      <c r="H128" s="19">
        <f>E128-F128</f>
        <v/>
      </c>
      <c r="I128" s="19">
        <f>E128-F128-G128</f>
        <v/>
      </c>
    </row>
    <row r="129" hidden="1" outlineLevel="1" ht="15" customHeight="1" s="15">
      <c r="B129" s="19" t="n">
        <v>2033</v>
      </c>
      <c r="C129" s="19" t="n">
        <v>8</v>
      </c>
      <c r="D129" s="19" t="inlineStr">
        <is>
          <t>Août</t>
        </is>
      </c>
      <c r="E129" s="19">
        <f>DAY(EOMONTH(DATE(B129,C129,1),0))</f>
        <v/>
      </c>
      <c r="F129" s="19">
        <f>SUMPRODUCT(--(WEEKDAY(DATE(B129,C129,ROW(INDIRECT("1:"&amp;E129))))=1))</f>
        <v/>
      </c>
      <c r="G129" s="19">
        <f>SUMPRODUCT(--(WEEKDAY(DATE(B129,C129,ROW(INDIRECT("1:"&amp;E129))))=7))</f>
        <v/>
      </c>
      <c r="H129" s="19">
        <f>E129-F129</f>
        <v/>
      </c>
      <c r="I129" s="19">
        <f>E129-F129-G129</f>
        <v/>
      </c>
    </row>
    <row r="130" hidden="1" outlineLevel="1" ht="15" customHeight="1" s="15">
      <c r="B130" s="19" t="n">
        <v>2033</v>
      </c>
      <c r="C130" s="19" t="n">
        <v>9</v>
      </c>
      <c r="D130" s="19" t="inlineStr">
        <is>
          <t>Septembre</t>
        </is>
      </c>
      <c r="E130" s="19">
        <f>DAY(EOMONTH(DATE(B130,C130,1),0))</f>
        <v/>
      </c>
      <c r="F130" s="19">
        <f>SUMPRODUCT(--(WEEKDAY(DATE(B130,C130,ROW(INDIRECT("1:"&amp;E130))))=1))</f>
        <v/>
      </c>
      <c r="G130" s="19">
        <f>SUMPRODUCT(--(WEEKDAY(DATE(B130,C130,ROW(INDIRECT("1:"&amp;E130))))=7))</f>
        <v/>
      </c>
      <c r="H130" s="19">
        <f>E130-F130</f>
        <v/>
      </c>
      <c r="I130" s="19">
        <f>E130-F130-G130</f>
        <v/>
      </c>
    </row>
    <row r="131" hidden="1" outlineLevel="1" ht="15" customHeight="1" s="15">
      <c r="B131" s="19" t="n">
        <v>2033</v>
      </c>
      <c r="C131" s="19" t="n">
        <v>10</v>
      </c>
      <c r="D131" s="19" t="inlineStr">
        <is>
          <t>Octobre</t>
        </is>
      </c>
      <c r="E131" s="19">
        <f>DAY(EOMONTH(DATE(B131,C131,1),0))</f>
        <v/>
      </c>
      <c r="F131" s="19">
        <f>SUMPRODUCT(--(WEEKDAY(DATE(B131,C131,ROW(INDIRECT("1:"&amp;E131))))=1))</f>
        <v/>
      </c>
      <c r="G131" s="19">
        <f>SUMPRODUCT(--(WEEKDAY(DATE(B131,C131,ROW(INDIRECT("1:"&amp;E131))))=7))</f>
        <v/>
      </c>
      <c r="H131" s="19">
        <f>E131-F131</f>
        <v/>
      </c>
      <c r="I131" s="19">
        <f>E131-F131-G131</f>
        <v/>
      </c>
    </row>
    <row r="132" hidden="1" outlineLevel="1" ht="15" customHeight="1" s="15">
      <c r="B132" s="19" t="n">
        <v>2033</v>
      </c>
      <c r="C132" s="19" t="n">
        <v>11</v>
      </c>
      <c r="D132" s="19" t="inlineStr">
        <is>
          <t>Novembre</t>
        </is>
      </c>
      <c r="E132" s="19">
        <f>DAY(EOMONTH(DATE(B132,C132,1),0))</f>
        <v/>
      </c>
      <c r="F132" s="19">
        <f>SUMPRODUCT(--(WEEKDAY(DATE(B132,C132,ROW(INDIRECT("1:"&amp;E132))))=1))</f>
        <v/>
      </c>
      <c r="G132" s="19">
        <f>SUMPRODUCT(--(WEEKDAY(DATE(B132,C132,ROW(INDIRECT("1:"&amp;E132))))=7))</f>
        <v/>
      </c>
      <c r="H132" s="19">
        <f>E132-F132</f>
        <v/>
      </c>
      <c r="I132" s="19">
        <f>E132-F132-G132</f>
        <v/>
      </c>
    </row>
    <row r="133" hidden="1" outlineLevel="1" ht="15" customHeight="1" s="15">
      <c r="B133" s="19" t="n">
        <v>2033</v>
      </c>
      <c r="C133" s="19" t="n">
        <v>12</v>
      </c>
      <c r="D133" s="19" t="inlineStr">
        <is>
          <t>Décembre</t>
        </is>
      </c>
      <c r="E133" s="19">
        <f>DAY(EOMONTH(DATE(B133,C133,1),0))</f>
        <v/>
      </c>
      <c r="F133" s="19">
        <f>SUMPRODUCT(--(WEEKDAY(DATE(B133,C133,ROW(INDIRECT("1:"&amp;E133))))=1))</f>
        <v/>
      </c>
      <c r="G133" s="19">
        <f>SUMPRODUCT(--(WEEKDAY(DATE(B133,C133,ROW(INDIRECT("1:"&amp;E133))))=7))</f>
        <v/>
      </c>
      <c r="H133" s="19">
        <f>E133-F133</f>
        <v/>
      </c>
      <c r="I133" s="19">
        <f>E133-F133-G133</f>
        <v/>
      </c>
    </row>
    <row r="134" hidden="1" outlineLevel="1" ht="15" customHeight="1" s="15">
      <c r="B134" s="19" t="n">
        <v>2034</v>
      </c>
      <c r="C134" s="19" t="n">
        <v>1</v>
      </c>
      <c r="D134" s="19" t="inlineStr">
        <is>
          <t>Janvier</t>
        </is>
      </c>
      <c r="E134" s="19">
        <f>DAY(EOMONTH(DATE(B134,C134,1),0))</f>
        <v/>
      </c>
      <c r="F134" s="19">
        <f>SUMPRODUCT(--(WEEKDAY(DATE(B134,C134,ROW(INDIRECT("1:"&amp;E134))))=1))</f>
        <v/>
      </c>
      <c r="G134" s="19">
        <f>SUMPRODUCT(--(WEEKDAY(DATE(B134,C134,ROW(INDIRECT("1:"&amp;E134))))=7))</f>
        <v/>
      </c>
      <c r="H134" s="19">
        <f>E134-F134</f>
        <v/>
      </c>
      <c r="I134" s="19">
        <f>E134-F134-G134</f>
        <v/>
      </c>
    </row>
    <row r="135" hidden="1" outlineLevel="1" ht="15" customHeight="1" s="15">
      <c r="B135" s="19" t="n">
        <v>2034</v>
      </c>
      <c r="C135" s="19" t="n">
        <v>2</v>
      </c>
      <c r="D135" s="19" t="inlineStr">
        <is>
          <t>Février</t>
        </is>
      </c>
      <c r="E135" s="19">
        <f>DAY(EOMONTH(DATE(B135,C135,1),0))</f>
        <v/>
      </c>
      <c r="F135" s="19">
        <f>SUMPRODUCT(--(WEEKDAY(DATE(B135,C135,ROW(INDIRECT("1:"&amp;E135))))=1))</f>
        <v/>
      </c>
      <c r="G135" s="19">
        <f>SUMPRODUCT(--(WEEKDAY(DATE(B135,C135,ROW(INDIRECT("1:"&amp;E135))))=7))</f>
        <v/>
      </c>
      <c r="H135" s="19">
        <f>E135-F135</f>
        <v/>
      </c>
      <c r="I135" s="19">
        <f>E135-F135-G135</f>
        <v/>
      </c>
    </row>
    <row r="136" hidden="1" outlineLevel="1" ht="15" customHeight="1" s="15">
      <c r="B136" s="19" t="n">
        <v>2034</v>
      </c>
      <c r="C136" s="19" t="n">
        <v>3</v>
      </c>
      <c r="D136" s="19" t="inlineStr">
        <is>
          <t>Mars</t>
        </is>
      </c>
      <c r="E136" s="19">
        <f>DAY(EOMONTH(DATE(B136,C136,1),0))</f>
        <v/>
      </c>
      <c r="F136" s="19">
        <f>SUMPRODUCT(--(WEEKDAY(DATE(B136,C136,ROW(INDIRECT("1:"&amp;E136))))=1))</f>
        <v/>
      </c>
      <c r="G136" s="19">
        <f>SUMPRODUCT(--(WEEKDAY(DATE(B136,C136,ROW(INDIRECT("1:"&amp;E136))))=7))</f>
        <v/>
      </c>
      <c r="H136" s="19">
        <f>E136-F136</f>
        <v/>
      </c>
      <c r="I136" s="19">
        <f>E136-F136-G136</f>
        <v/>
      </c>
    </row>
    <row r="137" hidden="1" outlineLevel="1" ht="15" customHeight="1" s="15">
      <c r="B137" s="19" t="n">
        <v>2034</v>
      </c>
      <c r="C137" s="19" t="n">
        <v>4</v>
      </c>
      <c r="D137" s="19" t="inlineStr">
        <is>
          <t>Avril</t>
        </is>
      </c>
      <c r="E137" s="19">
        <f>DAY(EOMONTH(DATE(B137,C137,1),0))</f>
        <v/>
      </c>
      <c r="F137" s="19">
        <f>SUMPRODUCT(--(WEEKDAY(DATE(B137,C137,ROW(INDIRECT("1:"&amp;E137))))=1))</f>
        <v/>
      </c>
      <c r="G137" s="19">
        <f>SUMPRODUCT(--(WEEKDAY(DATE(B137,C137,ROW(INDIRECT("1:"&amp;E137))))=7))</f>
        <v/>
      </c>
      <c r="H137" s="19">
        <f>E137-F137</f>
        <v/>
      </c>
      <c r="I137" s="19">
        <f>E137-F137-G137</f>
        <v/>
      </c>
    </row>
    <row r="138" hidden="1" outlineLevel="1" ht="15" customHeight="1" s="15">
      <c r="B138" s="19" t="n">
        <v>2034</v>
      </c>
      <c r="C138" s="19" t="n">
        <v>5</v>
      </c>
      <c r="D138" s="19" t="inlineStr">
        <is>
          <t>Mai</t>
        </is>
      </c>
      <c r="E138" s="19">
        <f>DAY(EOMONTH(DATE(B138,C138,1),0))</f>
        <v/>
      </c>
      <c r="F138" s="19">
        <f>SUMPRODUCT(--(WEEKDAY(DATE(B138,C138,ROW(INDIRECT("1:"&amp;E138))))=1))</f>
        <v/>
      </c>
      <c r="G138" s="19">
        <f>SUMPRODUCT(--(WEEKDAY(DATE(B138,C138,ROW(INDIRECT("1:"&amp;E138))))=7))</f>
        <v/>
      </c>
      <c r="H138" s="19">
        <f>E138-F138</f>
        <v/>
      </c>
      <c r="I138" s="19">
        <f>E138-F138-G138</f>
        <v/>
      </c>
    </row>
    <row r="139" hidden="1" outlineLevel="1" ht="15" customHeight="1" s="15">
      <c r="B139" s="19" t="n">
        <v>2034</v>
      </c>
      <c r="C139" s="19" t="n">
        <v>6</v>
      </c>
      <c r="D139" s="19" t="inlineStr">
        <is>
          <t>Juin</t>
        </is>
      </c>
      <c r="E139" s="19">
        <f>DAY(EOMONTH(DATE(B139,C139,1),0))</f>
        <v/>
      </c>
      <c r="F139" s="19">
        <f>SUMPRODUCT(--(WEEKDAY(DATE(B139,C139,ROW(INDIRECT("1:"&amp;E139))))=1))</f>
        <v/>
      </c>
      <c r="G139" s="19">
        <f>SUMPRODUCT(--(WEEKDAY(DATE(B139,C139,ROW(INDIRECT("1:"&amp;E139))))=7))</f>
        <v/>
      </c>
      <c r="H139" s="19">
        <f>E139-F139</f>
        <v/>
      </c>
      <c r="I139" s="19">
        <f>E139-F139-G139</f>
        <v/>
      </c>
    </row>
    <row r="140" hidden="1" outlineLevel="1" ht="15" customHeight="1" s="15">
      <c r="B140" s="19" t="n">
        <v>2034</v>
      </c>
      <c r="C140" s="19" t="n">
        <v>7</v>
      </c>
      <c r="D140" s="19" t="inlineStr">
        <is>
          <t>Juillet</t>
        </is>
      </c>
      <c r="E140" s="19">
        <f>DAY(EOMONTH(DATE(B140,C140,1),0))</f>
        <v/>
      </c>
      <c r="F140" s="19">
        <f>SUMPRODUCT(--(WEEKDAY(DATE(B140,C140,ROW(INDIRECT("1:"&amp;E140))))=1))</f>
        <v/>
      </c>
      <c r="G140" s="19">
        <f>SUMPRODUCT(--(WEEKDAY(DATE(B140,C140,ROW(INDIRECT("1:"&amp;E140))))=7))</f>
        <v/>
      </c>
      <c r="H140" s="19">
        <f>E140-F140</f>
        <v/>
      </c>
      <c r="I140" s="19">
        <f>E140-F140-G140</f>
        <v/>
      </c>
    </row>
    <row r="141" hidden="1" outlineLevel="1" ht="15" customHeight="1" s="15">
      <c r="B141" s="19" t="n">
        <v>2034</v>
      </c>
      <c r="C141" s="19" t="n">
        <v>8</v>
      </c>
      <c r="D141" s="19" t="inlineStr">
        <is>
          <t>Août</t>
        </is>
      </c>
      <c r="E141" s="19">
        <f>DAY(EOMONTH(DATE(B141,C141,1),0))</f>
        <v/>
      </c>
      <c r="F141" s="19">
        <f>SUMPRODUCT(--(WEEKDAY(DATE(B141,C141,ROW(INDIRECT("1:"&amp;E141))))=1))</f>
        <v/>
      </c>
      <c r="G141" s="19">
        <f>SUMPRODUCT(--(WEEKDAY(DATE(B141,C141,ROW(INDIRECT("1:"&amp;E141))))=7))</f>
        <v/>
      </c>
      <c r="H141" s="19">
        <f>E141-F141</f>
        <v/>
      </c>
      <c r="I141" s="19">
        <f>E141-F141-G141</f>
        <v/>
      </c>
    </row>
    <row r="142" hidden="1" outlineLevel="1" ht="15" customHeight="1" s="15">
      <c r="B142" s="19" t="n">
        <v>2034</v>
      </c>
      <c r="C142" s="19" t="n">
        <v>9</v>
      </c>
      <c r="D142" s="19" t="inlineStr">
        <is>
          <t>Septembre</t>
        </is>
      </c>
      <c r="E142" s="19">
        <f>DAY(EOMONTH(DATE(B142,C142,1),0))</f>
        <v/>
      </c>
      <c r="F142" s="19">
        <f>SUMPRODUCT(--(WEEKDAY(DATE(B142,C142,ROW(INDIRECT("1:"&amp;E142))))=1))</f>
        <v/>
      </c>
      <c r="G142" s="19">
        <f>SUMPRODUCT(--(WEEKDAY(DATE(B142,C142,ROW(INDIRECT("1:"&amp;E142))))=7))</f>
        <v/>
      </c>
      <c r="H142" s="19">
        <f>E142-F142</f>
        <v/>
      </c>
      <c r="I142" s="19">
        <f>E142-F142-G142</f>
        <v/>
      </c>
    </row>
    <row r="143" hidden="1" outlineLevel="1" ht="15" customHeight="1" s="15">
      <c r="B143" s="19" t="n">
        <v>2034</v>
      </c>
      <c r="C143" s="19" t="n">
        <v>10</v>
      </c>
      <c r="D143" s="19" t="inlineStr">
        <is>
          <t>Octobre</t>
        </is>
      </c>
      <c r="E143" s="19">
        <f>DAY(EOMONTH(DATE(B143,C143,1),0))</f>
        <v/>
      </c>
      <c r="F143" s="19">
        <f>SUMPRODUCT(--(WEEKDAY(DATE(B143,C143,ROW(INDIRECT("1:"&amp;E143))))=1))</f>
        <v/>
      </c>
      <c r="G143" s="19">
        <f>SUMPRODUCT(--(WEEKDAY(DATE(B143,C143,ROW(INDIRECT("1:"&amp;E143))))=7))</f>
        <v/>
      </c>
      <c r="H143" s="19">
        <f>E143-F143</f>
        <v/>
      </c>
      <c r="I143" s="19">
        <f>E143-F143-G143</f>
        <v/>
      </c>
    </row>
    <row r="144" hidden="1" outlineLevel="1" ht="15" customHeight="1" s="15">
      <c r="B144" s="19" t="n">
        <v>2034</v>
      </c>
      <c r="C144" s="19" t="n">
        <v>11</v>
      </c>
      <c r="D144" s="19" t="inlineStr">
        <is>
          <t>Novembre</t>
        </is>
      </c>
      <c r="E144" s="19">
        <f>DAY(EOMONTH(DATE(B144,C144,1),0))</f>
        <v/>
      </c>
      <c r="F144" s="19">
        <f>SUMPRODUCT(--(WEEKDAY(DATE(B144,C144,ROW(INDIRECT("1:"&amp;E144))))=1))</f>
        <v/>
      </c>
      <c r="G144" s="19">
        <f>SUMPRODUCT(--(WEEKDAY(DATE(B144,C144,ROW(INDIRECT("1:"&amp;E144))))=7))</f>
        <v/>
      </c>
      <c r="H144" s="19">
        <f>E144-F144</f>
        <v/>
      </c>
      <c r="I144" s="19">
        <f>E144-F144-G144</f>
        <v/>
      </c>
    </row>
    <row r="145" hidden="1" outlineLevel="1" ht="15" customHeight="1" s="15">
      <c r="B145" s="19" t="n">
        <v>2034</v>
      </c>
      <c r="C145" s="19" t="n">
        <v>12</v>
      </c>
      <c r="D145" s="19" t="inlineStr">
        <is>
          <t>Décembre</t>
        </is>
      </c>
      <c r="E145" s="19">
        <f>DAY(EOMONTH(DATE(B145,C145,1),0))</f>
        <v/>
      </c>
      <c r="F145" s="19">
        <f>SUMPRODUCT(--(WEEKDAY(DATE(B145,C145,ROW(INDIRECT("1:"&amp;E145))))=1))</f>
        <v/>
      </c>
      <c r="G145" s="19">
        <f>SUMPRODUCT(--(WEEKDAY(DATE(B145,C145,ROW(INDIRECT("1:"&amp;E145))))=7))</f>
        <v/>
      </c>
      <c r="H145" s="19">
        <f>E145-F145</f>
        <v/>
      </c>
      <c r="I145" s="19">
        <f>E145-F145-G145</f>
        <v/>
      </c>
    </row>
    <row r="146" hidden="1" outlineLevel="1" ht="15" customHeight="1" s="15">
      <c r="B146" s="19" t="n">
        <v>2035</v>
      </c>
      <c r="C146" s="19" t="n">
        <v>1</v>
      </c>
      <c r="D146" s="19" t="inlineStr">
        <is>
          <t>Janvier</t>
        </is>
      </c>
      <c r="E146" s="19">
        <f>DAY(EOMONTH(DATE(B146,C146,1),0))</f>
        <v/>
      </c>
      <c r="F146" s="19">
        <f>SUMPRODUCT(--(WEEKDAY(DATE(B146,C146,ROW(INDIRECT("1:"&amp;E146))))=1))</f>
        <v/>
      </c>
      <c r="G146" s="19">
        <f>SUMPRODUCT(--(WEEKDAY(DATE(B146,C146,ROW(INDIRECT("1:"&amp;E146))))=7))</f>
        <v/>
      </c>
      <c r="H146" s="19">
        <f>E146-F146</f>
        <v/>
      </c>
      <c r="I146" s="19">
        <f>E146-F146-G146</f>
        <v/>
      </c>
    </row>
    <row r="147" hidden="1" outlineLevel="1" ht="15" customHeight="1" s="15">
      <c r="B147" s="19" t="n">
        <v>2035</v>
      </c>
      <c r="C147" s="19" t="n">
        <v>2</v>
      </c>
      <c r="D147" s="19" t="inlineStr">
        <is>
          <t>Février</t>
        </is>
      </c>
      <c r="E147" s="19">
        <f>DAY(EOMONTH(DATE(B147,C147,1),0))</f>
        <v/>
      </c>
      <c r="F147" s="19">
        <f>SUMPRODUCT(--(WEEKDAY(DATE(B147,C147,ROW(INDIRECT("1:"&amp;E147))))=1))</f>
        <v/>
      </c>
      <c r="G147" s="19">
        <f>SUMPRODUCT(--(WEEKDAY(DATE(B147,C147,ROW(INDIRECT("1:"&amp;E147))))=7))</f>
        <v/>
      </c>
      <c r="H147" s="19">
        <f>E147-F147</f>
        <v/>
      </c>
      <c r="I147" s="19">
        <f>E147-F147-G147</f>
        <v/>
      </c>
    </row>
    <row r="148" hidden="1" outlineLevel="1" ht="15" customHeight="1" s="15">
      <c r="B148" s="19" t="n">
        <v>2035</v>
      </c>
      <c r="C148" s="19" t="n">
        <v>3</v>
      </c>
      <c r="D148" s="19" t="inlineStr">
        <is>
          <t>Mars</t>
        </is>
      </c>
      <c r="E148" s="19">
        <f>DAY(EOMONTH(DATE(B148,C148,1),0))</f>
        <v/>
      </c>
      <c r="F148" s="19">
        <f>SUMPRODUCT(--(WEEKDAY(DATE(B148,C148,ROW(INDIRECT("1:"&amp;E148))))=1))</f>
        <v/>
      </c>
      <c r="G148" s="19">
        <f>SUMPRODUCT(--(WEEKDAY(DATE(B148,C148,ROW(INDIRECT("1:"&amp;E148))))=7))</f>
        <v/>
      </c>
      <c r="H148" s="19">
        <f>E148-F148</f>
        <v/>
      </c>
      <c r="I148" s="19">
        <f>E148-F148-G148</f>
        <v/>
      </c>
    </row>
    <row r="149" hidden="1" outlineLevel="1" ht="15" customHeight="1" s="15">
      <c r="B149" s="19" t="n">
        <v>2035</v>
      </c>
      <c r="C149" s="19" t="n">
        <v>4</v>
      </c>
      <c r="D149" s="19" t="inlineStr">
        <is>
          <t>Avril</t>
        </is>
      </c>
      <c r="E149" s="19">
        <f>DAY(EOMONTH(DATE(B149,C149,1),0))</f>
        <v/>
      </c>
      <c r="F149" s="19">
        <f>SUMPRODUCT(--(WEEKDAY(DATE(B149,C149,ROW(INDIRECT("1:"&amp;E149))))=1))</f>
        <v/>
      </c>
      <c r="G149" s="19">
        <f>SUMPRODUCT(--(WEEKDAY(DATE(B149,C149,ROW(INDIRECT("1:"&amp;E149))))=7))</f>
        <v/>
      </c>
      <c r="H149" s="19">
        <f>E149-F149</f>
        <v/>
      </c>
      <c r="I149" s="19">
        <f>E149-F149-G149</f>
        <v/>
      </c>
    </row>
    <row r="150" hidden="1" outlineLevel="1" ht="15" customHeight="1" s="15">
      <c r="B150" s="19" t="n">
        <v>2035</v>
      </c>
      <c r="C150" s="19" t="n">
        <v>5</v>
      </c>
      <c r="D150" s="19" t="inlineStr">
        <is>
          <t>Mai</t>
        </is>
      </c>
      <c r="E150" s="19">
        <f>DAY(EOMONTH(DATE(B150,C150,1),0))</f>
        <v/>
      </c>
      <c r="F150" s="19">
        <f>SUMPRODUCT(--(WEEKDAY(DATE(B150,C150,ROW(INDIRECT("1:"&amp;E150))))=1))</f>
        <v/>
      </c>
      <c r="G150" s="19">
        <f>SUMPRODUCT(--(WEEKDAY(DATE(B150,C150,ROW(INDIRECT("1:"&amp;E150))))=7))</f>
        <v/>
      </c>
      <c r="H150" s="19">
        <f>E150-F150</f>
        <v/>
      </c>
      <c r="I150" s="19">
        <f>E150-F150-G150</f>
        <v/>
      </c>
    </row>
    <row r="151" hidden="1" outlineLevel="1" ht="15" customHeight="1" s="15">
      <c r="B151" s="19" t="n">
        <v>2035</v>
      </c>
      <c r="C151" s="19" t="n">
        <v>6</v>
      </c>
      <c r="D151" s="19" t="inlineStr">
        <is>
          <t>Juin</t>
        </is>
      </c>
      <c r="E151" s="19">
        <f>DAY(EOMONTH(DATE(B151,C151,1),0))</f>
        <v/>
      </c>
      <c r="F151" s="19">
        <f>SUMPRODUCT(--(WEEKDAY(DATE(B151,C151,ROW(INDIRECT("1:"&amp;E151))))=1))</f>
        <v/>
      </c>
      <c r="G151" s="19">
        <f>SUMPRODUCT(--(WEEKDAY(DATE(B151,C151,ROW(INDIRECT("1:"&amp;E151))))=7))</f>
        <v/>
      </c>
      <c r="H151" s="19">
        <f>E151-F151</f>
        <v/>
      </c>
      <c r="I151" s="19">
        <f>E151-F151-G151</f>
        <v/>
      </c>
    </row>
    <row r="152" hidden="1" outlineLevel="1" ht="15" customHeight="1" s="15">
      <c r="B152" s="19" t="n">
        <v>2035</v>
      </c>
      <c r="C152" s="19" t="n">
        <v>7</v>
      </c>
      <c r="D152" s="19" t="inlineStr">
        <is>
          <t>Juillet</t>
        </is>
      </c>
      <c r="E152" s="19">
        <f>DAY(EOMONTH(DATE(B152,C152,1),0))</f>
        <v/>
      </c>
      <c r="F152" s="19">
        <f>SUMPRODUCT(--(WEEKDAY(DATE(B152,C152,ROW(INDIRECT("1:"&amp;E152))))=1))</f>
        <v/>
      </c>
      <c r="G152" s="19">
        <f>SUMPRODUCT(--(WEEKDAY(DATE(B152,C152,ROW(INDIRECT("1:"&amp;E152))))=7))</f>
        <v/>
      </c>
      <c r="H152" s="19">
        <f>E152-F152</f>
        <v/>
      </c>
      <c r="I152" s="19">
        <f>E152-F152-G152</f>
        <v/>
      </c>
    </row>
    <row r="153" hidden="1" outlineLevel="1" ht="15" customHeight="1" s="15">
      <c r="B153" s="19" t="n">
        <v>2035</v>
      </c>
      <c r="C153" s="19" t="n">
        <v>8</v>
      </c>
      <c r="D153" s="19" t="inlineStr">
        <is>
          <t>Août</t>
        </is>
      </c>
      <c r="E153" s="19">
        <f>DAY(EOMONTH(DATE(B153,C153,1),0))</f>
        <v/>
      </c>
      <c r="F153" s="19">
        <f>SUMPRODUCT(--(WEEKDAY(DATE(B153,C153,ROW(INDIRECT("1:"&amp;E153))))=1))</f>
        <v/>
      </c>
      <c r="G153" s="19">
        <f>SUMPRODUCT(--(WEEKDAY(DATE(B153,C153,ROW(INDIRECT("1:"&amp;E153))))=7))</f>
        <v/>
      </c>
      <c r="H153" s="19">
        <f>E153-F153</f>
        <v/>
      </c>
      <c r="I153" s="19">
        <f>E153-F153-G153</f>
        <v/>
      </c>
    </row>
    <row r="154" hidden="1" outlineLevel="1" ht="15" customHeight="1" s="15">
      <c r="B154" s="19" t="n">
        <v>2035</v>
      </c>
      <c r="C154" s="19" t="n">
        <v>9</v>
      </c>
      <c r="D154" s="19" t="inlineStr">
        <is>
          <t>Septembre</t>
        </is>
      </c>
      <c r="E154" s="19">
        <f>DAY(EOMONTH(DATE(B154,C154,1),0))</f>
        <v/>
      </c>
      <c r="F154" s="19">
        <f>SUMPRODUCT(--(WEEKDAY(DATE(B154,C154,ROW(INDIRECT("1:"&amp;E154))))=1))</f>
        <v/>
      </c>
      <c r="G154" s="19">
        <f>SUMPRODUCT(--(WEEKDAY(DATE(B154,C154,ROW(INDIRECT("1:"&amp;E154))))=7))</f>
        <v/>
      </c>
      <c r="H154" s="19">
        <f>E154-F154</f>
        <v/>
      </c>
      <c r="I154" s="19">
        <f>E154-F154-G154</f>
        <v/>
      </c>
    </row>
    <row r="155" hidden="1" outlineLevel="1" ht="15" customHeight="1" s="15">
      <c r="B155" s="19" t="n">
        <v>2035</v>
      </c>
      <c r="C155" s="19" t="n">
        <v>10</v>
      </c>
      <c r="D155" s="19" t="inlineStr">
        <is>
          <t>Octobre</t>
        </is>
      </c>
      <c r="E155" s="19">
        <f>DAY(EOMONTH(DATE(B155,C155,1),0))</f>
        <v/>
      </c>
      <c r="F155" s="19">
        <f>SUMPRODUCT(--(WEEKDAY(DATE(B155,C155,ROW(INDIRECT("1:"&amp;E155))))=1))</f>
        <v/>
      </c>
      <c r="G155" s="19">
        <f>SUMPRODUCT(--(WEEKDAY(DATE(B155,C155,ROW(INDIRECT("1:"&amp;E155))))=7))</f>
        <v/>
      </c>
      <c r="H155" s="19">
        <f>E155-F155</f>
        <v/>
      </c>
      <c r="I155" s="19">
        <f>E155-F155-G155</f>
        <v/>
      </c>
    </row>
    <row r="156" hidden="1" outlineLevel="1" ht="15" customHeight="1" s="15">
      <c r="B156" s="19" t="n">
        <v>2035</v>
      </c>
      <c r="C156" s="19" t="n">
        <v>11</v>
      </c>
      <c r="D156" s="19" t="inlineStr">
        <is>
          <t>Novembre</t>
        </is>
      </c>
      <c r="E156" s="19">
        <f>DAY(EOMONTH(DATE(B156,C156,1),0))</f>
        <v/>
      </c>
      <c r="F156" s="19">
        <f>SUMPRODUCT(--(WEEKDAY(DATE(B156,C156,ROW(INDIRECT("1:"&amp;E156))))=1))</f>
        <v/>
      </c>
      <c r="G156" s="19">
        <f>SUMPRODUCT(--(WEEKDAY(DATE(B156,C156,ROW(INDIRECT("1:"&amp;E156))))=7))</f>
        <v/>
      </c>
      <c r="H156" s="19">
        <f>E156-F156</f>
        <v/>
      </c>
      <c r="I156" s="19">
        <f>E156-F156-G156</f>
        <v/>
      </c>
    </row>
    <row r="157" hidden="1" outlineLevel="1" ht="15" customHeight="1" s="15">
      <c r="B157" s="19" t="n">
        <v>2035</v>
      </c>
      <c r="C157" s="19" t="n">
        <v>12</v>
      </c>
      <c r="D157" s="19" t="inlineStr">
        <is>
          <t>Décembre</t>
        </is>
      </c>
      <c r="E157" s="19">
        <f>DAY(EOMONTH(DATE(B157,C157,1),0))</f>
        <v/>
      </c>
      <c r="F157" s="19">
        <f>SUMPRODUCT(--(WEEKDAY(DATE(B157,C157,ROW(INDIRECT("1:"&amp;E157))))=1))</f>
        <v/>
      </c>
      <c r="G157" s="19">
        <f>SUMPRODUCT(--(WEEKDAY(DATE(B157,C157,ROW(INDIRECT("1:"&amp;E157))))=7))</f>
        <v/>
      </c>
      <c r="H157" s="19">
        <f>E157-F157</f>
        <v/>
      </c>
      <c r="I157" s="19">
        <f>E157-F157-G157</f>
        <v/>
      </c>
    </row>
    <row r="158" collapsed="1" ht="27.75" customHeight="1" s="15">
      <c r="B158" s="6" t="inlineStr">
        <is>
          <t>ℹ  Tableau replié par défaut — cliquez sur le « + » à gauche des numéros de ligne pour dérouler le détail. 120 lignes (10 années × 12 mois), aucune saisie requise.</t>
        </is>
      </c>
    </row>
    <row r="160" ht="21.75" customHeight="1" s="15">
      <c r="B160" s="8" t="inlineStr">
        <is>
          <t xml:space="preserve">  4.  SMIG ET ALLOCATIONS — Décret n°25/22 du 30 mai 2025</t>
        </is>
      </c>
    </row>
    <row r="161" ht="27.75" customHeight="1" s="15">
      <c r="B161" s="16" t="inlineStr">
        <is>
          <t>SMIG journalier (manœuvre ordinaire)</t>
        </is>
      </c>
      <c r="C161" s="21" t="n">
        <v>21500</v>
      </c>
      <c r="D161" s="20" t="inlineStr">
        <is>
          <t>CDF/jour</t>
        </is>
      </c>
      <c r="F161" s="18" t="inlineStr">
        <is>
          <t>Décret n°25/22, art. 2 et 3 — montant cible 21 500 CDF/jour, pleinement applicable depuis la paie de janvier 2026 (14 500 CDF entre mai et déc. 2025).</t>
        </is>
      </c>
    </row>
    <row r="162" ht="23.25" customHeight="1" s="15">
      <c r="B162" s="16" t="inlineStr">
        <is>
          <t>SMIG mensuel équivalent — régime 6 jours (mois en cours)</t>
        </is>
      </c>
      <c r="C162" s="23">
        <f>C161*C33</f>
        <v/>
      </c>
      <c r="D162" s="20" t="inlineStr">
        <is>
          <t>CDF/mois</t>
        </is>
      </c>
      <c r="F162" s="18" t="inlineStr">
        <is>
          <t>Basé sur le calendrier réel du mois en cours (section 3), pas un forfait de 26 jours.</t>
        </is>
      </c>
    </row>
    <row r="163" ht="23.25" customHeight="1" s="15">
      <c r="B163" s="16" t="inlineStr">
        <is>
          <t>SMIG mensuel équivalent — régime 5 jours (mois en cours)</t>
        </is>
      </c>
      <c r="C163" s="23">
        <f>C161*C34</f>
        <v/>
      </c>
      <c r="D163" s="20" t="inlineStr">
        <is>
          <t>CDF/mois</t>
        </is>
      </c>
    </row>
    <row r="164" ht="23.25" customHeight="1" s="15">
      <c r="B164" s="16" t="inlineStr">
        <is>
          <t>Allocation familiale par enfant à charge (1/27ᵉ du SMIG journalier)</t>
        </is>
      </c>
      <c r="C164" s="23">
        <f>C161/27</f>
        <v/>
      </c>
      <c r="D164" s="20" t="inlineStr">
        <is>
          <t>CDF/enfant/mois</t>
        </is>
      </c>
      <c r="F164" s="18" t="inlineStr">
        <is>
          <t>Décret n°25/22 — base de calcul des allocations familiales minimales.</t>
        </is>
      </c>
    </row>
    <row r="165" ht="23.25" customHeight="1" s="15">
      <c r="B165" s="16" t="inlineStr">
        <is>
          <t>Contre-valeur logement (1/5ᵉ de l'allocation familiale)</t>
        </is>
      </c>
      <c r="C165" s="23">
        <f>C164/5</f>
        <v/>
      </c>
      <c r="D165" s="20" t="inlineStr">
        <is>
          <t>CDF/mois</t>
        </is>
      </c>
    </row>
    <row r="166" ht="23.25" customHeight="1" s="15">
      <c r="B166" s="16" t="inlineStr">
        <is>
          <t>Nombre d'enfants à charge pris en compte (plafond)</t>
        </is>
      </c>
      <c r="C166" s="17" t="n">
        <v>9</v>
      </c>
      <c r="D166" s="20" t="inlineStr">
        <is>
          <t>enfants max</t>
        </is>
      </c>
    </row>
    <row r="168" ht="21.75" customHeight="1" s="15">
      <c r="B168" s="8" t="inlineStr">
        <is>
          <t xml:space="preserve">  5.  CNSS — TAUX DE COTISATION — Décret n°18/041 du 24 novembre 2018</t>
        </is>
      </c>
    </row>
    <row r="169" ht="15" customHeight="1" s="15">
      <c r="B169" s="22" t="inlineStr">
        <is>
          <t>Branche</t>
        </is>
      </c>
      <c r="C169" s="22" t="inlineStr">
        <is>
          <t>Part employeur</t>
        </is>
      </c>
      <c r="D169" s="22" t="inlineStr">
        <is>
          <t>Part salarié</t>
        </is>
      </c>
      <c r="E169" s="22" t="inlineStr">
        <is>
          <t>Total</t>
        </is>
      </c>
    </row>
    <row r="170" ht="15" customHeight="1" s="15">
      <c r="B170" s="24" t="inlineStr">
        <is>
          <t>Pensions</t>
        </is>
      </c>
      <c r="C170" s="25" t="n">
        <v>0.05</v>
      </c>
      <c r="D170" s="25" t="n">
        <v>0.05</v>
      </c>
      <c r="E170" s="26">
        <f>C170+D170</f>
        <v/>
      </c>
    </row>
    <row r="171" ht="15" customHeight="1" s="15">
      <c r="B171" s="24" t="inlineStr">
        <is>
          <t>Prestations aux familles</t>
        </is>
      </c>
      <c r="C171" s="25" t="n">
        <v>0.065</v>
      </c>
      <c r="D171" s="26" t="n">
        <v>0</v>
      </c>
      <c r="E171" s="26">
        <f>C171+D171</f>
        <v/>
      </c>
    </row>
    <row r="172" ht="18.75" customHeight="1" s="15">
      <c r="B172" s="24" t="inlineStr">
        <is>
          <t>Risques professionnels</t>
        </is>
      </c>
      <c r="C172" s="25" t="n">
        <v>0.015</v>
      </c>
      <c r="D172" s="26" t="n">
        <v>0</v>
      </c>
      <c r="E172" s="26">
        <f>C172+D172</f>
        <v/>
      </c>
      <c r="F172" s="18" t="inlineStr">
        <is>
          <t>Majorable jusqu'au double par la CNSS en cas de non-conformité (art. 5).</t>
        </is>
      </c>
    </row>
    <row r="173" ht="15" customHeight="1" s="15">
      <c r="B173" s="27" t="inlineStr">
        <is>
          <t>TOTAL CNSS</t>
        </is>
      </c>
      <c r="C173" s="28">
        <f>C170+C171+C172</f>
        <v/>
      </c>
      <c r="D173" s="28">
        <f>D170+D171+D172</f>
        <v/>
      </c>
      <c r="E173" s="28">
        <f>C173+D173</f>
        <v/>
      </c>
    </row>
    <row r="174" ht="27.75" customHeight="1" s="15">
      <c r="B174" s="6" t="inlineStr">
        <is>
          <t>ℹ  Assiette : la rémunération servant de base de calcul ne peut être inférieure au SMIG (art. 8 du décret). Aucun plafond de cotisation identifié dans le texte en vigueur.</t>
        </is>
      </c>
    </row>
    <row r="176" ht="21.75" customHeight="1" s="15">
      <c r="B176" s="8" t="inlineStr">
        <is>
          <t xml:space="preserve">  6.  INPP — BARÈME PAR EFFECTIF — Arrêté interministériel du 14 février 2006</t>
        </is>
      </c>
    </row>
    <row r="177" ht="15" customHeight="1" s="15">
      <c r="B177" s="22" t="inlineStr">
        <is>
          <t>Catégorie d'employeur</t>
        </is>
      </c>
      <c r="C177" s="22" t="inlineStr">
        <is>
          <t>Effectif</t>
        </is>
      </c>
      <c r="D177" s="22" t="inlineStr">
        <is>
          <t>Taux</t>
        </is>
      </c>
    </row>
    <row r="178" ht="15" customHeight="1" s="15">
      <c r="B178" s="24" t="inlineStr">
        <is>
          <t>Entreprise / établissement public</t>
        </is>
      </c>
      <c r="C178" s="19" t="inlineStr">
        <is>
          <t>— (tout effectif)</t>
        </is>
      </c>
      <c r="D178" s="26" t="n">
        <v>0.03</v>
      </c>
    </row>
    <row r="179" ht="15" customHeight="1" s="15">
      <c r="B179" s="24" t="inlineStr">
        <is>
          <t>Entreprise privée</t>
        </is>
      </c>
      <c r="C179" s="19" t="inlineStr">
        <is>
          <t>1 à 50 travailleurs</t>
        </is>
      </c>
      <c r="D179" s="26" t="n">
        <v>0.03</v>
      </c>
    </row>
    <row r="180" ht="15" customHeight="1" s="15">
      <c r="B180" s="24" t="inlineStr">
        <is>
          <t>Entreprise privée</t>
        </is>
      </c>
      <c r="C180" s="19" t="inlineStr">
        <is>
          <t>51 à 300 travailleurs</t>
        </is>
      </c>
      <c r="D180" s="26" t="n">
        <v>0.02</v>
      </c>
    </row>
    <row r="181" ht="15" customHeight="1" s="15">
      <c r="B181" s="24" t="inlineStr">
        <is>
          <t>Entreprise privée</t>
        </is>
      </c>
      <c r="C181" s="19" t="inlineStr">
        <is>
          <t>Plus de 300 travailleurs</t>
        </is>
      </c>
      <c r="D181" s="26" t="n">
        <v>0.01</v>
      </c>
    </row>
    <row r="182" ht="36.75" customHeight="1" s="15">
      <c r="B182" s="16" t="inlineStr">
        <is>
          <t>Taux INPP applicable (calculé selon type et effectif ci-dessus, section 1)</t>
        </is>
      </c>
      <c r="C182" s="26">
        <f>IF(C18="Publique",0.03,IF(C17&lt;=50,0.03,IF(C17&lt;=300,0.02,0.01)))</f>
        <v/>
      </c>
      <c r="F182" s="18" t="inlineStr">
        <is>
          <t>Réforme annoncée en 2025 (37ᵉ session du Conseil National du Travail) mais aucun arrêté publié avec de nouveaux taux fermes à ce jour — barème 2006 toujours en vigueur.</t>
        </is>
      </c>
    </row>
    <row r="184" ht="21.75" customHeight="1" s="15">
      <c r="B184" s="8" t="inlineStr">
        <is>
          <t xml:space="preserve">  7.  ONEM — Arrêté ministériel du 05 août 2025</t>
        </is>
      </c>
    </row>
    <row r="185" ht="27.75" customHeight="1" s="15">
      <c r="B185" s="16" t="inlineStr">
        <is>
          <t>Taux de la contribution patronale ONEM</t>
        </is>
      </c>
      <c r="C185" s="25" t="n">
        <v>0.005</v>
      </c>
      <c r="F185" s="18" t="inlineStr">
        <is>
          <t>Porté de 0,2% à 0,5% de la rémunération mensuelle brute depuis août/septembre 2025 (modifie l'Arrêté n°095/2018).</t>
        </is>
      </c>
    </row>
    <row r="187" ht="21.75" customHeight="1" s="15">
      <c r="B187" s="8" t="inlineStr">
        <is>
          <t xml:space="preserve">  8.  BARÈME IPR — Ordonnance-Loi n°69/009, réformé par la Loi de finances 2020</t>
        </is>
      </c>
    </row>
    <row r="188" ht="34.5" customHeight="1" s="15">
      <c r="A188" s="22" t="inlineStr">
        <is>
          <t>Tranche</t>
        </is>
      </c>
      <c r="B188" s="22" t="inlineStr">
        <is>
          <t>Borne inf. annuelle</t>
        </is>
      </c>
      <c r="C188" s="22" t="inlineStr">
        <is>
          <t>Borne sup. annuelle</t>
        </is>
      </c>
      <c r="D188" s="22" t="inlineStr">
        <is>
          <t>Borne inf. mensuelle</t>
        </is>
      </c>
      <c r="E188" s="22" t="inlineStr">
        <is>
          <t>Borne sup. mensuelle</t>
        </is>
      </c>
      <c r="F188" s="22" t="inlineStr">
        <is>
          <t>Taux</t>
        </is>
      </c>
    </row>
    <row r="189" ht="15" customHeight="1" s="15">
      <c r="A189" s="19" t="n">
        <v>1</v>
      </c>
      <c r="B189" s="21" t="n">
        <v>0</v>
      </c>
      <c r="C189" s="21" t="n">
        <v>1944000</v>
      </c>
      <c r="D189" s="23">
        <f>B189/12</f>
        <v/>
      </c>
      <c r="E189" s="23">
        <f>C189/12</f>
        <v/>
      </c>
      <c r="F189" s="29" t="n">
        <v>0.03</v>
      </c>
    </row>
    <row r="190" ht="15" customHeight="1" s="15">
      <c r="A190" s="19" t="n">
        <v>2</v>
      </c>
      <c r="B190" s="21" t="n">
        <v>1944001</v>
      </c>
      <c r="C190" s="21" t="n">
        <v>21600000</v>
      </c>
      <c r="D190" s="23">
        <f>B190/12</f>
        <v/>
      </c>
      <c r="E190" s="23">
        <f>C190/12</f>
        <v/>
      </c>
      <c r="F190" s="29" t="n">
        <v>0.15</v>
      </c>
    </row>
    <row r="191" ht="15" customHeight="1" s="15">
      <c r="A191" s="19" t="n">
        <v>3</v>
      </c>
      <c r="B191" s="21" t="n">
        <v>21600001</v>
      </c>
      <c r="C191" s="21" t="n">
        <v>43200000</v>
      </c>
      <c r="D191" s="23">
        <f>B191/12</f>
        <v/>
      </c>
      <c r="E191" s="23">
        <f>C191/12</f>
        <v/>
      </c>
      <c r="F191" s="29" t="n">
        <v>0.3</v>
      </c>
    </row>
    <row r="192" ht="15" customHeight="1" s="15">
      <c r="A192" s="19" t="n">
        <v>4</v>
      </c>
      <c r="B192" s="21" t="n">
        <v>43200001</v>
      </c>
      <c r="C192" s="19" t="inlineStr">
        <is>
          <t>illimité</t>
        </is>
      </c>
      <c r="D192" s="23">
        <f>B192/12</f>
        <v/>
      </c>
      <c r="E192" s="19" t="inlineStr">
        <is>
          <t>illimité</t>
        </is>
      </c>
      <c r="F192" s="29" t="n">
        <v>0.4</v>
      </c>
    </row>
    <row r="194" ht="15" customHeight="1" s="15">
      <c r="B194" s="16" t="inlineStr">
        <is>
          <t>IPR minimum mensuel (plancher)</t>
        </is>
      </c>
      <c r="C194" s="21" t="n">
        <v>2000</v>
      </c>
      <c r="D194" s="20" t="inlineStr">
        <is>
          <t>CDF/mois</t>
        </is>
      </c>
    </row>
    <row r="195" ht="23.25" customHeight="1" s="15">
      <c r="B195" s="16" t="inlineStr">
        <is>
          <t>IPR maximum (% du revenu imposable, plafond)</t>
        </is>
      </c>
      <c r="C195" s="29" t="n">
        <v>0.3</v>
      </c>
    </row>
    <row r="196" ht="27.75" customHeight="1" s="15">
      <c r="B196" s="16" t="inlineStr">
        <is>
          <t>Réduction pour charge de famille (par personne à charge)</t>
        </is>
      </c>
      <c r="C196" s="29" t="n">
        <v>0.02</v>
      </c>
      <c r="D196" s="20" t="inlineStr">
        <is>
          <t>par personne, max 9</t>
        </is>
      </c>
      <c r="F196" s="18" t="inlineStr">
        <is>
          <t>Pratique administrative courante — à confirmer contre le barème DGI applicable au moment de la mise en production.</t>
        </is>
      </c>
    </row>
    <row r="198" ht="21.75" customHeight="1" s="15">
      <c r="B198" s="8" t="inlineStr">
        <is>
          <t xml:space="preserve">  9.  JOURS FÉRIÉS LÉGAUX (10) — Ordonnance n°23-042 du 30 mars 2023</t>
        </is>
      </c>
    </row>
    <row r="199" ht="34.5" customHeight="1" s="15">
      <c r="B199" s="22" t="inlineStr">
        <is>
          <t>Jour</t>
        </is>
      </c>
      <c r="C199" s="22" t="inlineStr">
        <is>
          <t>Mois</t>
        </is>
      </c>
      <c r="D199" s="22" t="inlineStr">
        <is>
          <t>Libellé</t>
        </is>
      </c>
      <c r="E199" s="22" t="inlineStr">
        <is>
          <t>Date légale (auto, règle dimanche)</t>
        </is>
      </c>
      <c r="F199" s="22" t="inlineStr">
        <is>
          <t>Ajustement manuel (samedi)</t>
        </is>
      </c>
      <c r="G199" s="22" t="inlineStr">
        <is>
          <t>Date retenue pour la paie</t>
        </is>
      </c>
      <c r="H199" s="22" t="inlineStr">
        <is>
          <t>Chômé et payé</t>
        </is>
      </c>
    </row>
    <row r="200" ht="15" customHeight="1" s="15">
      <c r="B200" s="17" t="n">
        <v>1</v>
      </c>
      <c r="C200" s="17" t="n">
        <v>1</v>
      </c>
      <c r="D200" s="24" t="inlineStr">
        <is>
          <t>Nouvel An</t>
        </is>
      </c>
      <c r="E200" s="30">
        <f>IF(WEEKDAY(DATE($C$29,C200,B200),2)=7,DATE($C$29,C200,B200)-1,DATE($C$29,C200,B200))</f>
        <v/>
      </c>
      <c r="F200" s="31" t="n"/>
      <c r="G200" s="30">
        <f>IF(F200="",E200,F200)</f>
        <v/>
      </c>
      <c r="H200" s="17" t="inlineStr">
        <is>
          <t>Oui</t>
        </is>
      </c>
    </row>
    <row r="201" ht="34.5" customHeight="1" s="15">
      <c r="B201" s="17" t="n">
        <v>4</v>
      </c>
      <c r="C201" s="17" t="n">
        <v>1</v>
      </c>
      <c r="D201" s="24" t="inlineStr">
        <is>
          <t>Journée des Martyrs de l'Indépendance</t>
        </is>
      </c>
      <c r="E201" s="30">
        <f>IF(WEEKDAY(DATE($C$29,C201,B201),2)=7,DATE($C$29,C201,B201)-1,DATE($C$29,C201,B201))</f>
        <v/>
      </c>
      <c r="F201" s="31" t="n"/>
      <c r="G201" s="30">
        <f>IF(F201="",E201,F201)</f>
        <v/>
      </c>
      <c r="H201" s="17" t="inlineStr">
        <is>
          <t>Oui</t>
        </is>
      </c>
    </row>
    <row r="202" ht="45.75" customHeight="1" s="15">
      <c r="B202" s="17" t="n">
        <v>16</v>
      </c>
      <c r="C202" s="17" t="n">
        <v>1</v>
      </c>
      <c r="D202" s="24" t="inlineStr">
        <is>
          <t>Journée du Héros National Laurent-Désiré Kabila</t>
        </is>
      </c>
      <c r="E202" s="30">
        <f>IF(WEEKDAY(DATE($C$29,C202,B202),2)=7,DATE($C$29,C202,B202)-1,DATE($C$29,C202,B202))</f>
        <v/>
      </c>
      <c r="F202" s="31" t="n"/>
      <c r="G202" s="30">
        <f>IF(F202="",E202,F202)</f>
        <v/>
      </c>
      <c r="H202" s="17" t="inlineStr">
        <is>
          <t>Oui</t>
        </is>
      </c>
    </row>
    <row r="203" ht="45.75" customHeight="1" s="15">
      <c r="B203" s="17" t="n">
        <v>17</v>
      </c>
      <c r="C203" s="17" t="n">
        <v>1</v>
      </c>
      <c r="D203" s="24" t="inlineStr">
        <is>
          <t>Journée du Héros National Patrice Emery Lumumba</t>
        </is>
      </c>
      <c r="E203" s="30">
        <f>IF(WEEKDAY(DATE($C$29,C203,B203),2)=7,DATE($C$29,C203,B203)-1,DATE($C$29,C203,B203))</f>
        <v/>
      </c>
      <c r="F203" s="31" t="n"/>
      <c r="G203" s="30">
        <f>IF(F203="",E203,F203)</f>
        <v/>
      </c>
      <c r="H203" s="17" t="inlineStr">
        <is>
          <t>Oui</t>
        </is>
      </c>
    </row>
    <row r="204" ht="68.25" customHeight="1" s="15">
      <c r="B204" s="17" t="n">
        <v>6</v>
      </c>
      <c r="C204" s="17" t="n">
        <v>4</v>
      </c>
      <c r="D204" s="24" t="inlineStr">
        <is>
          <t>Journée du Combat de Simon Kimbangu et de la conscience africaine</t>
        </is>
      </c>
      <c r="E204" s="30">
        <f>IF(WEEKDAY(DATE($C$29,C204,B204),2)=7,DATE($C$29,C204,B204)-1,DATE($C$29,C204,B204))</f>
        <v/>
      </c>
      <c r="F204" s="31" t="n"/>
      <c r="G204" s="30">
        <f>IF(F204="",E204,F204)</f>
        <v/>
      </c>
      <c r="H204" s="17" t="inlineStr">
        <is>
          <t>Oui</t>
        </is>
      </c>
    </row>
    <row r="205" ht="15" customHeight="1" s="15">
      <c r="B205" s="17" t="n">
        <v>1</v>
      </c>
      <c r="C205" s="17" t="n">
        <v>5</v>
      </c>
      <c r="D205" s="24" t="inlineStr">
        <is>
          <t>Fête du Travail</t>
        </is>
      </c>
      <c r="E205" s="30">
        <f>IF(WEEKDAY(DATE($C$29,C205,B205),2)=7,DATE($C$29,C205,B205)-1,DATE($C$29,C205,B205))</f>
        <v/>
      </c>
      <c r="F205" s="31" t="n"/>
      <c r="G205" s="30">
        <f>IF(F205="",E205,F205)</f>
        <v/>
      </c>
      <c r="H205" s="17" t="inlineStr">
        <is>
          <t>Oui</t>
        </is>
      </c>
    </row>
    <row r="206" ht="23.25" customHeight="1" s="15">
      <c r="B206" s="17" t="n">
        <v>17</v>
      </c>
      <c r="C206" s="17" t="n">
        <v>5</v>
      </c>
      <c r="D206" s="24" t="inlineStr">
        <is>
          <t>Journée des Forces Armées</t>
        </is>
      </c>
      <c r="E206" s="30">
        <f>IF(WEEKDAY(DATE($C$29,C206,B206),2)=7,DATE($C$29,C206,B206)-1,DATE($C$29,C206,B206))</f>
        <v/>
      </c>
      <c r="F206" s="31" t="n"/>
      <c r="G206" s="30">
        <f>IF(F206="",E206,F206)</f>
        <v/>
      </c>
      <c r="H206" s="17" t="inlineStr">
        <is>
          <t>Oui</t>
        </is>
      </c>
    </row>
    <row r="207" ht="23.25" customHeight="1" s="15">
      <c r="B207" s="17" t="n">
        <v>30</v>
      </c>
      <c r="C207" s="17" t="n">
        <v>6</v>
      </c>
      <c r="D207" s="24" t="inlineStr">
        <is>
          <t>Journée de l'Indépendance</t>
        </is>
      </c>
      <c r="E207" s="30">
        <f>IF(WEEKDAY(DATE($C$29,C207,B207),2)=7,DATE($C$29,C207,B207)-1,DATE($C$29,C207,B207))</f>
        <v/>
      </c>
      <c r="F207" s="31" t="n"/>
      <c r="G207" s="30">
        <f>IF(F207="",E207,F207)</f>
        <v/>
      </c>
      <c r="H207" s="17" t="inlineStr">
        <is>
          <t>Oui</t>
        </is>
      </c>
    </row>
    <row r="208" ht="23.25" customHeight="1" s="15">
      <c r="B208" s="17" t="n">
        <v>1</v>
      </c>
      <c r="C208" s="17" t="n">
        <v>8</v>
      </c>
      <c r="D208" s="24" t="inlineStr">
        <is>
          <t>Fête des Parents</t>
        </is>
      </c>
      <c r="E208" s="30">
        <f>IF(WEEKDAY(DATE($C$29,C208,B208),2)=7,DATE($C$29,C208,B208)-1,DATE($C$29,C208,B208))</f>
        <v/>
      </c>
      <c r="F208" s="31" t="n"/>
      <c r="G208" s="30">
        <f>IF(F208="",E208,F208)</f>
        <v/>
      </c>
      <c r="H208" s="17" t="inlineStr">
        <is>
          <t>Oui</t>
        </is>
      </c>
    </row>
    <row r="209" ht="15" customHeight="1" s="15">
      <c r="B209" s="17" t="n">
        <v>25</v>
      </c>
      <c r="C209" s="17" t="n">
        <v>12</v>
      </c>
      <c r="D209" s="24" t="inlineStr">
        <is>
          <t>Noël</t>
        </is>
      </c>
      <c r="E209" s="30">
        <f>IF(WEEKDAY(DATE($C$29,C209,B209),2)=7,DATE($C$29,C209,B209)-1,DATE($C$29,C209,B209))</f>
        <v/>
      </c>
      <c r="F209" s="31" t="n"/>
      <c r="G209" s="30">
        <f>IF(F209="",E209,F209)</f>
        <v/>
      </c>
      <c r="H209" s="17" t="inlineStr">
        <is>
          <t>Oui</t>
        </is>
      </c>
    </row>
    <row r="210" ht="27.75" customHeight="1" s="15">
      <c r="B210" s="6" t="inlineStr">
        <is>
          <t>ℹ  Liste officielle des 10 jours fériés légaux fixée par l'ordonnance n°23-042, art. 1er. « Date légale » est une vraie date Excel calculée à partir de l'année en cours (section 3) : la règle de report « dimanche → veille » (art. 1er in fine) s'applique automatiquement. En cas de coïncidence avec un samedi, le report est fixé au cas par cas par communiqué ministériel — renseignez alors la date retenue dans la colonne « Ajustement manuel » ; sinon laissez-la vide.</t>
        </is>
      </c>
    </row>
    <row r="211" ht="27.75" customHeight="1" s="15">
      <c r="B211" s="6" t="inlineStr">
        <is>
          <t>ℹ  Convention technique retenue pour tout le classeur (cohérente avec le grisage des week-ends validé sur la Fiche d'Imputation Lobii Group) : WEEKDAY(date,2) — Lundi=1 … Dimanche=7. À réutiliser telle quelle dans BULLETIN pour griser samedis/dimanches, en référençant jours_feries_dates_retenues pour les fériés.</t>
        </is>
      </c>
    </row>
    <row r="213" ht="21.75" customHeight="1" s="15">
      <c r="B213" s="8" t="inlineStr">
        <is>
          <t xml:space="preserve">  JOURNAL DE VERSION</t>
        </is>
      </c>
    </row>
    <row r="214" ht="15" customHeight="1" s="15">
      <c r="B214" s="22" t="inlineStr">
        <is>
          <t>Version</t>
        </is>
      </c>
      <c r="C214" s="22" t="inlineStr">
        <is>
          <t>Date</t>
        </is>
      </c>
      <c r="D214" s="22" t="inlineStr">
        <is>
          <t>Auteur</t>
        </is>
      </c>
      <c r="E214" s="22" t="inlineStr">
        <is>
          <t>Description</t>
        </is>
      </c>
    </row>
    <row r="215" ht="30" customHeight="1" s="15">
      <c r="B215" s="19" t="inlineStr">
        <is>
          <t>v0.1</t>
        </is>
      </c>
      <c r="C215" s="19" t="inlineStr">
        <is>
          <t>22/07/2026</t>
        </is>
      </c>
      <c r="D215" s="24" t="inlineStr">
        <is>
          <t>Morning SARL</t>
        </is>
      </c>
      <c r="E215" s="24" t="inlineStr">
        <is>
          <t>Maquette initiale de la feuille PARAMETRES — valeurs légales vérifiées</t>
        </is>
      </c>
    </row>
    <row r="217" ht="21.75" customHeight="1" s="15">
      <c r="B217" s="8" t="inlineStr">
        <is>
          <t xml:space="preserve">  10.  AVANCES SUR SALAIRE — SEUIL DE CONTRÔLE (ajouté pour VARIABLES)</t>
        </is>
      </c>
    </row>
    <row r="218" ht="27.75" customHeight="1" s="15">
      <c r="B218" s="16" t="inlineStr">
        <is>
          <t>Seuil d'alerte avance sur salaire (% du salaire de base)</t>
        </is>
      </c>
      <c r="C218" s="29" t="n">
        <v>0.5</v>
      </c>
      <c r="F218" s="18" t="inlineStr">
        <is>
          <t>Repris du mécanisme validé sur la Fiche d'Imputation Lobii Group (seuil par défaut 50 %). Déclenche le contrôle automatique dans VARIABLES.</t>
        </is>
      </c>
    </row>
    <row r="220" ht="21.75" customHeight="1" s="15">
      <c r="B220" s="8" t="inlineStr">
        <is>
          <t xml:space="preserve">  11.  PARAMÈTRES DU TEMPS DE TRAVAIL (ajoutés pour BULLETIN)</t>
        </is>
      </c>
    </row>
    <row r="221" ht="15" customHeight="1" s="15">
      <c r="B221" s="16" t="inlineStr">
        <is>
          <t>Heures de travail par jour</t>
        </is>
      </c>
      <c r="C221" s="17" t="n">
        <v>8</v>
      </c>
    </row>
    <row r="222" ht="15" customHeight="1" s="15">
      <c r="B222" s="16" t="inlineStr">
        <is>
          <t>Majoration heures sup — 6 premières heures/semaine (30%)</t>
        </is>
      </c>
      <c r="C222" s="29" t="n">
        <v>1.3</v>
      </c>
    </row>
    <row r="223" ht="43.5" customHeight="1" s="15">
      <c r="B223" s="5" t="inlineStr">
        <is>
          <t>ℹ  Vérifié : Arrêté Ministériel 68/11 du 17 mai 1968 (rémunération des heures supplémentaires), confirmé par l'art. 119 de la Loi n°16/010 du 15 juillet 2016. Barème progressif : 30% (1ère à 6e heure/semaine), 60% (7e heure et au-delà/semaine), 100% (jour de repos hebdomadaire — non modélisé séparément ici, VARIABLES ne distingue pas ce cas ; toutes les heures sup saisies sont traitées comme heures de semaine).</t>
        </is>
      </c>
    </row>
    <row r="224" ht="23.25" customHeight="1" s="15">
      <c r="B224" s="16" t="inlineStr">
        <is>
          <t>Numéro du mois en cours (calculé, technique)</t>
        </is>
      </c>
      <c r="C224" s="19">
        <f>MATCH($C$30,{"Janvier","Février","Mars","Avril","Mai","Juin","Juillet","Août","Septembre","Octobre","Novembre","Décembre"},0)</f>
        <v/>
      </c>
      <c r="F224" s="18" t="inlineStr">
        <is>
          <t>Convertit le libellé du mois (section 3) en numéro 1-12, utilisé pour retrouver la bonne ligne dans VARIABLES.</t>
        </is>
      </c>
    </row>
    <row r="226" ht="21.75" customHeight="1" s="15">
      <c r="B226" s="4" t="inlineStr">
        <is>
          <t>12.  MAJORATION HEURES SUP — 2e PALIER (complément)</t>
        </is>
      </c>
    </row>
    <row r="227" ht="23.25" customHeight="1" s="15">
      <c r="B227" s="16" t="inlineStr">
        <is>
          <t>Majoration heures sup — 7e heure et au-delà/semaine (60%)</t>
        </is>
      </c>
      <c r="C227" s="29" t="n">
        <v>1.6</v>
      </c>
    </row>
    <row r="229" ht="21.75" customHeight="1" s="15">
      <c r="B229" s="4" t="inlineStr">
        <is>
          <t xml:space="preserve">  13.  CONGÉS PAYÉS (ajouté)</t>
        </is>
      </c>
    </row>
    <row r="230" ht="36.75" customHeight="1" s="15">
      <c r="B230" s="16" t="inlineStr">
        <is>
          <t>Taux d'acquisition congé (jours ouvrables / mois de service, majeurs)</t>
        </is>
      </c>
      <c r="C230" s="17" t="n">
        <v>1</v>
      </c>
      <c r="F230" s="18" t="inlineStr">
        <is>
          <t>Corrigé : art. 141 Code du travail (Loi 015-2002, modifiée par Loi 16/010 du 15/07/2016) — 1 jour ouvrable/mois pour les travailleurs de plus de 18 ans (1,5 jour/mois s'applique aux mineurs, non modélisé séparément ici).</t>
        </is>
      </c>
    </row>
    <row r="231" ht="27.75" customHeight="1" s="15">
      <c r="B231" s="16" t="inlineStr">
        <is>
          <t>Majoration ancienneté congé (jours / tranche de 5 ans)</t>
        </is>
      </c>
      <c r="C231" s="17" t="n">
        <v>1</v>
      </c>
      <c r="F231" s="18" t="inlineStr">
        <is>
          <t>Même article : la durée augmente d'1 jour ouvrable par tranche de 5 années d'ancienneté chez le même employeur.</t>
        </is>
      </c>
    </row>
    <row r="233" ht="21.75" customHeight="1" s="15">
      <c r="B233" s="4" t="inlineStr">
        <is>
          <t xml:space="preserve">  14.  HEURES DE NUIT ET JOUR DE REPOS (ajouté)</t>
        </is>
      </c>
    </row>
    <row r="234" ht="36.75" customHeight="1" s="15">
      <c r="B234" s="16" t="inlineStr">
        <is>
          <t>Majoration heures de nuit</t>
        </is>
      </c>
      <c r="C234" s="29" t="n">
        <v>0.1</v>
      </c>
      <c r="F234" s="18" t="inlineStr">
        <is>
          <t>Arrêté ministériel 68/14 (majoration du travail de nuit) — repris de la même recherche que les heures supplémentaires (Arrêté 68/11). Non re-vérifié par lecture intégrale du texte dans cette session.</t>
        </is>
      </c>
    </row>
    <row r="235" ht="36.75" customHeight="1" s="15">
      <c r="B235" s="16" t="inlineStr">
        <is>
          <t>Majoration jour de repos travaillé</t>
        </is>
      </c>
      <c r="C235" s="29" t="n">
        <v>1</v>
      </c>
      <c r="F235" s="18" t="inlineStr">
        <is>
          <t>Art. 119 de la Loi n°16/010 du 15/07/2016 modifiant le Code du Travail — travail du jour de repos hebdomadaire majoré de 100% (payé double). S'ajoute au jour déjà compté normalement dans le salaire proratisé.</t>
        </is>
      </c>
    </row>
    <row r="237" ht="19.5" customHeight="1" s="15">
      <c r="B237" s="8" t="inlineStr">
        <is>
          <t xml:space="preserve">  15.  GRILLE DE TENSION SALARIALE (classification professionnelle SMIG)</t>
        </is>
      </c>
    </row>
    <row r="238" ht="61.5" customHeight="1" s="15">
      <c r="B238" s="3" t="inlineStr">
        <is>
          <t>ℹ  Source : Décret n°25/22 du 30 mai 2025 (Premier Ministre Judith Suminwa, contresigné par le Ministre de l'Emploi et du Travail), Annexe II — grille en vigueur depuis janvier 2026 (l'Annexe I, transitoire mai-décembre 2025, est obsolète). Tension = coefficient multiplicateur du SMIG journalier par catégorie/échelon (tension légale de 1 à 10, art. 4). Jours de conversion mensuelle fixés par l'art. 7 du décret à 26 (valeur légale fixe, distincte du calendrier réel des jours ouvrables utilisé ailleurs dans ce classeur pour proratiser le salaire réellement dû). Recoupé avec deux fichiers de paie RDC réels (montants identiques à 3 échelons près, expliqués par la différence Annexe I / Annexe II) et un article juridique citant les montants officiels de l'Annexe II.</t>
        </is>
      </c>
    </row>
    <row r="239" ht="21.75" customHeight="1" s="15">
      <c r="B239" s="32" t="inlineStr">
        <is>
          <t>Classe</t>
        </is>
      </c>
      <c r="C239" s="32" t="inlineStr">
        <is>
          <t>Catégorie</t>
        </is>
      </c>
      <c r="D239" s="32" t="inlineStr">
        <is>
          <t>Échelon</t>
        </is>
      </c>
      <c r="E239" s="32" t="inlineStr">
        <is>
          <t>Tension</t>
        </is>
      </c>
      <c r="F239" s="32" t="inlineStr">
        <is>
          <t>SMG journalier (calculé)</t>
        </is>
      </c>
      <c r="G239" s="32" t="inlineStr">
        <is>
          <t>SMG mensuel (calculé, ×26)</t>
        </is>
      </c>
    </row>
    <row r="240" ht="15" customHeight="1" s="15">
      <c r="B240" s="19" t="inlineStr">
        <is>
          <t>I</t>
        </is>
      </c>
      <c r="C240" s="24" t="inlineStr">
        <is>
          <t>Manœuvre</t>
        </is>
      </c>
      <c r="D240" s="19" t="inlineStr">
        <is>
          <t>Ordinaire</t>
        </is>
      </c>
      <c r="E240" s="33" t="n">
        <v>1</v>
      </c>
      <c r="F240" s="23">
        <f>smig_journalier*E240</f>
        <v/>
      </c>
      <c r="G240" s="23">
        <f>F240*26</f>
        <v/>
      </c>
      <c r="H240" s="34" t="inlineStr">
        <is>
          <t>Manœuvre — Ordinaire</t>
        </is>
      </c>
    </row>
    <row r="241" ht="15" customHeight="1" s="15">
      <c r="B241" s="19" t="inlineStr">
        <is>
          <t>I</t>
        </is>
      </c>
      <c r="C241" s="24" t="inlineStr">
        <is>
          <t>Manœuvre</t>
        </is>
      </c>
      <c r="D241" s="19" t="inlineStr">
        <is>
          <t>Lourd</t>
        </is>
      </c>
      <c r="E241" s="33" t="n">
        <v>1.16</v>
      </c>
      <c r="F241" s="23">
        <f>smig_journalier*E241</f>
        <v/>
      </c>
      <c r="G241" s="23">
        <f>F241*26</f>
        <v/>
      </c>
      <c r="H241" s="34" t="inlineStr">
        <is>
          <t>Manœuvre — Lourd</t>
        </is>
      </c>
    </row>
    <row r="242" ht="15" customHeight="1" s="15">
      <c r="B242" s="19" t="inlineStr">
        <is>
          <t>II</t>
        </is>
      </c>
      <c r="C242" s="24" t="inlineStr">
        <is>
          <t>Manœuvre spécialisé</t>
        </is>
      </c>
      <c r="D242" s="19" t="n"/>
      <c r="E242" s="33" t="n">
        <v>1.33</v>
      </c>
      <c r="F242" s="23">
        <f>smig_journalier*E242</f>
        <v/>
      </c>
      <c r="G242" s="23">
        <f>F242*26</f>
        <v/>
      </c>
      <c r="H242" s="34" t="inlineStr">
        <is>
          <t>Manœuvre spécialisé</t>
        </is>
      </c>
    </row>
    <row r="243" ht="15" customHeight="1" s="15">
      <c r="B243" s="19" t="inlineStr">
        <is>
          <t>III</t>
        </is>
      </c>
      <c r="C243" s="24" t="inlineStr">
        <is>
          <t>Semi-qualifié</t>
        </is>
      </c>
      <c r="D243" s="19" t="inlineStr">
        <is>
          <t>Échelon 1</t>
        </is>
      </c>
      <c r="E243" s="33" t="n">
        <v>1.54</v>
      </c>
      <c r="F243" s="23">
        <f>smig_journalier*E243</f>
        <v/>
      </c>
      <c r="G243" s="23">
        <f>F243*26</f>
        <v/>
      </c>
      <c r="H243" s="34" t="inlineStr">
        <is>
          <t>Semi-qualifié — Échelon 1</t>
        </is>
      </c>
    </row>
    <row r="244" ht="15" customHeight="1" s="15">
      <c r="B244" s="19" t="inlineStr">
        <is>
          <t>III</t>
        </is>
      </c>
      <c r="C244" s="24" t="inlineStr">
        <is>
          <t>Semi-qualifié</t>
        </is>
      </c>
      <c r="D244" s="19" t="inlineStr">
        <is>
          <t>Échelon 2</t>
        </is>
      </c>
      <c r="E244" s="33" t="n">
        <v>1.78</v>
      </c>
      <c r="F244" s="23">
        <f>smig_journalier*E244</f>
        <v/>
      </c>
      <c r="G244" s="23">
        <f>F244*26</f>
        <v/>
      </c>
      <c r="H244" s="34" t="inlineStr">
        <is>
          <t>Semi-qualifié — Échelon 2</t>
        </is>
      </c>
    </row>
    <row r="245" ht="15" customHeight="1" s="15">
      <c r="B245" s="19" t="inlineStr">
        <is>
          <t>III</t>
        </is>
      </c>
      <c r="C245" s="24" t="inlineStr">
        <is>
          <t>Semi-qualifié</t>
        </is>
      </c>
      <c r="D245" s="19" t="inlineStr">
        <is>
          <t>Échelon 3</t>
        </is>
      </c>
      <c r="E245" s="33" t="n">
        <v>2.06</v>
      </c>
      <c r="F245" s="23">
        <f>smig_journalier*E245</f>
        <v/>
      </c>
      <c r="G245" s="23">
        <f>F245*26</f>
        <v/>
      </c>
      <c r="H245" s="34" t="inlineStr">
        <is>
          <t>Semi-qualifié — Échelon 3</t>
        </is>
      </c>
    </row>
    <row r="246" ht="15" customHeight="1" s="15">
      <c r="B246" s="19" t="inlineStr">
        <is>
          <t>IV</t>
        </is>
      </c>
      <c r="C246" s="24" t="inlineStr">
        <is>
          <t>Qualifié</t>
        </is>
      </c>
      <c r="D246" s="19" t="inlineStr">
        <is>
          <t>Échelon 1</t>
        </is>
      </c>
      <c r="E246" s="33" t="n">
        <v>2.37</v>
      </c>
      <c r="F246" s="23">
        <f>smig_journalier*E246</f>
        <v/>
      </c>
      <c r="G246" s="23">
        <f>F246*26</f>
        <v/>
      </c>
      <c r="H246" s="34" t="inlineStr">
        <is>
          <t>Qualifié — Échelon 1</t>
        </is>
      </c>
    </row>
    <row r="247" ht="15" customHeight="1" s="15">
      <c r="B247" s="19" t="inlineStr">
        <is>
          <t>IV</t>
        </is>
      </c>
      <c r="C247" s="24" t="inlineStr">
        <is>
          <t>Qualifié</t>
        </is>
      </c>
      <c r="D247" s="19" t="inlineStr">
        <is>
          <t>Échelon 2</t>
        </is>
      </c>
      <c r="E247" s="33" t="n">
        <v>2.74</v>
      </c>
      <c r="F247" s="23">
        <f>smig_journalier*E247</f>
        <v/>
      </c>
      <c r="G247" s="23">
        <f>F247*26</f>
        <v/>
      </c>
      <c r="H247" s="34" t="inlineStr">
        <is>
          <t>Qualifié — Échelon 2</t>
        </is>
      </c>
    </row>
    <row r="248" ht="15" customHeight="1" s="15">
      <c r="B248" s="19" t="inlineStr">
        <is>
          <t>V</t>
        </is>
      </c>
      <c r="C248" s="24" t="inlineStr">
        <is>
          <t>Hautement qualifié</t>
        </is>
      </c>
      <c r="D248" s="19" t="n"/>
      <c r="E248" s="33" t="n">
        <v>3.17</v>
      </c>
      <c r="F248" s="23">
        <f>smig_journalier*E248</f>
        <v/>
      </c>
      <c r="G248" s="23">
        <f>F248*26</f>
        <v/>
      </c>
      <c r="H248" s="34" t="inlineStr">
        <is>
          <t>Hautement qualifié</t>
        </is>
      </c>
    </row>
    <row r="249" ht="15" customHeight="1" s="15">
      <c r="B249" s="19" t="inlineStr">
        <is>
          <t>VI</t>
        </is>
      </c>
      <c r="C249" s="24" t="inlineStr">
        <is>
          <t>Maîtrise</t>
        </is>
      </c>
      <c r="D249" s="19" t="inlineStr">
        <is>
          <t>Échelon 1</t>
        </is>
      </c>
      <c r="E249" s="33" t="n">
        <v>3.66</v>
      </c>
      <c r="F249" s="23">
        <f>smig_journalier*E249</f>
        <v/>
      </c>
      <c r="G249" s="23">
        <f>F249*26</f>
        <v/>
      </c>
      <c r="H249" s="34" t="inlineStr">
        <is>
          <t>Maîtrise — Échelon 1</t>
        </is>
      </c>
    </row>
    <row r="250" ht="15" customHeight="1" s="15">
      <c r="B250" s="19" t="inlineStr">
        <is>
          <t>VI</t>
        </is>
      </c>
      <c r="C250" s="24" t="inlineStr">
        <is>
          <t>Maîtrise</t>
        </is>
      </c>
      <c r="D250" s="19" t="inlineStr">
        <is>
          <t>Échelon 2</t>
        </is>
      </c>
      <c r="E250" s="33" t="n">
        <v>4.22</v>
      </c>
      <c r="F250" s="23">
        <f>smig_journalier*E250</f>
        <v/>
      </c>
      <c r="G250" s="23">
        <f>F250*26</f>
        <v/>
      </c>
      <c r="H250" s="34" t="inlineStr">
        <is>
          <t>Maîtrise — Échelon 2</t>
        </is>
      </c>
    </row>
    <row r="251" ht="15" customHeight="1" s="15">
      <c r="B251" s="19" t="inlineStr">
        <is>
          <t>VI</t>
        </is>
      </c>
      <c r="C251" s="24" t="inlineStr">
        <is>
          <t>Maîtrise</t>
        </is>
      </c>
      <c r="D251" s="19" t="inlineStr">
        <is>
          <t>Échelon 3</t>
        </is>
      </c>
      <c r="E251" s="33" t="n">
        <v>4.88</v>
      </c>
      <c r="F251" s="23">
        <f>smig_journalier*E251</f>
        <v/>
      </c>
      <c r="G251" s="23">
        <f>F251*26</f>
        <v/>
      </c>
      <c r="H251" s="34" t="inlineStr">
        <is>
          <t>Maîtrise — Échelon 3</t>
        </is>
      </c>
    </row>
    <row r="252" ht="15" customHeight="1" s="15">
      <c r="B252" s="19" t="inlineStr">
        <is>
          <t>VI</t>
        </is>
      </c>
      <c r="C252" s="24" t="inlineStr">
        <is>
          <t>Maîtrise</t>
        </is>
      </c>
      <c r="D252" s="19" t="inlineStr">
        <is>
          <t>Échelon 4</t>
        </is>
      </c>
      <c r="E252" s="33" t="n">
        <v>5.6413953</v>
      </c>
      <c r="F252" s="23">
        <f>smig_journalier*E252</f>
        <v/>
      </c>
      <c r="G252" s="23">
        <f>F252*26</f>
        <v/>
      </c>
      <c r="H252" s="34" t="inlineStr">
        <is>
          <t>Maîtrise — Échelon 4</t>
        </is>
      </c>
    </row>
    <row r="253" ht="15" customHeight="1" s="15">
      <c r="B253" s="19" t="inlineStr">
        <is>
          <t>VII</t>
        </is>
      </c>
      <c r="C253" s="24" t="inlineStr">
        <is>
          <t>Cadre de collaboration</t>
        </is>
      </c>
      <c r="D253" s="19" t="inlineStr">
        <is>
          <t>Échelon 1</t>
        </is>
      </c>
      <c r="E253" s="33" t="n">
        <v>6.51</v>
      </c>
      <c r="F253" s="23">
        <f>smig_journalier*E253</f>
        <v/>
      </c>
      <c r="G253" s="23">
        <f>F253*26</f>
        <v/>
      </c>
      <c r="H253" s="34" t="inlineStr">
        <is>
          <t>Cadre de collaboration — Échelon 1</t>
        </is>
      </c>
    </row>
    <row r="254" ht="15" customHeight="1" s="15">
      <c r="B254" s="19" t="inlineStr">
        <is>
          <t>VII</t>
        </is>
      </c>
      <c r="C254" s="24" t="inlineStr">
        <is>
          <t>Cadre de collaboration</t>
        </is>
      </c>
      <c r="D254" s="19" t="inlineStr">
        <is>
          <t>Échelon 2</t>
        </is>
      </c>
      <c r="E254" s="33" t="n">
        <v>7.52</v>
      </c>
      <c r="F254" s="23">
        <f>smig_journalier*E254</f>
        <v/>
      </c>
      <c r="G254" s="23">
        <f>F254*26</f>
        <v/>
      </c>
      <c r="H254" s="34" t="inlineStr">
        <is>
          <t>Cadre de collaboration — Échelon 2</t>
        </is>
      </c>
    </row>
    <row r="255" ht="15" customHeight="1" s="15">
      <c r="B255" s="19" t="inlineStr">
        <is>
          <t>VII</t>
        </is>
      </c>
      <c r="C255" s="24" t="inlineStr">
        <is>
          <t>Cadre de collaboration</t>
        </is>
      </c>
      <c r="D255" s="19" t="inlineStr">
        <is>
          <t>Échelon 3</t>
        </is>
      </c>
      <c r="E255" s="33" t="n">
        <v>8.819534900000001</v>
      </c>
      <c r="F255" s="23">
        <f>smig_journalier*E255</f>
        <v/>
      </c>
      <c r="G255" s="23">
        <f>F255*26</f>
        <v/>
      </c>
      <c r="H255" s="34" t="inlineStr">
        <is>
          <t>Cadre de collaboration — Échelon 3</t>
        </is>
      </c>
    </row>
    <row r="256" ht="15" customHeight="1" s="15">
      <c r="B256" s="19" t="inlineStr">
        <is>
          <t>VII</t>
        </is>
      </c>
      <c r="C256" s="24" t="inlineStr">
        <is>
          <t>Cadre de collaboration</t>
        </is>
      </c>
      <c r="D256" s="19" t="inlineStr">
        <is>
          <t>Échelon 4</t>
        </is>
      </c>
      <c r="E256" s="33" t="n">
        <v>10</v>
      </c>
      <c r="F256" s="23">
        <f>smig_journalier*E256</f>
        <v/>
      </c>
      <c r="G256" s="23">
        <f>F256*26</f>
        <v/>
      </c>
      <c r="H256" s="34" t="inlineStr">
        <is>
          <t>Cadre de collaboration — Échelon 4</t>
        </is>
      </c>
    </row>
  </sheetData>
  <mergeCells count="32">
    <mergeCell ref="B233:I233"/>
    <mergeCell ref="B7:C7"/>
    <mergeCell ref="B31:F31"/>
    <mergeCell ref="B184:I184"/>
    <mergeCell ref="B220:I220"/>
    <mergeCell ref="B223:I223"/>
    <mergeCell ref="A2:I2"/>
    <mergeCell ref="B176:I176"/>
    <mergeCell ref="B210:F210"/>
    <mergeCell ref="B229:I229"/>
    <mergeCell ref="B23:F23"/>
    <mergeCell ref="A4:I4"/>
    <mergeCell ref="B237:F237"/>
    <mergeCell ref="B238:H238"/>
    <mergeCell ref="B28:I28"/>
    <mergeCell ref="B168:I168"/>
    <mergeCell ref="B174:F174"/>
    <mergeCell ref="B217:I217"/>
    <mergeCell ref="B226:I226"/>
    <mergeCell ref="B211:F211"/>
    <mergeCell ref="B9:I9"/>
    <mergeCell ref="B187:I187"/>
    <mergeCell ref="B158:F158"/>
    <mergeCell ref="B6:C6"/>
    <mergeCell ref="B5:C5"/>
    <mergeCell ref="B20:I20"/>
    <mergeCell ref="A1:I1"/>
    <mergeCell ref="B198:I198"/>
    <mergeCell ref="B213:I213"/>
    <mergeCell ref="B160:I160"/>
    <mergeCell ref="B26:F26"/>
    <mergeCell ref="B35:F35"/>
  </mergeCells>
  <dataValidations count="6">
    <dataValidation sqref="C18" showDropDown="0" showInputMessage="0" showErrorMessage="0" allowBlank="0" type="list">
      <formula1>"Publique,Privée"</formula1>
      <formula2>0</formula2>
    </dataValidation>
    <dataValidation sqref="C21" showDropDown="0" showInputMessage="0" showErrorMessage="0" allowBlank="0" type="list">
      <formula1>"CDF,USD"</formula1>
      <formula2>0</formula2>
    </dataValidation>
    <dataValidation sqref="C24" showDropDown="0" showInputMessage="0" showErrorMessage="0" allowBlank="0" type="list">
      <formula1>"Aucun,Dizaine FC,Centaine FC"</formula1>
      <formula2>0</formula2>
    </dataValidation>
    <dataValidation sqref="C25" showDropDown="0" showInputMessage="0" showErrorMessage="0" allowBlank="0" type="list">
      <formula1>"Oui,Non"</formula1>
      <formula2>0</formula2>
    </dataValidation>
    <dataValidation sqref="C29" showDropDown="0" showInputMessage="0" showErrorMessage="0" allowBlank="0" type="list">
      <formula1>"2026,2027,2028,2029,2030,2031,2032,2033,2034,2035"</formula1>
      <formula2>0</formula2>
    </dataValidation>
    <dataValidation sqref="C30" showDropDown="0" showInputMessage="0" showErrorMessage="0" allowBlank="0" type="list">
      <formula1>"Janvier,Février,Mars,Avril,Mai,Juin,Juillet,Août,Septembre,Octobre,Novembre,Décembre"</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AJ78"/>
  <sheetViews>
    <sheetView showGridLines="0" zoomScaleNormal="100" workbookViewId="0">
      <pane xSplit="2" ySplit="14" topLeftCell="Z15" activePane="bottomRight" state="frozen"/>
      <selection pane="topRight" activeCell="C1" sqref="C1"/>
      <selection pane="bottomLeft" activeCell="A15" sqref="A15"/>
      <selection pane="bottomRight" activeCell="S16" sqref="S16"/>
    </sheetView>
  </sheetViews>
  <sheetFormatPr baseColWidth="10" defaultColWidth="8.6640625" defaultRowHeight="14.4"/>
  <cols>
    <col width="4" customWidth="1" style="15" min="1" max="1"/>
    <col width="21.88671875" customWidth="1" style="15" min="2" max="2"/>
    <col width="14" customWidth="1" style="15" min="3" max="3"/>
    <col width="20" customWidth="1" style="15" min="4" max="4"/>
    <col width="7" customWidth="1" style="15" min="5" max="5"/>
    <col width="12" customWidth="1" style="15" min="6" max="8"/>
    <col width="16" customWidth="1" style="15" min="9" max="10"/>
    <col width="14" customWidth="1" style="15" min="11" max="11"/>
    <col width="12" customWidth="1" style="15" min="12" max="12"/>
    <col width="10" customWidth="1" style="15" min="13" max="13"/>
    <col width="14" customWidth="1" style="15" min="14" max="14"/>
    <col width="10" customWidth="1" style="15" min="15" max="15"/>
    <col width="14" customWidth="1" style="15" min="16" max="17"/>
    <col width="16" customWidth="1" style="15" min="18" max="18"/>
    <col width="20" customWidth="1" style="15" min="19" max="19"/>
    <col width="11" customWidth="1" style="15" min="20" max="20"/>
    <col width="12" customWidth="1" style="15" min="21" max="21"/>
    <col width="22" customWidth="1" style="15" min="22" max="22"/>
    <col width="12" customWidth="1" style="15" min="23" max="23"/>
    <col width="14" customWidth="1" style="15" min="24" max="24"/>
    <col width="16" customWidth="1" style="15" min="25" max="25"/>
    <col width="12" customWidth="1" style="15" min="26" max="26"/>
    <col width="18" customWidth="1" style="15" min="27" max="27"/>
    <col width="13" customWidth="1" style="15" min="28" max="31"/>
    <col width="20" customWidth="1" style="15" min="34" max="34"/>
    <col width="10" customWidth="1" style="15" min="35" max="35"/>
    <col width="16" customWidth="1" style="15" min="36" max="36"/>
  </cols>
  <sheetData>
    <row r="1" ht="30" customHeight="1" s="15">
      <c r="A1" s="14" t="inlineStr">
        <is>
          <t>EMPLOYÉS — RÉFÉRENTIEL RH</t>
        </is>
      </c>
    </row>
    <row r="2" ht="18" customHeight="1" s="15">
      <c r="A2" s="13" t="inlineStr">
        <is>
          <t>Morning SARL  —  Maquette de validation  —  Un agent par ligne, capacité préformatée de 60 lignes</t>
        </is>
      </c>
    </row>
    <row r="4" ht="21.75" customHeight="1" s="15">
      <c r="B4" s="8" t="inlineStr">
        <is>
          <t xml:space="preserve">  RÉCAPITULATIF EFFECTIF (calculé automatiquement — alimente PARAMÈTRES)</t>
        </is>
      </c>
    </row>
    <row r="5" ht="22.8" customHeight="1" s="15">
      <c r="B5" s="16" t="inlineStr">
        <is>
          <t>Effectif actif</t>
        </is>
      </c>
      <c r="C5" s="19">
        <f>COUNTIF($T$15:$T$74,"Actif")</f>
        <v/>
      </c>
    </row>
    <row r="6" ht="33.6" customHeight="1" s="15">
      <c r="B6" s="16" t="inlineStr">
        <is>
          <t>Effectif total inscrit (tous statuts)</t>
        </is>
      </c>
      <c r="C6" s="19">
        <f>COUNTA($C$15:$C$74)</f>
        <v/>
      </c>
    </row>
    <row r="7" ht="25.2" customHeight="1" s="15">
      <c r="B7" s="16" t="inlineStr">
        <is>
          <t>Dont hommes actifs / femmes actifs</t>
        </is>
      </c>
      <c r="C7" s="19">
        <f>COUNTIFS($T$15:$T$74,"Actif",$E$15:$E$74,"M")</f>
        <v/>
      </c>
      <c r="D7" s="19">
        <f>COUNTIFS($T$15:$T$74,"Actif",$E$15:$E$74,"F")</f>
        <v/>
      </c>
    </row>
    <row r="8" ht="27.75" customHeight="1" s="15">
      <c r="B8" s="6" t="inlineStr">
        <is>
          <t>ℹ  « Effectif actif » remplace désormais la saisie manuelle dans PARAMÈTRES (section 1) — le barème INPP par tranche d'effectif se recalcule automatiquement dès qu'un agent change de statut ci-dessous.</t>
        </is>
      </c>
    </row>
    <row r="10" ht="18" customHeight="1" s="15">
      <c r="A10" s="2" t="inlineStr">
        <is>
          <t>LÉGENDE</t>
        </is>
      </c>
    </row>
    <row r="11" ht="15" customHeight="1" s="15">
      <c r="B11" s="11" t="inlineStr">
        <is>
          <t>Cellule à saisir / modifier (une ligne = un agent)</t>
        </is>
      </c>
    </row>
    <row r="12" ht="15" customHeight="1" s="15">
      <c r="B12" s="10" t="inlineStr">
        <is>
          <t>Cellule calculée automatiquement (âge, ancienneté) — ne pas modifier</t>
        </is>
      </c>
    </row>
    <row r="14" ht="31.5" customHeight="1" s="15">
      <c r="B14" s="32" t="inlineStr">
        <is>
          <t>N°</t>
        </is>
      </c>
      <c r="C14" s="32" t="inlineStr">
        <is>
          <t>Matricule</t>
        </is>
      </c>
      <c r="D14" s="32" t="inlineStr">
        <is>
          <t>Nom complet</t>
        </is>
      </c>
      <c r="E14" s="32" t="inlineStr">
        <is>
          <t>Sexe</t>
        </is>
      </c>
      <c r="F14" s="32" t="inlineStr">
        <is>
          <t>Date de
naissance</t>
        </is>
      </c>
      <c r="G14" s="32" t="inlineStr">
        <is>
          <t>Âge</t>
        </is>
      </c>
      <c r="H14" s="32" t="inlineStr">
        <is>
          <t>Date
d'embauche</t>
        </is>
      </c>
      <c r="I14" s="32" t="inlineStr">
        <is>
          <t>Ancienneté</t>
        </is>
      </c>
      <c r="J14" s="32" t="inlineStr">
        <is>
          <t>Poste / Fonction</t>
        </is>
      </c>
      <c r="K14" s="32" t="inlineStr">
        <is>
          <t>Département /
Section</t>
        </is>
      </c>
      <c r="L14" s="32" t="inlineStr">
        <is>
          <t>Type de
contrat</t>
        </is>
      </c>
      <c r="M14" s="32" t="inlineStr">
        <is>
          <t>Régime
horaire</t>
        </is>
      </c>
      <c r="N14" s="32" t="inlineStr">
        <is>
          <t>Situation
familiale</t>
        </is>
      </c>
      <c r="O14" s="32" t="inlineStr">
        <is>
          <t>Enfants
à charge</t>
        </is>
      </c>
      <c r="P14" s="32" t="inlineStr">
        <is>
          <t>Montant négocié
(CDF)</t>
        </is>
      </c>
      <c r="Q14" s="32" t="inlineStr">
        <is>
          <t>N° CNSS
individuel</t>
        </is>
      </c>
      <c r="R14" s="32" t="inlineStr">
        <is>
          <t>Mode de
paiement</t>
        </is>
      </c>
      <c r="S14" s="32" t="inlineStr">
        <is>
          <t>Compte bancaire /
N° Mobile Money</t>
        </is>
      </c>
      <c r="T14" s="32" t="inlineStr">
        <is>
          <t>Statut</t>
        </is>
      </c>
      <c r="U14" s="32" t="inlineStr">
        <is>
          <t>Date de
sortie</t>
        </is>
      </c>
      <c r="V14" s="32" t="inlineStr">
        <is>
          <t>Observations</t>
        </is>
      </c>
      <c r="W14" s="32" t="inlineStr">
        <is>
          <t>Ancienneté
(années, technique)</t>
        </is>
      </c>
      <c r="X14" s="32" t="inlineStr">
        <is>
          <t>Mode de
négociation</t>
        </is>
      </c>
      <c r="Y14" s="32" t="inlineStr">
        <is>
          <t>Brut mensuel
résolu (calculé)</t>
        </is>
      </c>
      <c r="Z14" s="32" t="inlineStr">
        <is>
          <t>Devise du
contrat</t>
        </is>
      </c>
      <c r="AA14" s="32" t="inlineStr">
        <is>
          <t>Montant négocié
converti (CDF)</t>
        </is>
      </c>
      <c r="AB14" s="32" t="inlineStr">
        <is>
          <t>Mois de service
(technique)</t>
        </is>
      </c>
      <c r="AC14" s="32" t="inlineStr">
        <is>
          <t>Congé acquis
cumulé (jours)</t>
        </is>
      </c>
      <c r="AD14" s="32" t="inlineStr">
        <is>
          <t>Congé pris
cumulé (jours)</t>
        </is>
      </c>
      <c r="AE14" s="32" t="inlineStr">
        <is>
          <t>Solde de
congés (jours)</t>
        </is>
      </c>
      <c r="AH14" s="32" t="inlineStr">
        <is>
          <t>Catégorie légale
(SMIG, Décret 25/22)</t>
        </is>
      </c>
      <c r="AI14" s="32" t="inlineStr">
        <is>
          <t>Tension
(calculé)</t>
        </is>
      </c>
      <c r="AJ14" s="32" t="inlineStr">
        <is>
          <t>Plancher légal
mensuel (CDF)</t>
        </is>
      </c>
    </row>
    <row r="15" ht="23.25" customHeight="1" s="15">
      <c r="B15" s="19" t="n">
        <v>1</v>
      </c>
      <c r="C15" s="17" t="inlineStr">
        <is>
          <t>MSOC-0001</t>
        </is>
      </c>
      <c r="D15" s="35" t="inlineStr">
        <is>
          <t>Jean MUKENDI</t>
        </is>
      </c>
      <c r="E15" s="17" t="inlineStr">
        <is>
          <t>M</t>
        </is>
      </c>
      <c r="F15" s="31" t="n">
        <v>32874</v>
      </c>
      <c r="G15" s="19">
        <f>IF(F15="","",DATEDIF(F15,DATE(PARAMETRES!$C$29,12,31),"y"))</f>
        <v/>
      </c>
      <c r="H15" s="31" t="n">
        <v>44621</v>
      </c>
      <c r="I15" s="19">
        <f>IF(H15="","",DATEDIF(H15,DATE(PARAMETRES!$C$29,12,31),"y")&amp;" an(s) "&amp;DATEDIF(H15,DATE(PARAMETRES!$C$29,12,31),"ym")&amp;" mois")</f>
        <v/>
      </c>
      <c r="J15" s="35" t="inlineStr">
        <is>
          <t>Chauffeur</t>
        </is>
      </c>
      <c r="K15" s="17" t="inlineStr">
        <is>
          <t>Terrain</t>
        </is>
      </c>
      <c r="L15" s="17" t="inlineStr">
        <is>
          <t>CDI</t>
        </is>
      </c>
      <c r="M15" s="17" t="inlineStr">
        <is>
          <t>6j</t>
        </is>
      </c>
      <c r="N15" s="17" t="inlineStr">
        <is>
          <t>Marié(e)</t>
        </is>
      </c>
      <c r="O15" s="17" t="n">
        <v>3</v>
      </c>
      <c r="P15" s="21" t="n">
        <v>450000</v>
      </c>
      <c r="Q15" s="17" t="inlineStr">
        <is>
          <t>CNSS-778812</t>
        </is>
      </c>
      <c r="R15" s="17" t="inlineStr">
        <is>
          <t>Oui</t>
        </is>
      </c>
      <c r="S15" s="35" t="inlineStr">
        <is>
          <t>RAWBANK 00012345601</t>
        </is>
      </c>
      <c r="T15" s="17" t="inlineStr">
        <is>
          <t>Actif</t>
        </is>
      </c>
      <c r="U15" s="31" t="n"/>
      <c r="V15" s="35" t="n"/>
      <c r="W15" s="19">
        <f>IF(C15="","",DATEDIF(H15,DATE(PARAMETRES!$C$29,12,31),"y"))</f>
        <v/>
      </c>
      <c r="X15" s="17" t="inlineStr">
        <is>
          <t>Brut de base</t>
        </is>
      </c>
      <c r="Y15" s="23">
        <f>IF($C15="","",MAX(IF(X15="Brut de base",AA15,IF((AA15)&lt;=((ipr_t1_sup_mensuel/(IF(opt_cnss_deductible_ipr="Oui",1-t_cnss_pension_salarie,1)))*(1-t_cnss_pension_salarie)-(ipr_t1_sup_mensuel*ipr_taux1)),(AA15)/((1-t_cnss_pension_salarie)-(IF(opt_cnss_deductible_ipr="Oui",1-t_cnss_pension_salarie,1))*ipr_taux1),IF((AA15)&lt;=((ipr_t2_sup_mensuel/(IF(opt_cnss_deductible_ipr="Oui",1-t_cnss_pension_salarie,1)))*(1-t_cnss_pension_salarie)-((ipr_t1_sup_mensuel*ipr_taux1)+(ipr_t2_sup_mensuel-ipr_t1_sup_mensuel)*ipr_taux2)),((AA15)-ipr_t1_sup_mensuel*ipr_taux2+(ipr_t1_sup_mensuel*ipr_taux1))/((1-t_cnss_pension_salarie)-(IF(opt_cnss_deductible_ipr="Oui",1-t_cnss_pension_salarie,1))*ipr_taux2),IF((AA15)&lt;=((ipr_t3_sup_mensuel/(IF(opt_cnss_deductible_ipr="Oui",1-t_cnss_pension_salarie,1)))*(1-t_cnss_pension_salarie)-(((ipr_t1_sup_mensuel*ipr_taux1)+(ipr_t2_sup_mensuel-ipr_t1_sup_mensuel)*ipr_taux2)+(ipr_t3_sup_mensuel-ipr_t2_sup_mensuel)*ipr_taux3)),((AA15)-ipr_t2_sup_mensuel*ipr_taux3+((ipr_t1_sup_mensuel*ipr_taux1)+(ipr_t2_sup_mensuel-ipr_t1_sup_mensuel)*ipr_taux2))/((1-t_cnss_pension_salarie)-(IF(opt_cnss_deductible_ipr="Oui",1-t_cnss_pension_salarie,1))*ipr_taux3),((AA15)-ipr_t3_sup_mensuel*ipr_taux4+(((ipr_t1_sup_mensuel*ipr_taux1)+(ipr_t2_sup_mensuel-ipr_t1_sup_mensuel)*ipr_taux2)+(ipr_t3_sup_mensuel-ipr_t2_sup_mensuel)*ipr_taux3))/((1-t_cnss_pension_salarie)-(IF(opt_cnss_deductible_ipr="Oui",1-t_cnss_pension_salarie,1))*ipr_taux4))))),AJ15))</f>
        <v/>
      </c>
      <c r="Z15" s="17" t="inlineStr">
        <is>
          <t>CDF</t>
        </is>
      </c>
      <c r="AA15" s="23">
        <f>IF($C15="","",IF(Z15="USD",P15*opt_taux_change,P15))</f>
        <v/>
      </c>
      <c r="AB15" s="19">
        <f>IF($C15="","",IF(H15="","",DATEDIF(H15,DATE(PARAMETRES!$C$29,12,31),"m")))</f>
        <v/>
      </c>
      <c r="AC15" s="19">
        <f>IF($C15="","",IF(AB15="",0,ROUND(AB15*taux_acquisition_conge+FLOOR(AB15/60,1)*majoration_anciennete_conge,1)))</f>
        <v/>
      </c>
      <c r="AD15" s="19">
        <f>IF($C15="","",VARIABLES!AW12+VARIABLES!AW265+VARIABLES!AW518+VARIABLES!AW771+VARIABLES!AW1024+VARIABLES!AW1277+VARIABLES!AW1530+VARIABLES!AW1783+VARIABLES!AW2036+VARIABLES!AW2289+VARIABLES!AW2542+VARIABLES!AW2795)</f>
        <v/>
      </c>
      <c r="AE15" s="19">
        <f>IF($C15="","",AC15-AD15)</f>
        <v/>
      </c>
      <c r="AH15" s="17" t="inlineStr">
        <is>
          <t>Manœuvre — Ordinaire</t>
        </is>
      </c>
      <c r="AI15" s="33">
        <f>IF($C15="","",IFERROR(INDEX(grille_tension_valeur,MATCH(AH15,grille_tension_label,0)),""))</f>
        <v/>
      </c>
      <c r="AJ15" s="23">
        <f>IF($C15="","",IF(AI15="",0,ROUND(smig_journalier*AI15*jours_smig_legal,0)))</f>
        <v/>
      </c>
    </row>
    <row r="16" ht="30.6" customHeight="1" s="15">
      <c r="B16" s="19" t="n">
        <v>2</v>
      </c>
      <c r="C16" s="17" t="inlineStr">
        <is>
          <t>MSOC-0002</t>
        </is>
      </c>
      <c r="D16" s="35" t="inlineStr">
        <is>
          <t>Alice KABEYA</t>
        </is>
      </c>
      <c r="E16" s="17" t="inlineStr">
        <is>
          <t>M</t>
        </is>
      </c>
      <c r="F16" s="31" t="n">
        <v>32874</v>
      </c>
      <c r="G16" s="19">
        <f>IF(F16="","",DATEDIF(F16,DATE(PARAMETRES!$C$29,12,31),"y"))</f>
        <v/>
      </c>
      <c r="H16" s="31" t="n">
        <v>43631</v>
      </c>
      <c r="I16" s="19">
        <f>IF(H16="","",DATEDIF(H16,DATE(PARAMETRES!$C$29,12,31),"y")&amp;" an(s) "&amp;DATEDIF(H16,DATE(PARAMETRES!$C$29,12,31),"ym")&amp;" mois")</f>
        <v/>
      </c>
      <c r="J16" s="35" t="inlineStr">
        <is>
          <t>Comptable</t>
        </is>
      </c>
      <c r="K16" s="17" t="inlineStr">
        <is>
          <t>Administration</t>
        </is>
      </c>
      <c r="L16" s="17" t="inlineStr">
        <is>
          <t>CDI</t>
        </is>
      </c>
      <c r="M16" s="17" t="inlineStr">
        <is>
          <t>5j</t>
        </is>
      </c>
      <c r="N16" s="17" t="inlineStr">
        <is>
          <t>Célibataire</t>
        </is>
      </c>
      <c r="O16" s="17" t="n">
        <v>1</v>
      </c>
      <c r="P16" s="21" t="n">
        <v>500</v>
      </c>
      <c r="Q16" s="17" t="n"/>
      <c r="R16" s="17" t="inlineStr">
        <is>
          <t>Oui</t>
        </is>
      </c>
      <c r="S16" s="35" t="n"/>
      <c r="T16" s="17" t="inlineStr">
        <is>
          <t>Actif</t>
        </is>
      </c>
      <c r="U16" s="31" t="n"/>
      <c r="V16" s="35" t="n"/>
      <c r="W16" s="19">
        <f>IF(C16="","",DATEDIF(H16,DATE(PARAMETRES!$C$29,12,31),"y"))</f>
        <v/>
      </c>
      <c r="X16" s="17" t="inlineStr">
        <is>
          <t>Net salaire seul</t>
        </is>
      </c>
      <c r="Y16" s="23">
        <f>IF($C16="","",MAX(IF(X16="Brut de base",AA16,IF((AA16)&lt;=((ipr_t1_sup_mensuel/(IF(opt_cnss_deductible_ipr="Oui",1-t_cnss_pension_salarie,1)))*(1-t_cnss_pension_salarie)-(ipr_t1_sup_mensuel*ipr_taux1)),(AA16)/((1-t_cnss_pension_salarie)-(IF(opt_cnss_deductible_ipr="Oui",1-t_cnss_pension_salarie,1))*ipr_taux1),IF((AA16)&lt;=((ipr_t2_sup_mensuel/(IF(opt_cnss_deductible_ipr="Oui",1-t_cnss_pension_salarie,1)))*(1-t_cnss_pension_salarie)-((ipr_t1_sup_mensuel*ipr_taux1)+(ipr_t2_sup_mensuel-ipr_t1_sup_mensuel)*ipr_taux2)),((AA16)-ipr_t1_sup_mensuel*ipr_taux2+(ipr_t1_sup_mensuel*ipr_taux1))/((1-t_cnss_pension_salarie)-(IF(opt_cnss_deductible_ipr="Oui",1-t_cnss_pension_salarie,1))*ipr_taux2),IF((AA16)&lt;=((ipr_t3_sup_mensuel/(IF(opt_cnss_deductible_ipr="Oui",1-t_cnss_pension_salarie,1)))*(1-t_cnss_pension_salarie)-(((ipr_t1_sup_mensuel*ipr_taux1)+(ipr_t2_sup_mensuel-ipr_t1_sup_mensuel)*ipr_taux2)+(ipr_t3_sup_mensuel-ipr_t2_sup_mensuel)*ipr_taux3)),((AA16)-ipr_t2_sup_mensuel*ipr_taux3+((ipr_t1_sup_mensuel*ipr_taux1)+(ipr_t2_sup_mensuel-ipr_t1_sup_mensuel)*ipr_taux2))/((1-t_cnss_pension_salarie)-(IF(opt_cnss_deductible_ipr="Oui",1-t_cnss_pension_salarie,1))*ipr_taux3),((AA16)-ipr_t3_sup_mensuel*ipr_taux4+(((ipr_t1_sup_mensuel*ipr_taux1)+(ipr_t2_sup_mensuel-ipr_t1_sup_mensuel)*ipr_taux2)+(ipr_t3_sup_mensuel-ipr_t2_sup_mensuel)*ipr_taux3))/((1-t_cnss_pension_salarie)-(IF(opt_cnss_deductible_ipr="Oui",1-t_cnss_pension_salarie,1))*ipr_taux4))))),AJ16))</f>
        <v/>
      </c>
      <c r="Z16" s="17" t="inlineStr">
        <is>
          <t>USD</t>
        </is>
      </c>
      <c r="AA16" s="23">
        <f>IF($C16="","",IF(Z16="USD",P16*opt_taux_change,P16))</f>
        <v/>
      </c>
      <c r="AB16" s="19">
        <f>IF($C16="","",IF(H16="","",DATEDIF(H16,DATE(PARAMETRES!$C$29,12,31),"m")))</f>
        <v/>
      </c>
      <c r="AC16" s="19">
        <f>IF($C16="","",IF(AB16="",0,ROUND(AB16*taux_acquisition_conge+FLOOR(AB16/60,1)*majoration_anciennete_conge,1)))</f>
        <v/>
      </c>
      <c r="AD16" s="19">
        <f>IF($C16="","",VARIABLES!AW13+VARIABLES!AW266+VARIABLES!AW519+VARIABLES!AW772+VARIABLES!AW1025+VARIABLES!AW1278+VARIABLES!AW1531+VARIABLES!AW1784+VARIABLES!AW2037+VARIABLES!AW2290+VARIABLES!AW2543+VARIABLES!AW2796)</f>
        <v/>
      </c>
      <c r="AE16" s="19">
        <f>IF($C16="","",AC16-AD16)</f>
        <v/>
      </c>
      <c r="AH16" s="17" t="inlineStr">
        <is>
          <t>Qualifié — Échelon 1</t>
        </is>
      </c>
      <c r="AI16" s="33">
        <f>IF($C16="","",IFERROR(INDEX(grille_tension_valeur,MATCH(AH16,grille_tension_label,0)),""))</f>
        <v/>
      </c>
      <c r="AJ16" s="23">
        <f>IF($C16="","",IF(AI16="",0,ROUND(smig_journalier*AI16*jours_smig_legal,0)))</f>
        <v/>
      </c>
    </row>
    <row r="17" ht="24" customHeight="1" s="15">
      <c r="B17" s="19" t="n">
        <v>3</v>
      </c>
      <c r="C17" s="17" t="inlineStr">
        <is>
          <t>MSOC-0003</t>
        </is>
      </c>
      <c r="D17" s="35" t="inlineStr">
        <is>
          <t>Pierre NGOY</t>
        </is>
      </c>
      <c r="E17" s="17" t="inlineStr">
        <is>
          <t>M</t>
        </is>
      </c>
      <c r="F17" s="31" t="n">
        <v>32874</v>
      </c>
      <c r="G17" s="19">
        <f>IF(F17="","",DATEDIF(F17,DATE(PARAMETRES!$C$29,12,31),"y"))</f>
        <v/>
      </c>
      <c r="H17" s="31" t="n">
        <v>42014</v>
      </c>
      <c r="I17" s="19">
        <f>IF(H17="","",DATEDIF(H17,DATE(PARAMETRES!$C$29,12,31),"y")&amp;" an(s) "&amp;DATEDIF(H17,DATE(PARAMETRES!$C$29,12,31),"ym")&amp;" mois")</f>
        <v/>
      </c>
      <c r="J17" s="35" t="inlineStr">
        <is>
          <t>Chef d'équipe</t>
        </is>
      </c>
      <c r="K17" s="17" t="inlineStr">
        <is>
          <t>Terrain</t>
        </is>
      </c>
      <c r="L17" s="17" t="inlineStr">
        <is>
          <t>CDI</t>
        </is>
      </c>
      <c r="M17" s="17" t="inlineStr">
        <is>
          <t>6j</t>
        </is>
      </c>
      <c r="N17" s="17" t="inlineStr">
        <is>
          <t>Marié(e)</t>
        </is>
      </c>
      <c r="O17" s="17" t="n">
        <v>10</v>
      </c>
      <c r="P17" s="21" t="n">
        <v>900000</v>
      </c>
      <c r="Q17" s="17" t="n"/>
      <c r="R17" s="17" t="inlineStr">
        <is>
          <t>Oui</t>
        </is>
      </c>
      <c r="S17" s="35" t="n"/>
      <c r="T17" s="17" t="inlineStr">
        <is>
          <t>Actif</t>
        </is>
      </c>
      <c r="U17" s="31" t="n"/>
      <c r="V17" s="35" t="n"/>
      <c r="W17" s="19">
        <f>IF(C17="","",DATEDIF(H17,DATE(PARAMETRES!$C$29,12,31),"y"))</f>
        <v/>
      </c>
      <c r="X17" s="17" t="inlineStr">
        <is>
          <t>Brut de base</t>
        </is>
      </c>
      <c r="Y17" s="23">
        <f>IF($C17="","",MAX(IF(X17="Brut de base",AA17,IF((AA17)&lt;=((ipr_t1_sup_mensuel/(IF(opt_cnss_deductible_ipr="Oui",1-t_cnss_pension_salarie,1)))*(1-t_cnss_pension_salarie)-(ipr_t1_sup_mensuel*ipr_taux1)),(AA17)/((1-t_cnss_pension_salarie)-(IF(opt_cnss_deductible_ipr="Oui",1-t_cnss_pension_salarie,1))*ipr_taux1),IF((AA17)&lt;=((ipr_t2_sup_mensuel/(IF(opt_cnss_deductible_ipr="Oui",1-t_cnss_pension_salarie,1)))*(1-t_cnss_pension_salarie)-((ipr_t1_sup_mensuel*ipr_taux1)+(ipr_t2_sup_mensuel-ipr_t1_sup_mensuel)*ipr_taux2)),((AA17)-ipr_t1_sup_mensuel*ipr_taux2+(ipr_t1_sup_mensuel*ipr_taux1))/((1-t_cnss_pension_salarie)-(IF(opt_cnss_deductible_ipr="Oui",1-t_cnss_pension_salarie,1))*ipr_taux2),IF((AA17)&lt;=((ipr_t3_sup_mensuel/(IF(opt_cnss_deductible_ipr="Oui",1-t_cnss_pension_salarie,1)))*(1-t_cnss_pension_salarie)-(((ipr_t1_sup_mensuel*ipr_taux1)+(ipr_t2_sup_mensuel-ipr_t1_sup_mensuel)*ipr_taux2)+(ipr_t3_sup_mensuel-ipr_t2_sup_mensuel)*ipr_taux3)),((AA17)-ipr_t2_sup_mensuel*ipr_taux3+((ipr_t1_sup_mensuel*ipr_taux1)+(ipr_t2_sup_mensuel-ipr_t1_sup_mensuel)*ipr_taux2))/((1-t_cnss_pension_salarie)-(IF(opt_cnss_deductible_ipr="Oui",1-t_cnss_pension_salarie,1))*ipr_taux3),((AA17)-ipr_t3_sup_mensuel*ipr_taux4+(((ipr_t1_sup_mensuel*ipr_taux1)+(ipr_t2_sup_mensuel-ipr_t1_sup_mensuel)*ipr_taux2)+(ipr_t3_sup_mensuel-ipr_t2_sup_mensuel)*ipr_taux3))/((1-t_cnss_pension_salarie)-(IF(opt_cnss_deductible_ipr="Oui",1-t_cnss_pension_salarie,1))*ipr_taux4))))),AJ17))</f>
        <v/>
      </c>
      <c r="Z17" s="17" t="inlineStr">
        <is>
          <t>CDF</t>
        </is>
      </c>
      <c r="AA17" s="23">
        <f>IF($C17="","",IF(Z17="USD",P17*opt_taux_change,P17))</f>
        <v/>
      </c>
      <c r="AB17" s="19">
        <f>IF($C17="","",IF(H17="","",DATEDIF(H17,DATE(PARAMETRES!$C$29,12,31),"m")))</f>
        <v/>
      </c>
      <c r="AC17" s="19">
        <f>IF($C17="","",IF(AB17="",0,ROUND(AB17*taux_acquisition_conge+FLOOR(AB17/60,1)*majoration_anciennete_conge,1)))</f>
        <v/>
      </c>
      <c r="AD17" s="19">
        <f>IF($C17="","",VARIABLES!AW14+VARIABLES!AW267+VARIABLES!AW520+VARIABLES!AW773+VARIABLES!AW1026+VARIABLES!AW1279+VARIABLES!AW1532+VARIABLES!AW1785+VARIABLES!AW2038+VARIABLES!AW2291+VARIABLES!AW2544+VARIABLES!AW2797)</f>
        <v/>
      </c>
      <c r="AE17" s="19">
        <f>IF($C17="","",AC17-AD17)</f>
        <v/>
      </c>
      <c r="AH17" s="17" t="inlineStr">
        <is>
          <t>Semi-qualifié — Échelon 2</t>
        </is>
      </c>
      <c r="AI17" s="33">
        <f>IF($C17="","",IFERROR(INDEX(grille_tension_valeur,MATCH(AH17,grille_tension_label,0)),""))</f>
        <v/>
      </c>
      <c r="AJ17" s="23">
        <f>IF($C17="","",IF(AI17="",0,ROUND(smig_journalier*AI17*jours_smig_legal,0)))</f>
        <v/>
      </c>
    </row>
    <row r="18" ht="32.4" customHeight="1" s="15">
      <c r="B18" s="19" t="n">
        <v>4</v>
      </c>
      <c r="C18" s="17" t="inlineStr">
        <is>
          <t>MSOC-0004</t>
        </is>
      </c>
      <c r="D18" s="35" t="inlineStr">
        <is>
          <t>Sarah TSHISEKA</t>
        </is>
      </c>
      <c r="E18" s="17" t="inlineStr">
        <is>
          <t>M</t>
        </is>
      </c>
      <c r="F18" s="31" t="n">
        <v>32874</v>
      </c>
      <c r="G18" s="19">
        <f>IF(F18="","",DATEDIF(F18,DATE(PARAMETRES!$C$29,12,31),"y"))</f>
        <v/>
      </c>
      <c r="H18" s="31" t="n">
        <v>41153</v>
      </c>
      <c r="I18" s="19">
        <f>IF(H18="","",DATEDIF(H18,DATE(PARAMETRES!$C$29,12,31),"y")&amp;" an(s) "&amp;DATEDIF(H18,DATE(PARAMETRES!$C$29,12,31),"ym")&amp;" mois")</f>
        <v/>
      </c>
      <c r="J18" s="35" t="inlineStr">
        <is>
          <t>Directrice financière</t>
        </is>
      </c>
      <c r="K18" s="17" t="inlineStr">
        <is>
          <t>Administration</t>
        </is>
      </c>
      <c r="L18" s="17" t="inlineStr">
        <is>
          <t>CDI</t>
        </is>
      </c>
      <c r="M18" s="17" t="inlineStr">
        <is>
          <t>5j</t>
        </is>
      </c>
      <c r="N18" s="17" t="inlineStr">
        <is>
          <t>Marié(e)</t>
        </is>
      </c>
      <c r="O18" s="17" t="n">
        <v>2</v>
      </c>
      <c r="P18" s="21" t="n">
        <v>8000000</v>
      </c>
      <c r="Q18" s="17" t="n"/>
      <c r="R18" s="17" t="inlineStr">
        <is>
          <t>Oui</t>
        </is>
      </c>
      <c r="S18" s="35" t="n"/>
      <c r="T18" s="17" t="inlineStr">
        <is>
          <t>Actif</t>
        </is>
      </c>
      <c r="U18" s="31" t="n"/>
      <c r="V18" s="35" t="n"/>
      <c r="W18" s="19">
        <f>IF(C18="","",DATEDIF(H18,DATE(PARAMETRES!$C$29,12,31),"y"))</f>
        <v/>
      </c>
      <c r="X18" s="17" t="inlineStr">
        <is>
          <t>Net tout compris</t>
        </is>
      </c>
      <c r="Y18" s="23">
        <f>IF($C18="","",MAX(IF(X18="Brut de base",AA18,IF((AA18)&lt;=((ipr_t1_sup_mensuel/(IF(opt_cnss_deductible_ipr="Oui",1-t_cnss_pension_salarie,1)))*(1-t_cnss_pension_salarie)-(ipr_t1_sup_mensuel*ipr_taux1)),(AA18)/((1-t_cnss_pension_salarie)-(IF(opt_cnss_deductible_ipr="Oui",1-t_cnss_pension_salarie,1))*ipr_taux1),IF((AA18)&lt;=((ipr_t2_sup_mensuel/(IF(opt_cnss_deductible_ipr="Oui",1-t_cnss_pension_salarie,1)))*(1-t_cnss_pension_salarie)-((ipr_t1_sup_mensuel*ipr_taux1)+(ipr_t2_sup_mensuel-ipr_t1_sup_mensuel)*ipr_taux2)),((AA18)-ipr_t1_sup_mensuel*ipr_taux2+(ipr_t1_sup_mensuel*ipr_taux1))/((1-t_cnss_pension_salarie)-(IF(opt_cnss_deductible_ipr="Oui",1-t_cnss_pension_salarie,1))*ipr_taux2),IF((AA18)&lt;=((ipr_t3_sup_mensuel/(IF(opt_cnss_deductible_ipr="Oui",1-t_cnss_pension_salarie,1)))*(1-t_cnss_pension_salarie)-(((ipr_t1_sup_mensuel*ipr_taux1)+(ipr_t2_sup_mensuel-ipr_t1_sup_mensuel)*ipr_taux2)+(ipr_t3_sup_mensuel-ipr_t2_sup_mensuel)*ipr_taux3)),((AA18)-ipr_t2_sup_mensuel*ipr_taux3+((ipr_t1_sup_mensuel*ipr_taux1)+(ipr_t2_sup_mensuel-ipr_t1_sup_mensuel)*ipr_taux2))/((1-t_cnss_pension_salarie)-(IF(opt_cnss_deductible_ipr="Oui",1-t_cnss_pension_salarie,1))*ipr_taux3),((AA18)-ipr_t3_sup_mensuel*ipr_taux4+(((ipr_t1_sup_mensuel*ipr_taux1)+(ipr_t2_sup_mensuel-ipr_t1_sup_mensuel)*ipr_taux2)+(ipr_t3_sup_mensuel-ipr_t2_sup_mensuel)*ipr_taux3))/((1-t_cnss_pension_salarie)-(IF(opt_cnss_deductible_ipr="Oui",1-t_cnss_pension_salarie,1))*ipr_taux4))))),AJ18))</f>
        <v/>
      </c>
      <c r="Z18" s="17" t="inlineStr">
        <is>
          <t>CDF</t>
        </is>
      </c>
      <c r="AA18" s="23">
        <f>IF($C18="","",IF(Z18="USD",P18*opt_taux_change,P18))</f>
        <v/>
      </c>
      <c r="AB18" s="19">
        <f>IF($C18="","",IF(H18="","",DATEDIF(H18,DATE(PARAMETRES!$C$29,12,31),"m")))</f>
        <v/>
      </c>
      <c r="AC18" s="19">
        <f>IF($C18="","",IF(AB18="",0,ROUND(AB18*taux_acquisition_conge+FLOOR(AB18/60,1)*majoration_anciennete_conge,1)))</f>
        <v/>
      </c>
      <c r="AD18" s="19">
        <f>IF($C18="","",VARIABLES!AW15+VARIABLES!AW268+VARIABLES!AW521+VARIABLES!AW774+VARIABLES!AW1027+VARIABLES!AW1280+VARIABLES!AW1533+VARIABLES!AW1786+VARIABLES!AW2039+VARIABLES!AW2292+VARIABLES!AW2545+VARIABLES!AW2798)</f>
        <v/>
      </c>
      <c r="AE18" s="19">
        <f>IF($C18="","",AC18-AD18)</f>
        <v/>
      </c>
      <c r="AH18" s="17" t="inlineStr">
        <is>
          <t>Cadre de collaboration — Échelon 3</t>
        </is>
      </c>
      <c r="AI18" s="33">
        <f>IF($C18="","",IFERROR(INDEX(grille_tension_valeur,MATCH(AH18,grille_tension_label,0)),""))</f>
        <v/>
      </c>
      <c r="AJ18" s="23">
        <f>IF($C18="","",IF(AI18="",0,ROUND(smig_journalier*AI18*jours_smig_legal,0)))</f>
        <v/>
      </c>
    </row>
    <row r="19" ht="24" customHeight="1" s="15">
      <c r="B19" s="19" t="n">
        <v>5</v>
      </c>
      <c r="C19" s="17" t="inlineStr">
        <is>
          <t>MSOC-0005</t>
        </is>
      </c>
      <c r="D19" s="35" t="inlineStr">
        <is>
          <t>Marc ILUNGA</t>
        </is>
      </c>
      <c r="E19" s="17" t="inlineStr">
        <is>
          <t>M</t>
        </is>
      </c>
      <c r="F19" s="31" t="n">
        <v>32874</v>
      </c>
      <c r="G19" s="19">
        <f>IF(F19="","",DATEDIF(F19,DATE(PARAMETRES!$C$29,12,31),"y"))</f>
        <v/>
      </c>
      <c r="H19" s="31" t="n">
        <v>45323</v>
      </c>
      <c r="I19" s="19">
        <f>IF(H19="","",DATEDIF(H19,DATE(PARAMETRES!$C$29,12,31),"y")&amp;" an(s) "&amp;DATEDIF(H19,DATE(PARAMETRES!$C$29,12,31),"ym")&amp;" mois")</f>
        <v/>
      </c>
      <c r="J19" s="35" t="inlineStr">
        <is>
          <t>Manœuvre</t>
        </is>
      </c>
      <c r="K19" s="17" t="inlineStr">
        <is>
          <t>Terrain</t>
        </is>
      </c>
      <c r="L19" s="17" t="inlineStr">
        <is>
          <t>CDD</t>
        </is>
      </c>
      <c r="M19" s="17" t="inlineStr">
        <is>
          <t>6j</t>
        </is>
      </c>
      <c r="N19" s="17" t="inlineStr">
        <is>
          <t>Célibataire</t>
        </is>
      </c>
      <c r="O19" s="17" t="n">
        <v>2</v>
      </c>
      <c r="P19" s="21" t="n">
        <v>120</v>
      </c>
      <c r="Q19" s="17" t="n"/>
      <c r="R19" s="17" t="inlineStr">
        <is>
          <t>Oui</t>
        </is>
      </c>
      <c r="S19" s="35" t="n"/>
      <c r="T19" s="17" t="inlineStr">
        <is>
          <t>Actif</t>
        </is>
      </c>
      <c r="U19" s="31" t="n"/>
      <c r="V19" s="35" t="n"/>
      <c r="W19" s="19">
        <f>IF(C19="","",DATEDIF(H19,DATE(PARAMETRES!$C$29,12,31),"y"))</f>
        <v/>
      </c>
      <c r="X19" s="17" t="inlineStr">
        <is>
          <t>Net tout compris</t>
        </is>
      </c>
      <c r="Y19" s="23">
        <f>IF($C19="","",MAX(IF(X19="Brut de base",AA19,IF((AA19)&lt;=((ipr_t1_sup_mensuel/(IF(opt_cnss_deductible_ipr="Oui",1-t_cnss_pension_salarie,1)))*(1-t_cnss_pension_salarie)-(ipr_t1_sup_mensuel*ipr_taux1)),(AA19)/((1-t_cnss_pension_salarie)-(IF(opt_cnss_deductible_ipr="Oui",1-t_cnss_pension_salarie,1))*ipr_taux1),IF((AA19)&lt;=((ipr_t2_sup_mensuel/(IF(opt_cnss_deductible_ipr="Oui",1-t_cnss_pension_salarie,1)))*(1-t_cnss_pension_salarie)-((ipr_t1_sup_mensuel*ipr_taux1)+(ipr_t2_sup_mensuel-ipr_t1_sup_mensuel)*ipr_taux2)),((AA19)-ipr_t1_sup_mensuel*ipr_taux2+(ipr_t1_sup_mensuel*ipr_taux1))/((1-t_cnss_pension_salarie)-(IF(opt_cnss_deductible_ipr="Oui",1-t_cnss_pension_salarie,1))*ipr_taux2),IF((AA19)&lt;=((ipr_t3_sup_mensuel/(IF(opt_cnss_deductible_ipr="Oui",1-t_cnss_pension_salarie,1)))*(1-t_cnss_pension_salarie)-(((ipr_t1_sup_mensuel*ipr_taux1)+(ipr_t2_sup_mensuel-ipr_t1_sup_mensuel)*ipr_taux2)+(ipr_t3_sup_mensuel-ipr_t2_sup_mensuel)*ipr_taux3)),((AA19)-ipr_t2_sup_mensuel*ipr_taux3+((ipr_t1_sup_mensuel*ipr_taux1)+(ipr_t2_sup_mensuel-ipr_t1_sup_mensuel)*ipr_taux2))/((1-t_cnss_pension_salarie)-(IF(opt_cnss_deductible_ipr="Oui",1-t_cnss_pension_salarie,1))*ipr_taux3),((AA19)-ipr_t3_sup_mensuel*ipr_taux4+(((ipr_t1_sup_mensuel*ipr_taux1)+(ipr_t2_sup_mensuel-ipr_t1_sup_mensuel)*ipr_taux2)+(ipr_t3_sup_mensuel-ipr_t2_sup_mensuel)*ipr_taux3))/((1-t_cnss_pension_salarie)-(IF(opt_cnss_deductible_ipr="Oui",1-t_cnss_pension_salarie,1))*ipr_taux4))))),AJ19))</f>
        <v/>
      </c>
      <c r="Z19" s="17" t="inlineStr">
        <is>
          <t>USD</t>
        </is>
      </c>
      <c r="AA19" s="23">
        <f>IF($C19="","",IF(Z19="USD",P19*opt_taux_change,P19))</f>
        <v/>
      </c>
      <c r="AB19" s="19">
        <f>IF($C19="","",IF(H19="","",DATEDIF(H19,DATE(PARAMETRES!$C$29,12,31),"m")))</f>
        <v/>
      </c>
      <c r="AC19" s="19">
        <f>IF($C19="","",IF(AB19="",0,ROUND(AB19*taux_acquisition_conge+FLOOR(AB19/60,1)*majoration_anciennete_conge,1)))</f>
        <v/>
      </c>
      <c r="AD19" s="19">
        <f>IF($C19="","",VARIABLES!AW16+VARIABLES!AW269+VARIABLES!AW522+VARIABLES!AW775+VARIABLES!AW1028+VARIABLES!AW1281+VARIABLES!AW1534+VARIABLES!AW1787+VARIABLES!AW2040+VARIABLES!AW2293+VARIABLES!AW2546+VARIABLES!AW2799)</f>
        <v/>
      </c>
      <c r="AE19" s="19">
        <f>IF($C19="","",AC19-AD19)</f>
        <v/>
      </c>
      <c r="AH19" s="17" t="inlineStr">
        <is>
          <t>Manœuvre — Ordinaire</t>
        </is>
      </c>
      <c r="AI19" s="33">
        <f>IF($C19="","",IFERROR(INDEX(grille_tension_valeur,MATCH(AH19,grille_tension_label,0)),""))</f>
        <v/>
      </c>
      <c r="AJ19" s="23">
        <f>IF($C19="","",IF(AI19="",0,ROUND(smig_journalier*AI19*jours_smig_legal,0)))</f>
        <v/>
      </c>
    </row>
    <row r="20" ht="27" customHeight="1" s="15">
      <c r="B20" s="19" t="n">
        <v>6</v>
      </c>
      <c r="C20" s="17" t="n"/>
      <c r="D20" s="35" t="n"/>
      <c r="E20" s="17" t="n"/>
      <c r="F20" s="31" t="n"/>
      <c r="G20" s="19">
        <f>IF(F20="","",DATEDIF(F20,DATE(PARAMETRES!$C$29,12,31),"y"))</f>
        <v/>
      </c>
      <c r="H20" s="31" t="n"/>
      <c r="I20" s="19">
        <f>IF(H20="","",DATEDIF(H20,DATE(PARAMETRES!$C$29,12,31),"y")&amp;" an(s) "&amp;DATEDIF(H20,DATE(PARAMETRES!$C$29,12,31),"ym")&amp;" mois")</f>
        <v/>
      </c>
      <c r="J20" s="35" t="n"/>
      <c r="K20" s="17" t="n"/>
      <c r="L20" s="17" t="n"/>
      <c r="M20" s="17" t="n"/>
      <c r="N20" s="17" t="n"/>
      <c r="O20" s="17" t="n"/>
      <c r="P20" s="21" t="n"/>
      <c r="Q20" s="17" t="n"/>
      <c r="R20" s="17" t="n"/>
      <c r="S20" s="35" t="n"/>
      <c r="T20" s="17" t="n"/>
      <c r="U20" s="31" t="n"/>
      <c r="V20" s="35" t="n"/>
      <c r="W20" s="19">
        <f>IF(C20="","",DATEDIF(H20,DATE(PARAMETRES!$C$29,12,31),"y"))</f>
        <v/>
      </c>
      <c r="X20" s="17" t="inlineStr">
        <is>
          <t>Brut de base</t>
        </is>
      </c>
      <c r="Y20" s="23">
        <f>IF($C20="","",MAX(IF(X20="Brut de base",AA20,IF((AA20)&lt;=((ipr_t1_sup_mensuel/(IF(opt_cnss_deductible_ipr="Oui",1-t_cnss_pension_salarie,1)))*(1-t_cnss_pension_salarie)-(ipr_t1_sup_mensuel*ipr_taux1)),(AA20)/((1-t_cnss_pension_salarie)-(IF(opt_cnss_deductible_ipr="Oui",1-t_cnss_pension_salarie,1))*ipr_taux1),IF((AA20)&lt;=((ipr_t2_sup_mensuel/(IF(opt_cnss_deductible_ipr="Oui",1-t_cnss_pension_salarie,1)))*(1-t_cnss_pension_salarie)-((ipr_t1_sup_mensuel*ipr_taux1)+(ipr_t2_sup_mensuel-ipr_t1_sup_mensuel)*ipr_taux2)),((AA20)-ipr_t1_sup_mensuel*ipr_taux2+(ipr_t1_sup_mensuel*ipr_taux1))/((1-t_cnss_pension_salarie)-(IF(opt_cnss_deductible_ipr="Oui",1-t_cnss_pension_salarie,1))*ipr_taux2),IF((AA20)&lt;=((ipr_t3_sup_mensuel/(IF(opt_cnss_deductible_ipr="Oui",1-t_cnss_pension_salarie,1)))*(1-t_cnss_pension_salarie)-(((ipr_t1_sup_mensuel*ipr_taux1)+(ipr_t2_sup_mensuel-ipr_t1_sup_mensuel)*ipr_taux2)+(ipr_t3_sup_mensuel-ipr_t2_sup_mensuel)*ipr_taux3)),((AA20)-ipr_t2_sup_mensuel*ipr_taux3+((ipr_t1_sup_mensuel*ipr_taux1)+(ipr_t2_sup_mensuel-ipr_t1_sup_mensuel)*ipr_taux2))/((1-t_cnss_pension_salarie)-(IF(opt_cnss_deductible_ipr="Oui",1-t_cnss_pension_salarie,1))*ipr_taux3),((AA20)-ipr_t3_sup_mensuel*ipr_taux4+(((ipr_t1_sup_mensuel*ipr_taux1)+(ipr_t2_sup_mensuel-ipr_t1_sup_mensuel)*ipr_taux2)+(ipr_t3_sup_mensuel-ipr_t2_sup_mensuel)*ipr_taux3))/((1-t_cnss_pension_salarie)-(IF(opt_cnss_deductible_ipr="Oui",1-t_cnss_pension_salarie,1))*ipr_taux4))))),AJ20))</f>
        <v/>
      </c>
      <c r="Z20" s="17" t="inlineStr">
        <is>
          <t>CDF</t>
        </is>
      </c>
      <c r="AA20" s="23">
        <f>IF($C20="","",IF(Z20="USD",P20*opt_taux_change,P20))</f>
        <v/>
      </c>
      <c r="AB20" s="19">
        <f>IF($C20="","",IF(H20="","",DATEDIF(H20,DATE(PARAMETRES!$C$29,12,31),"m")))</f>
        <v/>
      </c>
      <c r="AC20" s="19">
        <f>IF($C20="","",IF(AB20="",0,ROUND(AB20*taux_acquisition_conge+FLOOR(AB20/60,1)*majoration_anciennete_conge,1)))</f>
        <v/>
      </c>
      <c r="AD20" s="19">
        <f>IF($C20="","",VARIABLES!AW17+VARIABLES!AW270+VARIABLES!AW523+VARIABLES!AW776+VARIABLES!AW1029+VARIABLES!AW1282+VARIABLES!AW1535+VARIABLES!AW1788+VARIABLES!AW2041+VARIABLES!AW2294+VARIABLES!AW2547+VARIABLES!AW2800)</f>
        <v/>
      </c>
      <c r="AE20" s="19">
        <f>IF($C20="","",AC20-AD20)</f>
        <v/>
      </c>
      <c r="AH20" s="17" t="inlineStr">
        <is>
          <t>Manœuvre — Ordinaire</t>
        </is>
      </c>
      <c r="AI20" s="33">
        <f>IF($C20="","",IFERROR(INDEX(grille_tension_valeur,MATCH(AH20,grille_tension_label,0)),""))</f>
        <v/>
      </c>
      <c r="AJ20" s="23">
        <f>IF($C20="","",IF(AI20="",0,ROUND(smig_journalier*AI20*jours_smig_legal,0)))</f>
        <v/>
      </c>
    </row>
    <row r="21" ht="15" customHeight="1" s="15">
      <c r="B21" s="19" t="n">
        <v>7</v>
      </c>
      <c r="C21" s="17" t="n"/>
      <c r="D21" s="35" t="n"/>
      <c r="E21" s="17" t="n"/>
      <c r="F21" s="31" t="n"/>
      <c r="G21" s="19">
        <f>IF(F21="","",DATEDIF(F21,DATE(PARAMETRES!$C$29,12,31),"y"))</f>
        <v/>
      </c>
      <c r="H21" s="31" t="n"/>
      <c r="I21" s="19">
        <f>IF(H21="","",DATEDIF(H21,DATE(PARAMETRES!$C$29,12,31),"y")&amp;" an(s) "&amp;DATEDIF(H21,DATE(PARAMETRES!$C$29,12,31),"ym")&amp;" mois")</f>
        <v/>
      </c>
      <c r="J21" s="35" t="n"/>
      <c r="K21" s="17" t="n"/>
      <c r="L21" s="17" t="n"/>
      <c r="M21" s="17" t="n"/>
      <c r="N21" s="17" t="n"/>
      <c r="O21" s="17" t="n"/>
      <c r="P21" s="21" t="n"/>
      <c r="Q21" s="17" t="n"/>
      <c r="R21" s="17" t="n"/>
      <c r="S21" s="35" t="n"/>
      <c r="T21" s="17" t="n"/>
      <c r="U21" s="31" t="n"/>
      <c r="V21" s="35" t="n"/>
      <c r="W21" s="19">
        <f>IF(C21="","",DATEDIF(H21,DATE(PARAMETRES!$C$29,12,31),"y"))</f>
        <v/>
      </c>
      <c r="X21" s="17" t="inlineStr">
        <is>
          <t>Brut de base</t>
        </is>
      </c>
      <c r="Y21" s="23">
        <f>IF($C21="","",MAX(IF(X21="Brut de base",AA21,IF((AA21)&lt;=((ipr_t1_sup_mensuel/(IF(opt_cnss_deductible_ipr="Oui",1-t_cnss_pension_salarie,1)))*(1-t_cnss_pension_salarie)-(ipr_t1_sup_mensuel*ipr_taux1)),(AA21)/((1-t_cnss_pension_salarie)-(IF(opt_cnss_deductible_ipr="Oui",1-t_cnss_pension_salarie,1))*ipr_taux1),IF((AA21)&lt;=((ipr_t2_sup_mensuel/(IF(opt_cnss_deductible_ipr="Oui",1-t_cnss_pension_salarie,1)))*(1-t_cnss_pension_salarie)-((ipr_t1_sup_mensuel*ipr_taux1)+(ipr_t2_sup_mensuel-ipr_t1_sup_mensuel)*ipr_taux2)),((AA21)-ipr_t1_sup_mensuel*ipr_taux2+(ipr_t1_sup_mensuel*ipr_taux1))/((1-t_cnss_pension_salarie)-(IF(opt_cnss_deductible_ipr="Oui",1-t_cnss_pension_salarie,1))*ipr_taux2),IF((AA21)&lt;=((ipr_t3_sup_mensuel/(IF(opt_cnss_deductible_ipr="Oui",1-t_cnss_pension_salarie,1)))*(1-t_cnss_pension_salarie)-(((ipr_t1_sup_mensuel*ipr_taux1)+(ipr_t2_sup_mensuel-ipr_t1_sup_mensuel)*ipr_taux2)+(ipr_t3_sup_mensuel-ipr_t2_sup_mensuel)*ipr_taux3)),((AA21)-ipr_t2_sup_mensuel*ipr_taux3+((ipr_t1_sup_mensuel*ipr_taux1)+(ipr_t2_sup_mensuel-ipr_t1_sup_mensuel)*ipr_taux2))/((1-t_cnss_pension_salarie)-(IF(opt_cnss_deductible_ipr="Oui",1-t_cnss_pension_salarie,1))*ipr_taux3),((AA21)-ipr_t3_sup_mensuel*ipr_taux4+(((ipr_t1_sup_mensuel*ipr_taux1)+(ipr_t2_sup_mensuel-ipr_t1_sup_mensuel)*ipr_taux2)+(ipr_t3_sup_mensuel-ipr_t2_sup_mensuel)*ipr_taux3))/((1-t_cnss_pension_salarie)-(IF(opt_cnss_deductible_ipr="Oui",1-t_cnss_pension_salarie,1))*ipr_taux4))))),AJ21))</f>
        <v/>
      </c>
      <c r="Z21" s="17" t="inlineStr">
        <is>
          <t>CDF</t>
        </is>
      </c>
      <c r="AA21" s="23">
        <f>IF($C21="","",IF(Z21="USD",P21*opt_taux_change,P21))</f>
        <v/>
      </c>
      <c r="AB21" s="19">
        <f>IF($C21="","",IF(H21="","",DATEDIF(H21,DATE(PARAMETRES!$C$29,12,31),"m")))</f>
        <v/>
      </c>
      <c r="AC21" s="19">
        <f>IF($C21="","",IF(AB21="",0,ROUND(AB21*taux_acquisition_conge+FLOOR(AB21/60,1)*majoration_anciennete_conge,1)))</f>
        <v/>
      </c>
      <c r="AD21" s="19">
        <f>IF($C21="","",VARIABLES!AW18+VARIABLES!AW271+VARIABLES!AW524+VARIABLES!AW777+VARIABLES!AW1030+VARIABLES!AW1283+VARIABLES!AW1536+VARIABLES!AW1789+VARIABLES!AW2042+VARIABLES!AW2295+VARIABLES!AW2548+VARIABLES!AW2801)</f>
        <v/>
      </c>
      <c r="AE21" s="19">
        <f>IF($C21="","",AC21-AD21)</f>
        <v/>
      </c>
      <c r="AH21" s="17" t="inlineStr">
        <is>
          <t>Manœuvre — Ordinaire</t>
        </is>
      </c>
      <c r="AI21" s="33">
        <f>IF($C21="","",IFERROR(INDEX(grille_tension_valeur,MATCH(AH21,grille_tension_label,0)),""))</f>
        <v/>
      </c>
      <c r="AJ21" s="23">
        <f>IF($C21="","",IF(AI21="",0,ROUND(smig_journalier*AI21*jours_smig_legal,0)))</f>
        <v/>
      </c>
    </row>
    <row r="22" ht="15" customHeight="1" s="15">
      <c r="B22" s="19" t="n">
        <v>8</v>
      </c>
      <c r="C22" s="17" t="n"/>
      <c r="D22" s="35" t="n"/>
      <c r="E22" s="17" t="n"/>
      <c r="F22" s="31" t="n"/>
      <c r="G22" s="19">
        <f>IF(F22="","",DATEDIF(F22,DATE(PARAMETRES!$C$29,12,31),"y"))</f>
        <v/>
      </c>
      <c r="H22" s="31" t="n"/>
      <c r="I22" s="19">
        <f>IF(H22="","",DATEDIF(H22,DATE(PARAMETRES!$C$29,12,31),"y")&amp;" an(s) "&amp;DATEDIF(H22,DATE(PARAMETRES!$C$29,12,31),"ym")&amp;" mois")</f>
        <v/>
      </c>
      <c r="J22" s="35" t="n"/>
      <c r="K22" s="17" t="n"/>
      <c r="L22" s="17" t="n"/>
      <c r="M22" s="17" t="n"/>
      <c r="N22" s="17" t="n"/>
      <c r="O22" s="17" t="n"/>
      <c r="P22" s="21" t="n"/>
      <c r="Q22" s="17" t="n"/>
      <c r="R22" s="17" t="n"/>
      <c r="S22" s="35" t="n"/>
      <c r="T22" s="17" t="n"/>
      <c r="U22" s="31" t="n"/>
      <c r="V22" s="35" t="n"/>
      <c r="W22" s="19">
        <f>IF(C22="","",DATEDIF(H22,DATE(PARAMETRES!$C$29,12,31),"y"))</f>
        <v/>
      </c>
      <c r="X22" s="17" t="inlineStr">
        <is>
          <t>Brut de base</t>
        </is>
      </c>
      <c r="Y22" s="23">
        <f>IF($C22="","",MAX(IF(X22="Brut de base",AA22,IF((AA22)&lt;=((ipr_t1_sup_mensuel/(IF(opt_cnss_deductible_ipr="Oui",1-t_cnss_pension_salarie,1)))*(1-t_cnss_pension_salarie)-(ipr_t1_sup_mensuel*ipr_taux1)),(AA22)/((1-t_cnss_pension_salarie)-(IF(opt_cnss_deductible_ipr="Oui",1-t_cnss_pension_salarie,1))*ipr_taux1),IF((AA22)&lt;=((ipr_t2_sup_mensuel/(IF(opt_cnss_deductible_ipr="Oui",1-t_cnss_pension_salarie,1)))*(1-t_cnss_pension_salarie)-((ipr_t1_sup_mensuel*ipr_taux1)+(ipr_t2_sup_mensuel-ipr_t1_sup_mensuel)*ipr_taux2)),((AA22)-ipr_t1_sup_mensuel*ipr_taux2+(ipr_t1_sup_mensuel*ipr_taux1))/((1-t_cnss_pension_salarie)-(IF(opt_cnss_deductible_ipr="Oui",1-t_cnss_pension_salarie,1))*ipr_taux2),IF((AA22)&lt;=((ipr_t3_sup_mensuel/(IF(opt_cnss_deductible_ipr="Oui",1-t_cnss_pension_salarie,1)))*(1-t_cnss_pension_salarie)-(((ipr_t1_sup_mensuel*ipr_taux1)+(ipr_t2_sup_mensuel-ipr_t1_sup_mensuel)*ipr_taux2)+(ipr_t3_sup_mensuel-ipr_t2_sup_mensuel)*ipr_taux3)),((AA22)-ipr_t2_sup_mensuel*ipr_taux3+((ipr_t1_sup_mensuel*ipr_taux1)+(ipr_t2_sup_mensuel-ipr_t1_sup_mensuel)*ipr_taux2))/((1-t_cnss_pension_salarie)-(IF(opt_cnss_deductible_ipr="Oui",1-t_cnss_pension_salarie,1))*ipr_taux3),((AA22)-ipr_t3_sup_mensuel*ipr_taux4+(((ipr_t1_sup_mensuel*ipr_taux1)+(ipr_t2_sup_mensuel-ipr_t1_sup_mensuel)*ipr_taux2)+(ipr_t3_sup_mensuel-ipr_t2_sup_mensuel)*ipr_taux3))/((1-t_cnss_pension_salarie)-(IF(opt_cnss_deductible_ipr="Oui",1-t_cnss_pension_salarie,1))*ipr_taux4))))),AJ22))</f>
        <v/>
      </c>
      <c r="Z22" s="17" t="inlineStr">
        <is>
          <t>CDF</t>
        </is>
      </c>
      <c r="AA22" s="23">
        <f>IF($C22="","",IF(Z22="USD",P22*opt_taux_change,P22))</f>
        <v/>
      </c>
      <c r="AB22" s="19">
        <f>IF($C22="","",IF(H22="","",DATEDIF(H22,DATE(PARAMETRES!$C$29,12,31),"m")))</f>
        <v/>
      </c>
      <c r="AC22" s="19">
        <f>IF($C22="","",IF(AB22="",0,ROUND(AB22*taux_acquisition_conge+FLOOR(AB22/60,1)*majoration_anciennete_conge,1)))</f>
        <v/>
      </c>
      <c r="AD22" s="19">
        <f>IF($C22="","",VARIABLES!AW19+VARIABLES!AW272+VARIABLES!AW525+VARIABLES!AW778+VARIABLES!AW1031+VARIABLES!AW1284+VARIABLES!AW1537+VARIABLES!AW1790+VARIABLES!AW2043+VARIABLES!AW2296+VARIABLES!AW2549+VARIABLES!AW2802)</f>
        <v/>
      </c>
      <c r="AE22" s="19">
        <f>IF($C22="","",AC22-AD22)</f>
        <v/>
      </c>
      <c r="AH22" s="17" t="inlineStr">
        <is>
          <t>Manœuvre — Ordinaire</t>
        </is>
      </c>
      <c r="AI22" s="33">
        <f>IF($C22="","",IFERROR(INDEX(grille_tension_valeur,MATCH(AH22,grille_tension_label,0)),""))</f>
        <v/>
      </c>
      <c r="AJ22" s="23">
        <f>IF($C22="","",IF(AI22="",0,ROUND(smig_journalier*AI22*jours_smig_legal,0)))</f>
        <v/>
      </c>
    </row>
    <row r="23" ht="15" customHeight="1" s="15">
      <c r="B23" s="19" t="n">
        <v>9</v>
      </c>
      <c r="C23" s="17" t="n"/>
      <c r="D23" s="35" t="n"/>
      <c r="E23" s="17" t="n"/>
      <c r="F23" s="31" t="n"/>
      <c r="G23" s="19">
        <f>IF(F23="","",DATEDIF(F23,DATE(PARAMETRES!$C$29,12,31),"y"))</f>
        <v/>
      </c>
      <c r="H23" s="31" t="n"/>
      <c r="I23" s="19">
        <f>IF(H23="","",DATEDIF(H23,DATE(PARAMETRES!$C$29,12,31),"y")&amp;" an(s) "&amp;DATEDIF(H23,DATE(PARAMETRES!$C$29,12,31),"ym")&amp;" mois")</f>
        <v/>
      </c>
      <c r="J23" s="35" t="n"/>
      <c r="K23" s="17" t="n"/>
      <c r="L23" s="17" t="n"/>
      <c r="M23" s="17" t="n"/>
      <c r="N23" s="17" t="n"/>
      <c r="O23" s="17" t="n"/>
      <c r="P23" s="21" t="n"/>
      <c r="Q23" s="17" t="n"/>
      <c r="R23" s="17" t="n"/>
      <c r="S23" s="35" t="n"/>
      <c r="T23" s="17" t="n"/>
      <c r="U23" s="31" t="n"/>
      <c r="V23" s="35" t="n"/>
      <c r="W23" s="19">
        <f>IF(C23="","",DATEDIF(H23,DATE(PARAMETRES!$C$29,12,31),"y"))</f>
        <v/>
      </c>
      <c r="X23" s="17" t="inlineStr">
        <is>
          <t>Brut de base</t>
        </is>
      </c>
      <c r="Y23" s="23">
        <f>IF($C23="","",MAX(IF(X23="Brut de base",AA23,IF((AA23)&lt;=((ipr_t1_sup_mensuel/(IF(opt_cnss_deductible_ipr="Oui",1-t_cnss_pension_salarie,1)))*(1-t_cnss_pension_salarie)-(ipr_t1_sup_mensuel*ipr_taux1)),(AA23)/((1-t_cnss_pension_salarie)-(IF(opt_cnss_deductible_ipr="Oui",1-t_cnss_pension_salarie,1))*ipr_taux1),IF((AA23)&lt;=((ipr_t2_sup_mensuel/(IF(opt_cnss_deductible_ipr="Oui",1-t_cnss_pension_salarie,1)))*(1-t_cnss_pension_salarie)-((ipr_t1_sup_mensuel*ipr_taux1)+(ipr_t2_sup_mensuel-ipr_t1_sup_mensuel)*ipr_taux2)),((AA23)-ipr_t1_sup_mensuel*ipr_taux2+(ipr_t1_sup_mensuel*ipr_taux1))/((1-t_cnss_pension_salarie)-(IF(opt_cnss_deductible_ipr="Oui",1-t_cnss_pension_salarie,1))*ipr_taux2),IF((AA23)&lt;=((ipr_t3_sup_mensuel/(IF(opt_cnss_deductible_ipr="Oui",1-t_cnss_pension_salarie,1)))*(1-t_cnss_pension_salarie)-(((ipr_t1_sup_mensuel*ipr_taux1)+(ipr_t2_sup_mensuel-ipr_t1_sup_mensuel)*ipr_taux2)+(ipr_t3_sup_mensuel-ipr_t2_sup_mensuel)*ipr_taux3)),((AA23)-ipr_t2_sup_mensuel*ipr_taux3+((ipr_t1_sup_mensuel*ipr_taux1)+(ipr_t2_sup_mensuel-ipr_t1_sup_mensuel)*ipr_taux2))/((1-t_cnss_pension_salarie)-(IF(opt_cnss_deductible_ipr="Oui",1-t_cnss_pension_salarie,1))*ipr_taux3),((AA23)-ipr_t3_sup_mensuel*ipr_taux4+(((ipr_t1_sup_mensuel*ipr_taux1)+(ipr_t2_sup_mensuel-ipr_t1_sup_mensuel)*ipr_taux2)+(ipr_t3_sup_mensuel-ipr_t2_sup_mensuel)*ipr_taux3))/((1-t_cnss_pension_salarie)-(IF(opt_cnss_deductible_ipr="Oui",1-t_cnss_pension_salarie,1))*ipr_taux4))))),AJ23))</f>
        <v/>
      </c>
      <c r="Z23" s="17" t="inlineStr">
        <is>
          <t>CDF</t>
        </is>
      </c>
      <c r="AA23" s="23">
        <f>IF($C23="","",IF(Z23="USD",P23*opt_taux_change,P23))</f>
        <v/>
      </c>
      <c r="AB23" s="19">
        <f>IF($C23="","",IF(H23="","",DATEDIF(H23,DATE(PARAMETRES!$C$29,12,31),"m")))</f>
        <v/>
      </c>
      <c r="AC23" s="19">
        <f>IF($C23="","",IF(AB23="",0,ROUND(AB23*taux_acquisition_conge+FLOOR(AB23/60,1)*majoration_anciennete_conge,1)))</f>
        <v/>
      </c>
      <c r="AD23" s="19">
        <f>IF($C23="","",VARIABLES!AW20+VARIABLES!AW273+VARIABLES!AW526+VARIABLES!AW779+VARIABLES!AW1032+VARIABLES!AW1285+VARIABLES!AW1538+VARIABLES!AW1791+VARIABLES!AW2044+VARIABLES!AW2297+VARIABLES!AW2550+VARIABLES!AW2803)</f>
        <v/>
      </c>
      <c r="AE23" s="19">
        <f>IF($C23="","",AC23-AD23)</f>
        <v/>
      </c>
      <c r="AH23" s="17" t="inlineStr">
        <is>
          <t>Manœuvre — Ordinaire</t>
        </is>
      </c>
      <c r="AI23" s="33">
        <f>IF($C23="","",IFERROR(INDEX(grille_tension_valeur,MATCH(AH23,grille_tension_label,0)),""))</f>
        <v/>
      </c>
      <c r="AJ23" s="23">
        <f>IF($C23="","",IF(AI23="",0,ROUND(smig_journalier*AI23*jours_smig_legal,0)))</f>
        <v/>
      </c>
    </row>
    <row r="24" ht="15" customHeight="1" s="15">
      <c r="B24" s="19" t="n">
        <v>10</v>
      </c>
      <c r="C24" s="17" t="n"/>
      <c r="D24" s="35" t="n"/>
      <c r="E24" s="17" t="n"/>
      <c r="F24" s="31" t="n"/>
      <c r="G24" s="19">
        <f>IF(F24="","",DATEDIF(F24,DATE(PARAMETRES!$C$29,12,31),"y"))</f>
        <v/>
      </c>
      <c r="H24" s="31" t="n"/>
      <c r="I24" s="19">
        <f>IF(H24="","",DATEDIF(H24,DATE(PARAMETRES!$C$29,12,31),"y")&amp;" an(s) "&amp;DATEDIF(H24,DATE(PARAMETRES!$C$29,12,31),"ym")&amp;" mois")</f>
        <v/>
      </c>
      <c r="J24" s="35" t="n"/>
      <c r="K24" s="17" t="n"/>
      <c r="L24" s="17" t="n"/>
      <c r="M24" s="17" t="n"/>
      <c r="N24" s="17" t="n"/>
      <c r="O24" s="17" t="n"/>
      <c r="P24" s="21" t="n"/>
      <c r="Q24" s="17" t="n"/>
      <c r="R24" s="17" t="n"/>
      <c r="S24" s="35" t="n"/>
      <c r="T24" s="17" t="n"/>
      <c r="U24" s="31" t="n"/>
      <c r="V24" s="35" t="n"/>
      <c r="W24" s="19">
        <f>IF(C24="","",DATEDIF(H24,DATE(PARAMETRES!$C$29,12,31),"y"))</f>
        <v/>
      </c>
      <c r="X24" s="17" t="inlineStr">
        <is>
          <t>Brut de base</t>
        </is>
      </c>
      <c r="Y24" s="23">
        <f>IF($C24="","",MAX(IF(X24="Brut de base",AA24,IF((AA24)&lt;=((ipr_t1_sup_mensuel/(IF(opt_cnss_deductible_ipr="Oui",1-t_cnss_pension_salarie,1)))*(1-t_cnss_pension_salarie)-(ipr_t1_sup_mensuel*ipr_taux1)),(AA24)/((1-t_cnss_pension_salarie)-(IF(opt_cnss_deductible_ipr="Oui",1-t_cnss_pension_salarie,1))*ipr_taux1),IF((AA24)&lt;=((ipr_t2_sup_mensuel/(IF(opt_cnss_deductible_ipr="Oui",1-t_cnss_pension_salarie,1)))*(1-t_cnss_pension_salarie)-((ipr_t1_sup_mensuel*ipr_taux1)+(ipr_t2_sup_mensuel-ipr_t1_sup_mensuel)*ipr_taux2)),((AA24)-ipr_t1_sup_mensuel*ipr_taux2+(ipr_t1_sup_mensuel*ipr_taux1))/((1-t_cnss_pension_salarie)-(IF(opt_cnss_deductible_ipr="Oui",1-t_cnss_pension_salarie,1))*ipr_taux2),IF((AA24)&lt;=((ipr_t3_sup_mensuel/(IF(opt_cnss_deductible_ipr="Oui",1-t_cnss_pension_salarie,1)))*(1-t_cnss_pension_salarie)-(((ipr_t1_sup_mensuel*ipr_taux1)+(ipr_t2_sup_mensuel-ipr_t1_sup_mensuel)*ipr_taux2)+(ipr_t3_sup_mensuel-ipr_t2_sup_mensuel)*ipr_taux3)),((AA24)-ipr_t2_sup_mensuel*ipr_taux3+((ipr_t1_sup_mensuel*ipr_taux1)+(ipr_t2_sup_mensuel-ipr_t1_sup_mensuel)*ipr_taux2))/((1-t_cnss_pension_salarie)-(IF(opt_cnss_deductible_ipr="Oui",1-t_cnss_pension_salarie,1))*ipr_taux3),((AA24)-ipr_t3_sup_mensuel*ipr_taux4+(((ipr_t1_sup_mensuel*ipr_taux1)+(ipr_t2_sup_mensuel-ipr_t1_sup_mensuel)*ipr_taux2)+(ipr_t3_sup_mensuel-ipr_t2_sup_mensuel)*ipr_taux3))/((1-t_cnss_pension_salarie)-(IF(opt_cnss_deductible_ipr="Oui",1-t_cnss_pension_salarie,1))*ipr_taux4))))),AJ24))</f>
        <v/>
      </c>
      <c r="Z24" s="17" t="inlineStr">
        <is>
          <t>CDF</t>
        </is>
      </c>
      <c r="AA24" s="23">
        <f>IF($C24="","",IF(Z24="USD",P24*opt_taux_change,P24))</f>
        <v/>
      </c>
      <c r="AB24" s="19">
        <f>IF($C24="","",IF(H24="","",DATEDIF(H24,DATE(PARAMETRES!$C$29,12,31),"m")))</f>
        <v/>
      </c>
      <c r="AC24" s="19">
        <f>IF($C24="","",IF(AB24="",0,ROUND(AB24*taux_acquisition_conge+FLOOR(AB24/60,1)*majoration_anciennete_conge,1)))</f>
        <v/>
      </c>
      <c r="AD24" s="19">
        <f>IF($C24="","",VARIABLES!AW21+VARIABLES!AW274+VARIABLES!AW527+VARIABLES!AW780+VARIABLES!AW1033+VARIABLES!AW1286+VARIABLES!AW1539+VARIABLES!AW1792+VARIABLES!AW2045+VARIABLES!AW2298+VARIABLES!AW2551+VARIABLES!AW2804)</f>
        <v/>
      </c>
      <c r="AE24" s="19">
        <f>IF($C24="","",AC24-AD24)</f>
        <v/>
      </c>
      <c r="AH24" s="17" t="inlineStr">
        <is>
          <t>Manœuvre — Ordinaire</t>
        </is>
      </c>
      <c r="AI24" s="33">
        <f>IF($C24="","",IFERROR(INDEX(grille_tension_valeur,MATCH(AH24,grille_tension_label,0)),""))</f>
        <v/>
      </c>
      <c r="AJ24" s="23">
        <f>IF($C24="","",IF(AI24="",0,ROUND(smig_journalier*AI24*jours_smig_legal,0)))</f>
        <v/>
      </c>
    </row>
    <row r="25" ht="15" customHeight="1" s="15">
      <c r="B25" s="19" t="n">
        <v>11</v>
      </c>
      <c r="C25" s="17" t="n"/>
      <c r="D25" s="35" t="n"/>
      <c r="E25" s="17" t="n"/>
      <c r="F25" s="31" t="n"/>
      <c r="G25" s="19">
        <f>IF(F25="","",DATEDIF(F25,DATE(PARAMETRES!$C$29,12,31),"y"))</f>
        <v/>
      </c>
      <c r="H25" s="31" t="n"/>
      <c r="I25" s="19">
        <f>IF(H25="","",DATEDIF(H25,DATE(PARAMETRES!$C$29,12,31),"y")&amp;" an(s) "&amp;DATEDIF(H25,DATE(PARAMETRES!$C$29,12,31),"ym")&amp;" mois")</f>
        <v/>
      </c>
      <c r="J25" s="35" t="n"/>
      <c r="K25" s="17" t="n"/>
      <c r="L25" s="17" t="n"/>
      <c r="M25" s="17" t="n"/>
      <c r="N25" s="17" t="n"/>
      <c r="O25" s="17" t="n"/>
      <c r="P25" s="21" t="n"/>
      <c r="Q25" s="17" t="n"/>
      <c r="R25" s="17" t="n"/>
      <c r="S25" s="35" t="n"/>
      <c r="T25" s="17" t="n"/>
      <c r="U25" s="31" t="n"/>
      <c r="V25" s="35" t="n"/>
      <c r="W25" s="19">
        <f>IF(C25="","",DATEDIF(H25,DATE(PARAMETRES!$C$29,12,31),"y"))</f>
        <v/>
      </c>
      <c r="X25" s="17" t="inlineStr">
        <is>
          <t>Brut de base</t>
        </is>
      </c>
      <c r="Y25" s="23">
        <f>IF($C25="","",MAX(IF(X25="Brut de base",AA25,IF((AA25)&lt;=((ipr_t1_sup_mensuel/(IF(opt_cnss_deductible_ipr="Oui",1-t_cnss_pension_salarie,1)))*(1-t_cnss_pension_salarie)-(ipr_t1_sup_mensuel*ipr_taux1)),(AA25)/((1-t_cnss_pension_salarie)-(IF(opt_cnss_deductible_ipr="Oui",1-t_cnss_pension_salarie,1))*ipr_taux1),IF((AA25)&lt;=((ipr_t2_sup_mensuel/(IF(opt_cnss_deductible_ipr="Oui",1-t_cnss_pension_salarie,1)))*(1-t_cnss_pension_salarie)-((ipr_t1_sup_mensuel*ipr_taux1)+(ipr_t2_sup_mensuel-ipr_t1_sup_mensuel)*ipr_taux2)),((AA25)-ipr_t1_sup_mensuel*ipr_taux2+(ipr_t1_sup_mensuel*ipr_taux1))/((1-t_cnss_pension_salarie)-(IF(opt_cnss_deductible_ipr="Oui",1-t_cnss_pension_salarie,1))*ipr_taux2),IF((AA25)&lt;=((ipr_t3_sup_mensuel/(IF(opt_cnss_deductible_ipr="Oui",1-t_cnss_pension_salarie,1)))*(1-t_cnss_pension_salarie)-(((ipr_t1_sup_mensuel*ipr_taux1)+(ipr_t2_sup_mensuel-ipr_t1_sup_mensuel)*ipr_taux2)+(ipr_t3_sup_mensuel-ipr_t2_sup_mensuel)*ipr_taux3)),((AA25)-ipr_t2_sup_mensuel*ipr_taux3+((ipr_t1_sup_mensuel*ipr_taux1)+(ipr_t2_sup_mensuel-ipr_t1_sup_mensuel)*ipr_taux2))/((1-t_cnss_pension_salarie)-(IF(opt_cnss_deductible_ipr="Oui",1-t_cnss_pension_salarie,1))*ipr_taux3),((AA25)-ipr_t3_sup_mensuel*ipr_taux4+(((ipr_t1_sup_mensuel*ipr_taux1)+(ipr_t2_sup_mensuel-ipr_t1_sup_mensuel)*ipr_taux2)+(ipr_t3_sup_mensuel-ipr_t2_sup_mensuel)*ipr_taux3))/((1-t_cnss_pension_salarie)-(IF(opt_cnss_deductible_ipr="Oui",1-t_cnss_pension_salarie,1))*ipr_taux4))))),AJ25))</f>
        <v/>
      </c>
      <c r="Z25" s="17" t="inlineStr">
        <is>
          <t>CDF</t>
        </is>
      </c>
      <c r="AA25" s="23">
        <f>IF($C25="","",IF(Z25="USD",P25*opt_taux_change,P25))</f>
        <v/>
      </c>
      <c r="AB25" s="19">
        <f>IF($C25="","",IF(H25="","",DATEDIF(H25,DATE(PARAMETRES!$C$29,12,31),"m")))</f>
        <v/>
      </c>
      <c r="AC25" s="19">
        <f>IF($C25="","",IF(AB25="",0,ROUND(AB25*taux_acquisition_conge+FLOOR(AB25/60,1)*majoration_anciennete_conge,1)))</f>
        <v/>
      </c>
      <c r="AD25" s="19">
        <f>IF($C25="","",VARIABLES!AW22+VARIABLES!AW275+VARIABLES!AW528+VARIABLES!AW781+VARIABLES!AW1034+VARIABLES!AW1287+VARIABLES!AW1540+VARIABLES!AW1793+VARIABLES!AW2046+VARIABLES!AW2299+VARIABLES!AW2552+VARIABLES!AW2805)</f>
        <v/>
      </c>
      <c r="AE25" s="19">
        <f>IF($C25="","",AC25-AD25)</f>
        <v/>
      </c>
      <c r="AH25" s="17" t="inlineStr">
        <is>
          <t>Manœuvre — Ordinaire</t>
        </is>
      </c>
      <c r="AI25" s="33">
        <f>IF($C25="","",IFERROR(INDEX(grille_tension_valeur,MATCH(AH25,grille_tension_label,0)),""))</f>
        <v/>
      </c>
      <c r="AJ25" s="23">
        <f>IF($C25="","",IF(AI25="",0,ROUND(smig_journalier*AI25*jours_smig_legal,0)))</f>
        <v/>
      </c>
    </row>
    <row r="26" ht="15" customHeight="1" s="15">
      <c r="B26" s="19" t="n">
        <v>12</v>
      </c>
      <c r="C26" s="17" t="n"/>
      <c r="D26" s="35" t="n"/>
      <c r="E26" s="17" t="n"/>
      <c r="F26" s="31" t="n"/>
      <c r="G26" s="19">
        <f>IF(F26="","",DATEDIF(F26,DATE(PARAMETRES!$C$29,12,31),"y"))</f>
        <v/>
      </c>
      <c r="H26" s="31" t="n"/>
      <c r="I26" s="19">
        <f>IF(H26="","",DATEDIF(H26,DATE(PARAMETRES!$C$29,12,31),"y")&amp;" an(s) "&amp;DATEDIF(H26,DATE(PARAMETRES!$C$29,12,31),"ym")&amp;" mois")</f>
        <v/>
      </c>
      <c r="J26" s="35" t="n"/>
      <c r="K26" s="17" t="n"/>
      <c r="L26" s="17" t="n"/>
      <c r="M26" s="17" t="n"/>
      <c r="N26" s="17" t="n"/>
      <c r="O26" s="17" t="n"/>
      <c r="P26" s="21" t="n"/>
      <c r="Q26" s="17" t="n"/>
      <c r="R26" s="17" t="n"/>
      <c r="S26" s="35" t="n"/>
      <c r="T26" s="17" t="n"/>
      <c r="U26" s="31" t="n"/>
      <c r="V26" s="35" t="n"/>
      <c r="W26" s="19">
        <f>IF(C26="","",DATEDIF(H26,DATE(PARAMETRES!$C$29,12,31),"y"))</f>
        <v/>
      </c>
      <c r="X26" s="17" t="inlineStr">
        <is>
          <t>Brut de base</t>
        </is>
      </c>
      <c r="Y26" s="23">
        <f>IF($C26="","",MAX(IF(X26="Brut de base",AA26,IF((AA26)&lt;=((ipr_t1_sup_mensuel/(IF(opt_cnss_deductible_ipr="Oui",1-t_cnss_pension_salarie,1)))*(1-t_cnss_pension_salarie)-(ipr_t1_sup_mensuel*ipr_taux1)),(AA26)/((1-t_cnss_pension_salarie)-(IF(opt_cnss_deductible_ipr="Oui",1-t_cnss_pension_salarie,1))*ipr_taux1),IF((AA26)&lt;=((ipr_t2_sup_mensuel/(IF(opt_cnss_deductible_ipr="Oui",1-t_cnss_pension_salarie,1)))*(1-t_cnss_pension_salarie)-((ipr_t1_sup_mensuel*ipr_taux1)+(ipr_t2_sup_mensuel-ipr_t1_sup_mensuel)*ipr_taux2)),((AA26)-ipr_t1_sup_mensuel*ipr_taux2+(ipr_t1_sup_mensuel*ipr_taux1))/((1-t_cnss_pension_salarie)-(IF(opt_cnss_deductible_ipr="Oui",1-t_cnss_pension_salarie,1))*ipr_taux2),IF((AA26)&lt;=((ipr_t3_sup_mensuel/(IF(opt_cnss_deductible_ipr="Oui",1-t_cnss_pension_salarie,1)))*(1-t_cnss_pension_salarie)-(((ipr_t1_sup_mensuel*ipr_taux1)+(ipr_t2_sup_mensuel-ipr_t1_sup_mensuel)*ipr_taux2)+(ipr_t3_sup_mensuel-ipr_t2_sup_mensuel)*ipr_taux3)),((AA26)-ipr_t2_sup_mensuel*ipr_taux3+((ipr_t1_sup_mensuel*ipr_taux1)+(ipr_t2_sup_mensuel-ipr_t1_sup_mensuel)*ipr_taux2))/((1-t_cnss_pension_salarie)-(IF(opt_cnss_deductible_ipr="Oui",1-t_cnss_pension_salarie,1))*ipr_taux3),((AA26)-ipr_t3_sup_mensuel*ipr_taux4+(((ipr_t1_sup_mensuel*ipr_taux1)+(ipr_t2_sup_mensuel-ipr_t1_sup_mensuel)*ipr_taux2)+(ipr_t3_sup_mensuel-ipr_t2_sup_mensuel)*ipr_taux3))/((1-t_cnss_pension_salarie)-(IF(opt_cnss_deductible_ipr="Oui",1-t_cnss_pension_salarie,1))*ipr_taux4))))),AJ26))</f>
        <v/>
      </c>
      <c r="Z26" s="17" t="inlineStr">
        <is>
          <t>CDF</t>
        </is>
      </c>
      <c r="AA26" s="23">
        <f>IF($C26="","",IF(Z26="USD",P26*opt_taux_change,P26))</f>
        <v/>
      </c>
      <c r="AB26" s="19">
        <f>IF($C26="","",IF(H26="","",DATEDIF(H26,DATE(PARAMETRES!$C$29,12,31),"m")))</f>
        <v/>
      </c>
      <c r="AC26" s="19">
        <f>IF($C26="","",IF(AB26="",0,ROUND(AB26*taux_acquisition_conge+FLOOR(AB26/60,1)*majoration_anciennete_conge,1)))</f>
        <v/>
      </c>
      <c r="AD26" s="19">
        <f>IF($C26="","",VARIABLES!AW23+VARIABLES!AW276+VARIABLES!AW529+VARIABLES!AW782+VARIABLES!AW1035+VARIABLES!AW1288+VARIABLES!AW1541+VARIABLES!AW1794+VARIABLES!AW2047+VARIABLES!AW2300+VARIABLES!AW2553+VARIABLES!AW2806)</f>
        <v/>
      </c>
      <c r="AE26" s="19">
        <f>IF($C26="","",AC26-AD26)</f>
        <v/>
      </c>
      <c r="AH26" s="17" t="inlineStr">
        <is>
          <t>Manœuvre — Ordinaire</t>
        </is>
      </c>
      <c r="AI26" s="33">
        <f>IF($C26="","",IFERROR(INDEX(grille_tension_valeur,MATCH(AH26,grille_tension_label,0)),""))</f>
        <v/>
      </c>
      <c r="AJ26" s="23">
        <f>IF($C26="","",IF(AI26="",0,ROUND(smig_journalier*AI26*jours_smig_legal,0)))</f>
        <v/>
      </c>
    </row>
    <row r="27" ht="15" customHeight="1" s="15">
      <c r="B27" s="19" t="n">
        <v>13</v>
      </c>
      <c r="C27" s="17" t="n"/>
      <c r="D27" s="35" t="n"/>
      <c r="E27" s="17" t="n"/>
      <c r="F27" s="31" t="n"/>
      <c r="G27" s="19">
        <f>IF(F27="","",DATEDIF(F27,DATE(PARAMETRES!$C$29,12,31),"y"))</f>
        <v/>
      </c>
      <c r="H27" s="31" t="n"/>
      <c r="I27" s="19">
        <f>IF(H27="","",DATEDIF(H27,DATE(PARAMETRES!$C$29,12,31),"y")&amp;" an(s) "&amp;DATEDIF(H27,DATE(PARAMETRES!$C$29,12,31),"ym")&amp;" mois")</f>
        <v/>
      </c>
      <c r="J27" s="35" t="n"/>
      <c r="K27" s="17" t="n"/>
      <c r="L27" s="17" t="n"/>
      <c r="M27" s="17" t="n"/>
      <c r="N27" s="17" t="n"/>
      <c r="O27" s="17" t="n"/>
      <c r="P27" s="21" t="n"/>
      <c r="Q27" s="17" t="n"/>
      <c r="R27" s="17" t="n"/>
      <c r="S27" s="35" t="n"/>
      <c r="T27" s="17" t="n"/>
      <c r="U27" s="31" t="n"/>
      <c r="V27" s="35" t="n"/>
      <c r="W27" s="19">
        <f>IF(C27="","",DATEDIF(H27,DATE(PARAMETRES!$C$29,12,31),"y"))</f>
        <v/>
      </c>
      <c r="X27" s="17" t="inlineStr">
        <is>
          <t>Brut de base</t>
        </is>
      </c>
      <c r="Y27" s="23">
        <f>IF($C27="","",MAX(IF(X27="Brut de base",AA27,IF((AA27)&lt;=((ipr_t1_sup_mensuel/(IF(opt_cnss_deductible_ipr="Oui",1-t_cnss_pension_salarie,1)))*(1-t_cnss_pension_salarie)-(ipr_t1_sup_mensuel*ipr_taux1)),(AA27)/((1-t_cnss_pension_salarie)-(IF(opt_cnss_deductible_ipr="Oui",1-t_cnss_pension_salarie,1))*ipr_taux1),IF((AA27)&lt;=((ipr_t2_sup_mensuel/(IF(opt_cnss_deductible_ipr="Oui",1-t_cnss_pension_salarie,1)))*(1-t_cnss_pension_salarie)-((ipr_t1_sup_mensuel*ipr_taux1)+(ipr_t2_sup_mensuel-ipr_t1_sup_mensuel)*ipr_taux2)),((AA27)-ipr_t1_sup_mensuel*ipr_taux2+(ipr_t1_sup_mensuel*ipr_taux1))/((1-t_cnss_pension_salarie)-(IF(opt_cnss_deductible_ipr="Oui",1-t_cnss_pension_salarie,1))*ipr_taux2),IF((AA27)&lt;=((ipr_t3_sup_mensuel/(IF(opt_cnss_deductible_ipr="Oui",1-t_cnss_pension_salarie,1)))*(1-t_cnss_pension_salarie)-(((ipr_t1_sup_mensuel*ipr_taux1)+(ipr_t2_sup_mensuel-ipr_t1_sup_mensuel)*ipr_taux2)+(ipr_t3_sup_mensuel-ipr_t2_sup_mensuel)*ipr_taux3)),((AA27)-ipr_t2_sup_mensuel*ipr_taux3+((ipr_t1_sup_mensuel*ipr_taux1)+(ipr_t2_sup_mensuel-ipr_t1_sup_mensuel)*ipr_taux2))/((1-t_cnss_pension_salarie)-(IF(opt_cnss_deductible_ipr="Oui",1-t_cnss_pension_salarie,1))*ipr_taux3),((AA27)-ipr_t3_sup_mensuel*ipr_taux4+(((ipr_t1_sup_mensuel*ipr_taux1)+(ipr_t2_sup_mensuel-ipr_t1_sup_mensuel)*ipr_taux2)+(ipr_t3_sup_mensuel-ipr_t2_sup_mensuel)*ipr_taux3))/((1-t_cnss_pension_salarie)-(IF(opt_cnss_deductible_ipr="Oui",1-t_cnss_pension_salarie,1))*ipr_taux4))))),AJ27))</f>
        <v/>
      </c>
      <c r="Z27" s="17" t="inlineStr">
        <is>
          <t>CDF</t>
        </is>
      </c>
      <c r="AA27" s="23">
        <f>IF($C27="","",IF(Z27="USD",P27*opt_taux_change,P27))</f>
        <v/>
      </c>
      <c r="AB27" s="19">
        <f>IF($C27="","",IF(H27="","",DATEDIF(H27,DATE(PARAMETRES!$C$29,12,31),"m")))</f>
        <v/>
      </c>
      <c r="AC27" s="19">
        <f>IF($C27="","",IF(AB27="",0,ROUND(AB27*taux_acquisition_conge+FLOOR(AB27/60,1)*majoration_anciennete_conge,1)))</f>
        <v/>
      </c>
      <c r="AD27" s="19">
        <f>IF($C27="","",VARIABLES!AW24+VARIABLES!AW277+VARIABLES!AW530+VARIABLES!AW783+VARIABLES!AW1036+VARIABLES!AW1289+VARIABLES!AW1542+VARIABLES!AW1795+VARIABLES!AW2048+VARIABLES!AW2301+VARIABLES!AW2554+VARIABLES!AW2807)</f>
        <v/>
      </c>
      <c r="AE27" s="19">
        <f>IF($C27="","",AC27-AD27)</f>
        <v/>
      </c>
      <c r="AH27" s="17" t="inlineStr">
        <is>
          <t>Manœuvre — Ordinaire</t>
        </is>
      </c>
      <c r="AI27" s="33">
        <f>IF($C27="","",IFERROR(INDEX(grille_tension_valeur,MATCH(AH27,grille_tension_label,0)),""))</f>
        <v/>
      </c>
      <c r="AJ27" s="23">
        <f>IF($C27="","",IF(AI27="",0,ROUND(smig_journalier*AI27*jours_smig_legal,0)))</f>
        <v/>
      </c>
    </row>
    <row r="28" ht="15" customHeight="1" s="15">
      <c r="B28" s="19" t="n">
        <v>14</v>
      </c>
      <c r="C28" s="17" t="n"/>
      <c r="D28" s="35" t="n"/>
      <c r="E28" s="17" t="n"/>
      <c r="F28" s="31" t="n"/>
      <c r="G28" s="19">
        <f>IF(F28="","",DATEDIF(F28,DATE(PARAMETRES!$C$29,12,31),"y"))</f>
        <v/>
      </c>
      <c r="H28" s="31" t="n"/>
      <c r="I28" s="19">
        <f>IF(H28="","",DATEDIF(H28,DATE(PARAMETRES!$C$29,12,31),"y")&amp;" an(s) "&amp;DATEDIF(H28,DATE(PARAMETRES!$C$29,12,31),"ym")&amp;" mois")</f>
        <v/>
      </c>
      <c r="J28" s="35" t="n"/>
      <c r="K28" s="17" t="n"/>
      <c r="L28" s="17" t="n"/>
      <c r="M28" s="17" t="n"/>
      <c r="N28" s="17" t="n"/>
      <c r="O28" s="17" t="n"/>
      <c r="P28" s="21" t="n"/>
      <c r="Q28" s="17" t="n"/>
      <c r="R28" s="17" t="n"/>
      <c r="S28" s="35" t="n"/>
      <c r="T28" s="17" t="n"/>
      <c r="U28" s="31" t="n"/>
      <c r="V28" s="35" t="n"/>
      <c r="W28" s="19">
        <f>IF(C28="","",DATEDIF(H28,DATE(PARAMETRES!$C$29,12,31),"y"))</f>
        <v/>
      </c>
      <c r="X28" s="17" t="inlineStr">
        <is>
          <t>Brut de base</t>
        </is>
      </c>
      <c r="Y28" s="23">
        <f>IF($C28="","",MAX(IF(X28="Brut de base",AA28,IF((AA28)&lt;=((ipr_t1_sup_mensuel/(IF(opt_cnss_deductible_ipr="Oui",1-t_cnss_pension_salarie,1)))*(1-t_cnss_pension_salarie)-(ipr_t1_sup_mensuel*ipr_taux1)),(AA28)/((1-t_cnss_pension_salarie)-(IF(opt_cnss_deductible_ipr="Oui",1-t_cnss_pension_salarie,1))*ipr_taux1),IF((AA28)&lt;=((ipr_t2_sup_mensuel/(IF(opt_cnss_deductible_ipr="Oui",1-t_cnss_pension_salarie,1)))*(1-t_cnss_pension_salarie)-((ipr_t1_sup_mensuel*ipr_taux1)+(ipr_t2_sup_mensuel-ipr_t1_sup_mensuel)*ipr_taux2)),((AA28)-ipr_t1_sup_mensuel*ipr_taux2+(ipr_t1_sup_mensuel*ipr_taux1))/((1-t_cnss_pension_salarie)-(IF(opt_cnss_deductible_ipr="Oui",1-t_cnss_pension_salarie,1))*ipr_taux2),IF((AA28)&lt;=((ipr_t3_sup_mensuel/(IF(opt_cnss_deductible_ipr="Oui",1-t_cnss_pension_salarie,1)))*(1-t_cnss_pension_salarie)-(((ipr_t1_sup_mensuel*ipr_taux1)+(ipr_t2_sup_mensuel-ipr_t1_sup_mensuel)*ipr_taux2)+(ipr_t3_sup_mensuel-ipr_t2_sup_mensuel)*ipr_taux3)),((AA28)-ipr_t2_sup_mensuel*ipr_taux3+((ipr_t1_sup_mensuel*ipr_taux1)+(ipr_t2_sup_mensuel-ipr_t1_sup_mensuel)*ipr_taux2))/((1-t_cnss_pension_salarie)-(IF(opt_cnss_deductible_ipr="Oui",1-t_cnss_pension_salarie,1))*ipr_taux3),((AA28)-ipr_t3_sup_mensuel*ipr_taux4+(((ipr_t1_sup_mensuel*ipr_taux1)+(ipr_t2_sup_mensuel-ipr_t1_sup_mensuel)*ipr_taux2)+(ipr_t3_sup_mensuel-ipr_t2_sup_mensuel)*ipr_taux3))/((1-t_cnss_pension_salarie)-(IF(opt_cnss_deductible_ipr="Oui",1-t_cnss_pension_salarie,1))*ipr_taux4))))),AJ28))</f>
        <v/>
      </c>
      <c r="Z28" s="17" t="inlineStr">
        <is>
          <t>CDF</t>
        </is>
      </c>
      <c r="AA28" s="23">
        <f>IF($C28="","",IF(Z28="USD",P28*opt_taux_change,P28))</f>
        <v/>
      </c>
      <c r="AB28" s="19">
        <f>IF($C28="","",IF(H28="","",DATEDIF(H28,DATE(PARAMETRES!$C$29,12,31),"m")))</f>
        <v/>
      </c>
      <c r="AC28" s="19">
        <f>IF($C28="","",IF(AB28="",0,ROUND(AB28*taux_acquisition_conge+FLOOR(AB28/60,1)*majoration_anciennete_conge,1)))</f>
        <v/>
      </c>
      <c r="AD28" s="19">
        <f>IF($C28="","",VARIABLES!AW25+VARIABLES!AW278+VARIABLES!AW531+VARIABLES!AW784+VARIABLES!AW1037+VARIABLES!AW1290+VARIABLES!AW1543+VARIABLES!AW1796+VARIABLES!AW2049+VARIABLES!AW2302+VARIABLES!AW2555+VARIABLES!AW2808)</f>
        <v/>
      </c>
      <c r="AE28" s="19">
        <f>IF($C28="","",AC28-AD28)</f>
        <v/>
      </c>
      <c r="AH28" s="17" t="inlineStr">
        <is>
          <t>Manœuvre — Ordinaire</t>
        </is>
      </c>
      <c r="AI28" s="33">
        <f>IF($C28="","",IFERROR(INDEX(grille_tension_valeur,MATCH(AH28,grille_tension_label,0)),""))</f>
        <v/>
      </c>
      <c r="AJ28" s="23">
        <f>IF($C28="","",IF(AI28="",0,ROUND(smig_journalier*AI28*jours_smig_legal,0)))</f>
        <v/>
      </c>
    </row>
    <row r="29" ht="15" customHeight="1" s="15">
      <c r="B29" s="19" t="n">
        <v>15</v>
      </c>
      <c r="C29" s="17" t="n"/>
      <c r="D29" s="35" t="n"/>
      <c r="E29" s="17" t="n"/>
      <c r="F29" s="31" t="n"/>
      <c r="G29" s="19">
        <f>IF(F29="","",DATEDIF(F29,DATE(PARAMETRES!$C$29,12,31),"y"))</f>
        <v/>
      </c>
      <c r="H29" s="31" t="n"/>
      <c r="I29" s="19">
        <f>IF(H29="","",DATEDIF(H29,DATE(PARAMETRES!$C$29,12,31),"y")&amp;" an(s) "&amp;DATEDIF(H29,DATE(PARAMETRES!$C$29,12,31),"ym")&amp;" mois")</f>
        <v/>
      </c>
      <c r="J29" s="35" t="n"/>
      <c r="K29" s="17" t="n"/>
      <c r="L29" s="17" t="n"/>
      <c r="M29" s="17" t="n"/>
      <c r="N29" s="17" t="n"/>
      <c r="O29" s="17" t="n"/>
      <c r="P29" s="21" t="n"/>
      <c r="Q29" s="17" t="n"/>
      <c r="R29" s="17" t="n"/>
      <c r="S29" s="35" t="n"/>
      <c r="T29" s="17" t="n"/>
      <c r="U29" s="31" t="n"/>
      <c r="V29" s="35" t="n"/>
      <c r="W29" s="19">
        <f>IF(C29="","",DATEDIF(H29,DATE(PARAMETRES!$C$29,12,31),"y"))</f>
        <v/>
      </c>
      <c r="X29" s="17" t="inlineStr">
        <is>
          <t>Brut de base</t>
        </is>
      </c>
      <c r="Y29" s="23">
        <f>IF($C29="","",MAX(IF(X29="Brut de base",AA29,IF((AA29)&lt;=((ipr_t1_sup_mensuel/(IF(opt_cnss_deductible_ipr="Oui",1-t_cnss_pension_salarie,1)))*(1-t_cnss_pension_salarie)-(ipr_t1_sup_mensuel*ipr_taux1)),(AA29)/((1-t_cnss_pension_salarie)-(IF(opt_cnss_deductible_ipr="Oui",1-t_cnss_pension_salarie,1))*ipr_taux1),IF((AA29)&lt;=((ipr_t2_sup_mensuel/(IF(opt_cnss_deductible_ipr="Oui",1-t_cnss_pension_salarie,1)))*(1-t_cnss_pension_salarie)-((ipr_t1_sup_mensuel*ipr_taux1)+(ipr_t2_sup_mensuel-ipr_t1_sup_mensuel)*ipr_taux2)),((AA29)-ipr_t1_sup_mensuel*ipr_taux2+(ipr_t1_sup_mensuel*ipr_taux1))/((1-t_cnss_pension_salarie)-(IF(opt_cnss_deductible_ipr="Oui",1-t_cnss_pension_salarie,1))*ipr_taux2),IF((AA29)&lt;=((ipr_t3_sup_mensuel/(IF(opt_cnss_deductible_ipr="Oui",1-t_cnss_pension_salarie,1)))*(1-t_cnss_pension_salarie)-(((ipr_t1_sup_mensuel*ipr_taux1)+(ipr_t2_sup_mensuel-ipr_t1_sup_mensuel)*ipr_taux2)+(ipr_t3_sup_mensuel-ipr_t2_sup_mensuel)*ipr_taux3)),((AA29)-ipr_t2_sup_mensuel*ipr_taux3+((ipr_t1_sup_mensuel*ipr_taux1)+(ipr_t2_sup_mensuel-ipr_t1_sup_mensuel)*ipr_taux2))/((1-t_cnss_pension_salarie)-(IF(opt_cnss_deductible_ipr="Oui",1-t_cnss_pension_salarie,1))*ipr_taux3),((AA29)-ipr_t3_sup_mensuel*ipr_taux4+(((ipr_t1_sup_mensuel*ipr_taux1)+(ipr_t2_sup_mensuel-ipr_t1_sup_mensuel)*ipr_taux2)+(ipr_t3_sup_mensuel-ipr_t2_sup_mensuel)*ipr_taux3))/((1-t_cnss_pension_salarie)-(IF(opt_cnss_deductible_ipr="Oui",1-t_cnss_pension_salarie,1))*ipr_taux4))))),AJ29))</f>
        <v/>
      </c>
      <c r="Z29" s="17" t="inlineStr">
        <is>
          <t>CDF</t>
        </is>
      </c>
      <c r="AA29" s="23">
        <f>IF($C29="","",IF(Z29="USD",P29*opt_taux_change,P29))</f>
        <v/>
      </c>
      <c r="AB29" s="19">
        <f>IF($C29="","",IF(H29="","",DATEDIF(H29,DATE(PARAMETRES!$C$29,12,31),"m")))</f>
        <v/>
      </c>
      <c r="AC29" s="19">
        <f>IF($C29="","",IF(AB29="",0,ROUND(AB29*taux_acquisition_conge+FLOOR(AB29/60,1)*majoration_anciennete_conge,1)))</f>
        <v/>
      </c>
      <c r="AD29" s="19">
        <f>IF($C29="","",VARIABLES!AW26+VARIABLES!AW279+VARIABLES!AW532+VARIABLES!AW785+VARIABLES!AW1038+VARIABLES!AW1291+VARIABLES!AW1544+VARIABLES!AW1797+VARIABLES!AW2050+VARIABLES!AW2303+VARIABLES!AW2556+VARIABLES!AW2809)</f>
        <v/>
      </c>
      <c r="AE29" s="19">
        <f>IF($C29="","",AC29-AD29)</f>
        <v/>
      </c>
      <c r="AH29" s="17" t="inlineStr">
        <is>
          <t>Manœuvre — Ordinaire</t>
        </is>
      </c>
      <c r="AI29" s="33">
        <f>IF($C29="","",IFERROR(INDEX(grille_tension_valeur,MATCH(AH29,grille_tension_label,0)),""))</f>
        <v/>
      </c>
      <c r="AJ29" s="23">
        <f>IF($C29="","",IF(AI29="",0,ROUND(smig_journalier*AI29*jours_smig_legal,0)))</f>
        <v/>
      </c>
    </row>
    <row r="30" ht="15" customHeight="1" s="15">
      <c r="B30" s="19" t="n">
        <v>16</v>
      </c>
      <c r="C30" s="17" t="n"/>
      <c r="D30" s="35" t="n"/>
      <c r="E30" s="17" t="n"/>
      <c r="F30" s="31" t="n"/>
      <c r="G30" s="19">
        <f>IF(F30="","",DATEDIF(F30,DATE(PARAMETRES!$C$29,12,31),"y"))</f>
        <v/>
      </c>
      <c r="H30" s="31" t="n"/>
      <c r="I30" s="19">
        <f>IF(H30="","",DATEDIF(H30,DATE(PARAMETRES!$C$29,12,31),"y")&amp;" an(s) "&amp;DATEDIF(H30,DATE(PARAMETRES!$C$29,12,31),"ym")&amp;" mois")</f>
        <v/>
      </c>
      <c r="J30" s="35" t="n"/>
      <c r="K30" s="17" t="n"/>
      <c r="L30" s="17" t="n"/>
      <c r="M30" s="17" t="n"/>
      <c r="N30" s="17" t="n"/>
      <c r="O30" s="17" t="n"/>
      <c r="P30" s="21" t="n"/>
      <c r="Q30" s="17" t="n"/>
      <c r="R30" s="17" t="n"/>
      <c r="S30" s="35" t="n"/>
      <c r="T30" s="17" t="n"/>
      <c r="U30" s="31" t="n"/>
      <c r="V30" s="35" t="n"/>
      <c r="W30" s="19">
        <f>IF(C30="","",DATEDIF(H30,DATE(PARAMETRES!$C$29,12,31),"y"))</f>
        <v/>
      </c>
      <c r="X30" s="17" t="inlineStr">
        <is>
          <t>Brut de base</t>
        </is>
      </c>
      <c r="Y30" s="23">
        <f>IF($C30="","",MAX(IF(X30="Brut de base",AA30,IF((AA30)&lt;=((ipr_t1_sup_mensuel/(IF(opt_cnss_deductible_ipr="Oui",1-t_cnss_pension_salarie,1)))*(1-t_cnss_pension_salarie)-(ipr_t1_sup_mensuel*ipr_taux1)),(AA30)/((1-t_cnss_pension_salarie)-(IF(opt_cnss_deductible_ipr="Oui",1-t_cnss_pension_salarie,1))*ipr_taux1),IF((AA30)&lt;=((ipr_t2_sup_mensuel/(IF(opt_cnss_deductible_ipr="Oui",1-t_cnss_pension_salarie,1)))*(1-t_cnss_pension_salarie)-((ipr_t1_sup_mensuel*ipr_taux1)+(ipr_t2_sup_mensuel-ipr_t1_sup_mensuel)*ipr_taux2)),((AA30)-ipr_t1_sup_mensuel*ipr_taux2+(ipr_t1_sup_mensuel*ipr_taux1))/((1-t_cnss_pension_salarie)-(IF(opt_cnss_deductible_ipr="Oui",1-t_cnss_pension_salarie,1))*ipr_taux2),IF((AA30)&lt;=((ipr_t3_sup_mensuel/(IF(opt_cnss_deductible_ipr="Oui",1-t_cnss_pension_salarie,1)))*(1-t_cnss_pension_salarie)-(((ipr_t1_sup_mensuel*ipr_taux1)+(ipr_t2_sup_mensuel-ipr_t1_sup_mensuel)*ipr_taux2)+(ipr_t3_sup_mensuel-ipr_t2_sup_mensuel)*ipr_taux3)),((AA30)-ipr_t2_sup_mensuel*ipr_taux3+((ipr_t1_sup_mensuel*ipr_taux1)+(ipr_t2_sup_mensuel-ipr_t1_sup_mensuel)*ipr_taux2))/((1-t_cnss_pension_salarie)-(IF(opt_cnss_deductible_ipr="Oui",1-t_cnss_pension_salarie,1))*ipr_taux3),((AA30)-ipr_t3_sup_mensuel*ipr_taux4+(((ipr_t1_sup_mensuel*ipr_taux1)+(ipr_t2_sup_mensuel-ipr_t1_sup_mensuel)*ipr_taux2)+(ipr_t3_sup_mensuel-ipr_t2_sup_mensuel)*ipr_taux3))/((1-t_cnss_pension_salarie)-(IF(opt_cnss_deductible_ipr="Oui",1-t_cnss_pension_salarie,1))*ipr_taux4))))),AJ30))</f>
        <v/>
      </c>
      <c r="Z30" s="17" t="inlineStr">
        <is>
          <t>CDF</t>
        </is>
      </c>
      <c r="AA30" s="23">
        <f>IF($C30="","",IF(Z30="USD",P30*opt_taux_change,P30))</f>
        <v/>
      </c>
      <c r="AB30" s="19">
        <f>IF($C30="","",IF(H30="","",DATEDIF(H30,DATE(PARAMETRES!$C$29,12,31),"m")))</f>
        <v/>
      </c>
      <c r="AC30" s="19">
        <f>IF($C30="","",IF(AB30="",0,ROUND(AB30*taux_acquisition_conge+FLOOR(AB30/60,1)*majoration_anciennete_conge,1)))</f>
        <v/>
      </c>
      <c r="AD30" s="19">
        <f>IF($C30="","",VARIABLES!AW27+VARIABLES!AW280+VARIABLES!AW533+VARIABLES!AW786+VARIABLES!AW1039+VARIABLES!AW1292+VARIABLES!AW1545+VARIABLES!AW1798+VARIABLES!AW2051+VARIABLES!AW2304+VARIABLES!AW2557+VARIABLES!AW2810)</f>
        <v/>
      </c>
      <c r="AE30" s="19">
        <f>IF($C30="","",AC30-AD30)</f>
        <v/>
      </c>
      <c r="AH30" s="17" t="inlineStr">
        <is>
          <t>Manœuvre — Ordinaire</t>
        </is>
      </c>
      <c r="AI30" s="33">
        <f>IF($C30="","",IFERROR(INDEX(grille_tension_valeur,MATCH(AH30,grille_tension_label,0)),""))</f>
        <v/>
      </c>
      <c r="AJ30" s="23">
        <f>IF($C30="","",IF(AI30="",0,ROUND(smig_journalier*AI30*jours_smig_legal,0)))</f>
        <v/>
      </c>
    </row>
    <row r="31" ht="15" customHeight="1" s="15">
      <c r="B31" s="19" t="n">
        <v>17</v>
      </c>
      <c r="C31" s="17" t="n"/>
      <c r="D31" s="35" t="n"/>
      <c r="E31" s="17" t="n"/>
      <c r="F31" s="31" t="n"/>
      <c r="G31" s="19">
        <f>IF(F31="","",DATEDIF(F31,DATE(PARAMETRES!$C$29,12,31),"y"))</f>
        <v/>
      </c>
      <c r="H31" s="31" t="n"/>
      <c r="I31" s="19">
        <f>IF(H31="","",DATEDIF(H31,DATE(PARAMETRES!$C$29,12,31),"y")&amp;" an(s) "&amp;DATEDIF(H31,DATE(PARAMETRES!$C$29,12,31),"ym")&amp;" mois")</f>
        <v/>
      </c>
      <c r="J31" s="35" t="n"/>
      <c r="K31" s="17" t="n"/>
      <c r="L31" s="17" t="n"/>
      <c r="M31" s="17" t="n"/>
      <c r="N31" s="17" t="n"/>
      <c r="O31" s="17" t="n"/>
      <c r="P31" s="21" t="n"/>
      <c r="Q31" s="17" t="n"/>
      <c r="R31" s="17" t="n"/>
      <c r="S31" s="35" t="n"/>
      <c r="T31" s="17" t="n"/>
      <c r="U31" s="31" t="n"/>
      <c r="V31" s="35" t="n"/>
      <c r="W31" s="19">
        <f>IF(C31="","",DATEDIF(H31,DATE(PARAMETRES!$C$29,12,31),"y"))</f>
        <v/>
      </c>
      <c r="X31" s="17" t="inlineStr">
        <is>
          <t>Brut de base</t>
        </is>
      </c>
      <c r="Y31" s="23">
        <f>IF($C31="","",MAX(IF(X31="Brut de base",AA31,IF((AA31)&lt;=((ipr_t1_sup_mensuel/(IF(opt_cnss_deductible_ipr="Oui",1-t_cnss_pension_salarie,1)))*(1-t_cnss_pension_salarie)-(ipr_t1_sup_mensuel*ipr_taux1)),(AA31)/((1-t_cnss_pension_salarie)-(IF(opt_cnss_deductible_ipr="Oui",1-t_cnss_pension_salarie,1))*ipr_taux1),IF((AA31)&lt;=((ipr_t2_sup_mensuel/(IF(opt_cnss_deductible_ipr="Oui",1-t_cnss_pension_salarie,1)))*(1-t_cnss_pension_salarie)-((ipr_t1_sup_mensuel*ipr_taux1)+(ipr_t2_sup_mensuel-ipr_t1_sup_mensuel)*ipr_taux2)),((AA31)-ipr_t1_sup_mensuel*ipr_taux2+(ipr_t1_sup_mensuel*ipr_taux1))/((1-t_cnss_pension_salarie)-(IF(opt_cnss_deductible_ipr="Oui",1-t_cnss_pension_salarie,1))*ipr_taux2),IF((AA31)&lt;=((ipr_t3_sup_mensuel/(IF(opt_cnss_deductible_ipr="Oui",1-t_cnss_pension_salarie,1)))*(1-t_cnss_pension_salarie)-(((ipr_t1_sup_mensuel*ipr_taux1)+(ipr_t2_sup_mensuel-ipr_t1_sup_mensuel)*ipr_taux2)+(ipr_t3_sup_mensuel-ipr_t2_sup_mensuel)*ipr_taux3)),((AA31)-ipr_t2_sup_mensuel*ipr_taux3+((ipr_t1_sup_mensuel*ipr_taux1)+(ipr_t2_sup_mensuel-ipr_t1_sup_mensuel)*ipr_taux2))/((1-t_cnss_pension_salarie)-(IF(opt_cnss_deductible_ipr="Oui",1-t_cnss_pension_salarie,1))*ipr_taux3),((AA31)-ipr_t3_sup_mensuel*ipr_taux4+(((ipr_t1_sup_mensuel*ipr_taux1)+(ipr_t2_sup_mensuel-ipr_t1_sup_mensuel)*ipr_taux2)+(ipr_t3_sup_mensuel-ipr_t2_sup_mensuel)*ipr_taux3))/((1-t_cnss_pension_salarie)-(IF(opt_cnss_deductible_ipr="Oui",1-t_cnss_pension_salarie,1))*ipr_taux4))))),AJ31))</f>
        <v/>
      </c>
      <c r="Z31" s="17" t="inlineStr">
        <is>
          <t>CDF</t>
        </is>
      </c>
      <c r="AA31" s="23">
        <f>IF($C31="","",IF(Z31="USD",P31*opt_taux_change,P31))</f>
        <v/>
      </c>
      <c r="AB31" s="19">
        <f>IF($C31="","",IF(H31="","",DATEDIF(H31,DATE(PARAMETRES!$C$29,12,31),"m")))</f>
        <v/>
      </c>
      <c r="AC31" s="19">
        <f>IF($C31="","",IF(AB31="",0,ROUND(AB31*taux_acquisition_conge+FLOOR(AB31/60,1)*majoration_anciennete_conge,1)))</f>
        <v/>
      </c>
      <c r="AD31" s="19">
        <f>IF($C31="","",VARIABLES!AW28+VARIABLES!AW281+VARIABLES!AW534+VARIABLES!AW787+VARIABLES!AW1040+VARIABLES!AW1293+VARIABLES!AW1546+VARIABLES!AW1799+VARIABLES!AW2052+VARIABLES!AW2305+VARIABLES!AW2558+VARIABLES!AW2811)</f>
        <v/>
      </c>
      <c r="AE31" s="19">
        <f>IF($C31="","",AC31-AD31)</f>
        <v/>
      </c>
      <c r="AH31" s="17" t="inlineStr">
        <is>
          <t>Manœuvre — Ordinaire</t>
        </is>
      </c>
      <c r="AI31" s="33">
        <f>IF($C31="","",IFERROR(INDEX(grille_tension_valeur,MATCH(AH31,grille_tension_label,0)),""))</f>
        <v/>
      </c>
      <c r="AJ31" s="23">
        <f>IF($C31="","",IF(AI31="",0,ROUND(smig_journalier*AI31*jours_smig_legal,0)))</f>
        <v/>
      </c>
    </row>
    <row r="32" ht="15" customHeight="1" s="15">
      <c r="B32" s="19" t="n">
        <v>18</v>
      </c>
      <c r="C32" s="17" t="n"/>
      <c r="D32" s="35" t="n"/>
      <c r="E32" s="17" t="n"/>
      <c r="F32" s="31" t="n"/>
      <c r="G32" s="19">
        <f>IF(F32="","",DATEDIF(F32,DATE(PARAMETRES!$C$29,12,31),"y"))</f>
        <v/>
      </c>
      <c r="H32" s="31" t="n"/>
      <c r="I32" s="19">
        <f>IF(H32="","",DATEDIF(H32,DATE(PARAMETRES!$C$29,12,31),"y")&amp;" an(s) "&amp;DATEDIF(H32,DATE(PARAMETRES!$C$29,12,31),"ym")&amp;" mois")</f>
        <v/>
      </c>
      <c r="J32" s="35" t="n"/>
      <c r="K32" s="17" t="n"/>
      <c r="L32" s="17" t="n"/>
      <c r="M32" s="17" t="n"/>
      <c r="N32" s="17" t="n"/>
      <c r="O32" s="17" t="n"/>
      <c r="P32" s="21" t="n"/>
      <c r="Q32" s="17" t="n"/>
      <c r="R32" s="17" t="n"/>
      <c r="S32" s="35" t="n"/>
      <c r="T32" s="17" t="n"/>
      <c r="U32" s="31" t="n"/>
      <c r="V32" s="35" t="n"/>
      <c r="W32" s="19">
        <f>IF(C32="","",DATEDIF(H32,DATE(PARAMETRES!$C$29,12,31),"y"))</f>
        <v/>
      </c>
      <c r="X32" s="17" t="inlineStr">
        <is>
          <t>Brut de base</t>
        </is>
      </c>
      <c r="Y32" s="23">
        <f>IF($C32="","",MAX(IF(X32="Brut de base",AA32,IF((AA32)&lt;=((ipr_t1_sup_mensuel/(IF(opt_cnss_deductible_ipr="Oui",1-t_cnss_pension_salarie,1)))*(1-t_cnss_pension_salarie)-(ipr_t1_sup_mensuel*ipr_taux1)),(AA32)/((1-t_cnss_pension_salarie)-(IF(opt_cnss_deductible_ipr="Oui",1-t_cnss_pension_salarie,1))*ipr_taux1),IF((AA32)&lt;=((ipr_t2_sup_mensuel/(IF(opt_cnss_deductible_ipr="Oui",1-t_cnss_pension_salarie,1)))*(1-t_cnss_pension_salarie)-((ipr_t1_sup_mensuel*ipr_taux1)+(ipr_t2_sup_mensuel-ipr_t1_sup_mensuel)*ipr_taux2)),((AA32)-ipr_t1_sup_mensuel*ipr_taux2+(ipr_t1_sup_mensuel*ipr_taux1))/((1-t_cnss_pension_salarie)-(IF(opt_cnss_deductible_ipr="Oui",1-t_cnss_pension_salarie,1))*ipr_taux2),IF((AA32)&lt;=((ipr_t3_sup_mensuel/(IF(opt_cnss_deductible_ipr="Oui",1-t_cnss_pension_salarie,1)))*(1-t_cnss_pension_salarie)-(((ipr_t1_sup_mensuel*ipr_taux1)+(ipr_t2_sup_mensuel-ipr_t1_sup_mensuel)*ipr_taux2)+(ipr_t3_sup_mensuel-ipr_t2_sup_mensuel)*ipr_taux3)),((AA32)-ipr_t2_sup_mensuel*ipr_taux3+((ipr_t1_sup_mensuel*ipr_taux1)+(ipr_t2_sup_mensuel-ipr_t1_sup_mensuel)*ipr_taux2))/((1-t_cnss_pension_salarie)-(IF(opt_cnss_deductible_ipr="Oui",1-t_cnss_pension_salarie,1))*ipr_taux3),((AA32)-ipr_t3_sup_mensuel*ipr_taux4+(((ipr_t1_sup_mensuel*ipr_taux1)+(ipr_t2_sup_mensuel-ipr_t1_sup_mensuel)*ipr_taux2)+(ipr_t3_sup_mensuel-ipr_t2_sup_mensuel)*ipr_taux3))/((1-t_cnss_pension_salarie)-(IF(opt_cnss_deductible_ipr="Oui",1-t_cnss_pension_salarie,1))*ipr_taux4))))),AJ32))</f>
        <v/>
      </c>
      <c r="Z32" s="17" t="inlineStr">
        <is>
          <t>CDF</t>
        </is>
      </c>
      <c r="AA32" s="23">
        <f>IF($C32="","",IF(Z32="USD",P32*opt_taux_change,P32))</f>
        <v/>
      </c>
      <c r="AB32" s="19">
        <f>IF($C32="","",IF(H32="","",DATEDIF(H32,DATE(PARAMETRES!$C$29,12,31),"m")))</f>
        <v/>
      </c>
      <c r="AC32" s="19">
        <f>IF($C32="","",IF(AB32="",0,ROUND(AB32*taux_acquisition_conge+FLOOR(AB32/60,1)*majoration_anciennete_conge,1)))</f>
        <v/>
      </c>
      <c r="AD32" s="19">
        <f>IF($C32="","",VARIABLES!AW29+VARIABLES!AW282+VARIABLES!AW535+VARIABLES!AW788+VARIABLES!AW1041+VARIABLES!AW1294+VARIABLES!AW1547+VARIABLES!AW1800+VARIABLES!AW2053+VARIABLES!AW2306+VARIABLES!AW2559+VARIABLES!AW2812)</f>
        <v/>
      </c>
      <c r="AE32" s="19">
        <f>IF($C32="","",AC32-AD32)</f>
        <v/>
      </c>
      <c r="AH32" s="17" t="inlineStr">
        <is>
          <t>Manœuvre — Ordinaire</t>
        </is>
      </c>
      <c r="AI32" s="33">
        <f>IF($C32="","",IFERROR(INDEX(grille_tension_valeur,MATCH(AH32,grille_tension_label,0)),""))</f>
        <v/>
      </c>
      <c r="AJ32" s="23">
        <f>IF($C32="","",IF(AI32="",0,ROUND(smig_journalier*AI32*jours_smig_legal,0)))</f>
        <v/>
      </c>
    </row>
    <row r="33" ht="15" customHeight="1" s="15">
      <c r="B33" s="19" t="n">
        <v>19</v>
      </c>
      <c r="C33" s="17" t="n"/>
      <c r="D33" s="35" t="n"/>
      <c r="E33" s="17" t="n"/>
      <c r="F33" s="31" t="n"/>
      <c r="G33" s="19">
        <f>IF(F33="","",DATEDIF(F33,DATE(PARAMETRES!$C$29,12,31),"y"))</f>
        <v/>
      </c>
      <c r="H33" s="31" t="n"/>
      <c r="I33" s="19">
        <f>IF(H33="","",DATEDIF(H33,DATE(PARAMETRES!$C$29,12,31),"y")&amp;" an(s) "&amp;DATEDIF(H33,DATE(PARAMETRES!$C$29,12,31),"ym")&amp;" mois")</f>
        <v/>
      </c>
      <c r="J33" s="35" t="n"/>
      <c r="K33" s="17" t="n"/>
      <c r="L33" s="17" t="n"/>
      <c r="M33" s="17" t="n"/>
      <c r="N33" s="17" t="n"/>
      <c r="O33" s="17" t="n"/>
      <c r="P33" s="21" t="n"/>
      <c r="Q33" s="17" t="n"/>
      <c r="R33" s="17" t="n"/>
      <c r="S33" s="35" t="n"/>
      <c r="T33" s="17" t="n"/>
      <c r="U33" s="31" t="n"/>
      <c r="V33" s="35" t="n"/>
      <c r="W33" s="19">
        <f>IF(C33="","",DATEDIF(H33,DATE(PARAMETRES!$C$29,12,31),"y"))</f>
        <v/>
      </c>
      <c r="X33" s="17" t="inlineStr">
        <is>
          <t>Brut de base</t>
        </is>
      </c>
      <c r="Y33" s="23">
        <f>IF($C33="","",MAX(IF(X33="Brut de base",AA33,IF((AA33)&lt;=((ipr_t1_sup_mensuel/(IF(opt_cnss_deductible_ipr="Oui",1-t_cnss_pension_salarie,1)))*(1-t_cnss_pension_salarie)-(ipr_t1_sup_mensuel*ipr_taux1)),(AA33)/((1-t_cnss_pension_salarie)-(IF(opt_cnss_deductible_ipr="Oui",1-t_cnss_pension_salarie,1))*ipr_taux1),IF((AA33)&lt;=((ipr_t2_sup_mensuel/(IF(opt_cnss_deductible_ipr="Oui",1-t_cnss_pension_salarie,1)))*(1-t_cnss_pension_salarie)-((ipr_t1_sup_mensuel*ipr_taux1)+(ipr_t2_sup_mensuel-ipr_t1_sup_mensuel)*ipr_taux2)),((AA33)-ipr_t1_sup_mensuel*ipr_taux2+(ipr_t1_sup_mensuel*ipr_taux1))/((1-t_cnss_pension_salarie)-(IF(opt_cnss_deductible_ipr="Oui",1-t_cnss_pension_salarie,1))*ipr_taux2),IF((AA33)&lt;=((ipr_t3_sup_mensuel/(IF(opt_cnss_deductible_ipr="Oui",1-t_cnss_pension_salarie,1)))*(1-t_cnss_pension_salarie)-(((ipr_t1_sup_mensuel*ipr_taux1)+(ipr_t2_sup_mensuel-ipr_t1_sup_mensuel)*ipr_taux2)+(ipr_t3_sup_mensuel-ipr_t2_sup_mensuel)*ipr_taux3)),((AA33)-ipr_t2_sup_mensuel*ipr_taux3+((ipr_t1_sup_mensuel*ipr_taux1)+(ipr_t2_sup_mensuel-ipr_t1_sup_mensuel)*ipr_taux2))/((1-t_cnss_pension_salarie)-(IF(opt_cnss_deductible_ipr="Oui",1-t_cnss_pension_salarie,1))*ipr_taux3),((AA33)-ipr_t3_sup_mensuel*ipr_taux4+(((ipr_t1_sup_mensuel*ipr_taux1)+(ipr_t2_sup_mensuel-ipr_t1_sup_mensuel)*ipr_taux2)+(ipr_t3_sup_mensuel-ipr_t2_sup_mensuel)*ipr_taux3))/((1-t_cnss_pension_salarie)-(IF(opt_cnss_deductible_ipr="Oui",1-t_cnss_pension_salarie,1))*ipr_taux4))))),AJ33))</f>
        <v/>
      </c>
      <c r="Z33" s="17" t="inlineStr">
        <is>
          <t>CDF</t>
        </is>
      </c>
      <c r="AA33" s="23">
        <f>IF($C33="","",IF(Z33="USD",P33*opt_taux_change,P33))</f>
        <v/>
      </c>
      <c r="AB33" s="19">
        <f>IF($C33="","",IF(H33="","",DATEDIF(H33,DATE(PARAMETRES!$C$29,12,31),"m")))</f>
        <v/>
      </c>
      <c r="AC33" s="19">
        <f>IF($C33="","",IF(AB33="",0,ROUND(AB33*taux_acquisition_conge+FLOOR(AB33/60,1)*majoration_anciennete_conge,1)))</f>
        <v/>
      </c>
      <c r="AD33" s="19">
        <f>IF($C33="","",VARIABLES!AW30+VARIABLES!AW283+VARIABLES!AW536+VARIABLES!AW789+VARIABLES!AW1042+VARIABLES!AW1295+VARIABLES!AW1548+VARIABLES!AW1801+VARIABLES!AW2054+VARIABLES!AW2307+VARIABLES!AW2560+VARIABLES!AW2813)</f>
        <v/>
      </c>
      <c r="AE33" s="19">
        <f>IF($C33="","",AC33-AD33)</f>
        <v/>
      </c>
      <c r="AH33" s="17" t="inlineStr">
        <is>
          <t>Manœuvre — Ordinaire</t>
        </is>
      </c>
      <c r="AI33" s="33">
        <f>IF($C33="","",IFERROR(INDEX(grille_tension_valeur,MATCH(AH33,grille_tension_label,0)),""))</f>
        <v/>
      </c>
      <c r="AJ33" s="23">
        <f>IF($C33="","",IF(AI33="",0,ROUND(smig_journalier*AI33*jours_smig_legal,0)))</f>
        <v/>
      </c>
    </row>
    <row r="34" ht="15" customHeight="1" s="15">
      <c r="B34" s="19" t="n">
        <v>20</v>
      </c>
      <c r="C34" s="17" t="n"/>
      <c r="D34" s="35" t="n"/>
      <c r="E34" s="17" t="n"/>
      <c r="F34" s="31" t="n"/>
      <c r="G34" s="19">
        <f>IF(F34="","",DATEDIF(F34,DATE(PARAMETRES!$C$29,12,31),"y"))</f>
        <v/>
      </c>
      <c r="H34" s="31" t="n"/>
      <c r="I34" s="19">
        <f>IF(H34="","",DATEDIF(H34,DATE(PARAMETRES!$C$29,12,31),"y")&amp;" an(s) "&amp;DATEDIF(H34,DATE(PARAMETRES!$C$29,12,31),"ym")&amp;" mois")</f>
        <v/>
      </c>
      <c r="J34" s="35" t="n"/>
      <c r="K34" s="17" t="n"/>
      <c r="L34" s="17" t="n"/>
      <c r="M34" s="17" t="n"/>
      <c r="N34" s="17" t="n"/>
      <c r="O34" s="17" t="n"/>
      <c r="P34" s="21" t="n"/>
      <c r="Q34" s="17" t="n"/>
      <c r="R34" s="17" t="n"/>
      <c r="S34" s="35" t="n"/>
      <c r="T34" s="17" t="n"/>
      <c r="U34" s="31" t="n"/>
      <c r="V34" s="35" t="n"/>
      <c r="W34" s="19">
        <f>IF(C34="","",DATEDIF(H34,DATE(PARAMETRES!$C$29,12,31),"y"))</f>
        <v/>
      </c>
      <c r="X34" s="17" t="inlineStr">
        <is>
          <t>Brut de base</t>
        </is>
      </c>
      <c r="Y34" s="23">
        <f>IF($C34="","",MAX(IF(X34="Brut de base",AA34,IF((AA34)&lt;=((ipr_t1_sup_mensuel/(IF(opt_cnss_deductible_ipr="Oui",1-t_cnss_pension_salarie,1)))*(1-t_cnss_pension_salarie)-(ipr_t1_sup_mensuel*ipr_taux1)),(AA34)/((1-t_cnss_pension_salarie)-(IF(opt_cnss_deductible_ipr="Oui",1-t_cnss_pension_salarie,1))*ipr_taux1),IF((AA34)&lt;=((ipr_t2_sup_mensuel/(IF(opt_cnss_deductible_ipr="Oui",1-t_cnss_pension_salarie,1)))*(1-t_cnss_pension_salarie)-((ipr_t1_sup_mensuel*ipr_taux1)+(ipr_t2_sup_mensuel-ipr_t1_sup_mensuel)*ipr_taux2)),((AA34)-ipr_t1_sup_mensuel*ipr_taux2+(ipr_t1_sup_mensuel*ipr_taux1))/((1-t_cnss_pension_salarie)-(IF(opt_cnss_deductible_ipr="Oui",1-t_cnss_pension_salarie,1))*ipr_taux2),IF((AA34)&lt;=((ipr_t3_sup_mensuel/(IF(opt_cnss_deductible_ipr="Oui",1-t_cnss_pension_salarie,1)))*(1-t_cnss_pension_salarie)-(((ipr_t1_sup_mensuel*ipr_taux1)+(ipr_t2_sup_mensuel-ipr_t1_sup_mensuel)*ipr_taux2)+(ipr_t3_sup_mensuel-ipr_t2_sup_mensuel)*ipr_taux3)),((AA34)-ipr_t2_sup_mensuel*ipr_taux3+((ipr_t1_sup_mensuel*ipr_taux1)+(ipr_t2_sup_mensuel-ipr_t1_sup_mensuel)*ipr_taux2))/((1-t_cnss_pension_salarie)-(IF(opt_cnss_deductible_ipr="Oui",1-t_cnss_pension_salarie,1))*ipr_taux3),((AA34)-ipr_t3_sup_mensuel*ipr_taux4+(((ipr_t1_sup_mensuel*ipr_taux1)+(ipr_t2_sup_mensuel-ipr_t1_sup_mensuel)*ipr_taux2)+(ipr_t3_sup_mensuel-ipr_t2_sup_mensuel)*ipr_taux3))/((1-t_cnss_pension_salarie)-(IF(opt_cnss_deductible_ipr="Oui",1-t_cnss_pension_salarie,1))*ipr_taux4))))),AJ34))</f>
        <v/>
      </c>
      <c r="Z34" s="17" t="inlineStr">
        <is>
          <t>CDF</t>
        </is>
      </c>
      <c r="AA34" s="23">
        <f>IF($C34="","",IF(Z34="USD",P34*opt_taux_change,P34))</f>
        <v/>
      </c>
      <c r="AB34" s="19">
        <f>IF($C34="","",IF(H34="","",DATEDIF(H34,DATE(PARAMETRES!$C$29,12,31),"m")))</f>
        <v/>
      </c>
      <c r="AC34" s="19">
        <f>IF($C34="","",IF(AB34="",0,ROUND(AB34*taux_acquisition_conge+FLOOR(AB34/60,1)*majoration_anciennete_conge,1)))</f>
        <v/>
      </c>
      <c r="AD34" s="19">
        <f>IF($C34="","",VARIABLES!AW31+VARIABLES!AW284+VARIABLES!AW537+VARIABLES!AW790+VARIABLES!AW1043+VARIABLES!AW1296+VARIABLES!AW1549+VARIABLES!AW1802+VARIABLES!AW2055+VARIABLES!AW2308+VARIABLES!AW2561+VARIABLES!AW2814)</f>
        <v/>
      </c>
      <c r="AE34" s="19">
        <f>IF($C34="","",AC34-AD34)</f>
        <v/>
      </c>
      <c r="AH34" s="17" t="inlineStr">
        <is>
          <t>Manœuvre — Ordinaire</t>
        </is>
      </c>
      <c r="AI34" s="33">
        <f>IF($C34="","",IFERROR(INDEX(grille_tension_valeur,MATCH(AH34,grille_tension_label,0)),""))</f>
        <v/>
      </c>
      <c r="AJ34" s="23">
        <f>IF($C34="","",IF(AI34="",0,ROUND(smig_journalier*AI34*jours_smig_legal,0)))</f>
        <v/>
      </c>
    </row>
    <row r="35" ht="15" customHeight="1" s="15">
      <c r="B35" s="19" t="n">
        <v>21</v>
      </c>
      <c r="C35" s="17" t="n"/>
      <c r="D35" s="35" t="n"/>
      <c r="E35" s="17" t="n"/>
      <c r="F35" s="31" t="n"/>
      <c r="G35" s="19">
        <f>IF(F35="","",DATEDIF(F35,DATE(PARAMETRES!$C$29,12,31),"y"))</f>
        <v/>
      </c>
      <c r="H35" s="31" t="n"/>
      <c r="I35" s="19">
        <f>IF(H35="","",DATEDIF(H35,DATE(PARAMETRES!$C$29,12,31),"y")&amp;" an(s) "&amp;DATEDIF(H35,DATE(PARAMETRES!$C$29,12,31),"ym")&amp;" mois")</f>
        <v/>
      </c>
      <c r="J35" s="35" t="n"/>
      <c r="K35" s="17" t="n"/>
      <c r="L35" s="17" t="n"/>
      <c r="M35" s="17" t="n"/>
      <c r="N35" s="17" t="n"/>
      <c r="O35" s="17" t="n"/>
      <c r="P35" s="21" t="n"/>
      <c r="Q35" s="17" t="n"/>
      <c r="R35" s="17" t="n"/>
      <c r="S35" s="35" t="n"/>
      <c r="T35" s="17" t="n"/>
      <c r="U35" s="31" t="n"/>
      <c r="V35" s="35" t="n"/>
      <c r="W35" s="19">
        <f>IF(C35="","",DATEDIF(H35,DATE(PARAMETRES!$C$29,12,31),"y"))</f>
        <v/>
      </c>
      <c r="X35" s="17" t="inlineStr">
        <is>
          <t>Brut de base</t>
        </is>
      </c>
      <c r="Y35" s="23">
        <f>IF($C35="","",MAX(IF(X35="Brut de base",AA35,IF((AA35)&lt;=((ipr_t1_sup_mensuel/(IF(opt_cnss_deductible_ipr="Oui",1-t_cnss_pension_salarie,1)))*(1-t_cnss_pension_salarie)-(ipr_t1_sup_mensuel*ipr_taux1)),(AA35)/((1-t_cnss_pension_salarie)-(IF(opt_cnss_deductible_ipr="Oui",1-t_cnss_pension_salarie,1))*ipr_taux1),IF((AA35)&lt;=((ipr_t2_sup_mensuel/(IF(opt_cnss_deductible_ipr="Oui",1-t_cnss_pension_salarie,1)))*(1-t_cnss_pension_salarie)-((ipr_t1_sup_mensuel*ipr_taux1)+(ipr_t2_sup_mensuel-ipr_t1_sup_mensuel)*ipr_taux2)),((AA35)-ipr_t1_sup_mensuel*ipr_taux2+(ipr_t1_sup_mensuel*ipr_taux1))/((1-t_cnss_pension_salarie)-(IF(opt_cnss_deductible_ipr="Oui",1-t_cnss_pension_salarie,1))*ipr_taux2),IF((AA35)&lt;=((ipr_t3_sup_mensuel/(IF(opt_cnss_deductible_ipr="Oui",1-t_cnss_pension_salarie,1)))*(1-t_cnss_pension_salarie)-(((ipr_t1_sup_mensuel*ipr_taux1)+(ipr_t2_sup_mensuel-ipr_t1_sup_mensuel)*ipr_taux2)+(ipr_t3_sup_mensuel-ipr_t2_sup_mensuel)*ipr_taux3)),((AA35)-ipr_t2_sup_mensuel*ipr_taux3+((ipr_t1_sup_mensuel*ipr_taux1)+(ipr_t2_sup_mensuel-ipr_t1_sup_mensuel)*ipr_taux2))/((1-t_cnss_pension_salarie)-(IF(opt_cnss_deductible_ipr="Oui",1-t_cnss_pension_salarie,1))*ipr_taux3),((AA35)-ipr_t3_sup_mensuel*ipr_taux4+(((ipr_t1_sup_mensuel*ipr_taux1)+(ipr_t2_sup_mensuel-ipr_t1_sup_mensuel)*ipr_taux2)+(ipr_t3_sup_mensuel-ipr_t2_sup_mensuel)*ipr_taux3))/((1-t_cnss_pension_salarie)-(IF(opt_cnss_deductible_ipr="Oui",1-t_cnss_pension_salarie,1))*ipr_taux4))))),AJ35))</f>
        <v/>
      </c>
      <c r="Z35" s="17" t="inlineStr">
        <is>
          <t>CDF</t>
        </is>
      </c>
      <c r="AA35" s="23">
        <f>IF($C35="","",IF(Z35="USD",P35*opt_taux_change,P35))</f>
        <v/>
      </c>
      <c r="AB35" s="19">
        <f>IF($C35="","",IF(H35="","",DATEDIF(H35,DATE(PARAMETRES!$C$29,12,31),"m")))</f>
        <v/>
      </c>
      <c r="AC35" s="19">
        <f>IF($C35="","",IF(AB35="",0,ROUND(AB35*taux_acquisition_conge+FLOOR(AB35/60,1)*majoration_anciennete_conge,1)))</f>
        <v/>
      </c>
      <c r="AD35" s="19">
        <f>IF($C35="","",VARIABLES!AW32+VARIABLES!AW285+VARIABLES!AW538+VARIABLES!AW791+VARIABLES!AW1044+VARIABLES!AW1297+VARIABLES!AW1550+VARIABLES!AW1803+VARIABLES!AW2056+VARIABLES!AW2309+VARIABLES!AW2562+VARIABLES!AW2815)</f>
        <v/>
      </c>
      <c r="AE35" s="19">
        <f>IF($C35="","",AC35-AD35)</f>
        <v/>
      </c>
      <c r="AH35" s="17" t="inlineStr">
        <is>
          <t>Manœuvre — Ordinaire</t>
        </is>
      </c>
      <c r="AI35" s="33">
        <f>IF($C35="","",IFERROR(INDEX(grille_tension_valeur,MATCH(AH35,grille_tension_label,0)),""))</f>
        <v/>
      </c>
      <c r="AJ35" s="23">
        <f>IF($C35="","",IF(AI35="",0,ROUND(smig_journalier*AI35*jours_smig_legal,0)))</f>
        <v/>
      </c>
    </row>
    <row r="36" ht="15" customHeight="1" s="15">
      <c r="B36" s="19" t="n">
        <v>22</v>
      </c>
      <c r="C36" s="17" t="n"/>
      <c r="D36" s="35" t="n"/>
      <c r="E36" s="17" t="n"/>
      <c r="F36" s="31" t="n"/>
      <c r="G36" s="19">
        <f>IF(F36="","",DATEDIF(F36,DATE(PARAMETRES!$C$29,12,31),"y"))</f>
        <v/>
      </c>
      <c r="H36" s="31" t="n"/>
      <c r="I36" s="19">
        <f>IF(H36="","",DATEDIF(H36,DATE(PARAMETRES!$C$29,12,31),"y")&amp;" an(s) "&amp;DATEDIF(H36,DATE(PARAMETRES!$C$29,12,31),"ym")&amp;" mois")</f>
        <v/>
      </c>
      <c r="J36" s="35" t="n"/>
      <c r="K36" s="17" t="n"/>
      <c r="L36" s="17" t="n"/>
      <c r="M36" s="17" t="n"/>
      <c r="N36" s="17" t="n"/>
      <c r="O36" s="17" t="n"/>
      <c r="P36" s="21" t="n"/>
      <c r="Q36" s="17" t="n"/>
      <c r="R36" s="17" t="n"/>
      <c r="S36" s="35" t="n"/>
      <c r="T36" s="17" t="n"/>
      <c r="U36" s="31" t="n"/>
      <c r="V36" s="35" t="n"/>
      <c r="W36" s="19">
        <f>IF(C36="","",DATEDIF(H36,DATE(PARAMETRES!$C$29,12,31),"y"))</f>
        <v/>
      </c>
      <c r="X36" s="17" t="inlineStr">
        <is>
          <t>Brut de base</t>
        </is>
      </c>
      <c r="Y36" s="23">
        <f>IF($C36="","",MAX(IF(X36="Brut de base",AA36,IF((AA36)&lt;=((ipr_t1_sup_mensuel/(IF(opt_cnss_deductible_ipr="Oui",1-t_cnss_pension_salarie,1)))*(1-t_cnss_pension_salarie)-(ipr_t1_sup_mensuel*ipr_taux1)),(AA36)/((1-t_cnss_pension_salarie)-(IF(opt_cnss_deductible_ipr="Oui",1-t_cnss_pension_salarie,1))*ipr_taux1),IF((AA36)&lt;=((ipr_t2_sup_mensuel/(IF(opt_cnss_deductible_ipr="Oui",1-t_cnss_pension_salarie,1)))*(1-t_cnss_pension_salarie)-((ipr_t1_sup_mensuel*ipr_taux1)+(ipr_t2_sup_mensuel-ipr_t1_sup_mensuel)*ipr_taux2)),((AA36)-ipr_t1_sup_mensuel*ipr_taux2+(ipr_t1_sup_mensuel*ipr_taux1))/((1-t_cnss_pension_salarie)-(IF(opt_cnss_deductible_ipr="Oui",1-t_cnss_pension_salarie,1))*ipr_taux2),IF((AA36)&lt;=((ipr_t3_sup_mensuel/(IF(opt_cnss_deductible_ipr="Oui",1-t_cnss_pension_salarie,1)))*(1-t_cnss_pension_salarie)-(((ipr_t1_sup_mensuel*ipr_taux1)+(ipr_t2_sup_mensuel-ipr_t1_sup_mensuel)*ipr_taux2)+(ipr_t3_sup_mensuel-ipr_t2_sup_mensuel)*ipr_taux3)),((AA36)-ipr_t2_sup_mensuel*ipr_taux3+((ipr_t1_sup_mensuel*ipr_taux1)+(ipr_t2_sup_mensuel-ipr_t1_sup_mensuel)*ipr_taux2))/((1-t_cnss_pension_salarie)-(IF(opt_cnss_deductible_ipr="Oui",1-t_cnss_pension_salarie,1))*ipr_taux3),((AA36)-ipr_t3_sup_mensuel*ipr_taux4+(((ipr_t1_sup_mensuel*ipr_taux1)+(ipr_t2_sup_mensuel-ipr_t1_sup_mensuel)*ipr_taux2)+(ipr_t3_sup_mensuel-ipr_t2_sup_mensuel)*ipr_taux3))/((1-t_cnss_pension_salarie)-(IF(opt_cnss_deductible_ipr="Oui",1-t_cnss_pension_salarie,1))*ipr_taux4))))),AJ36))</f>
        <v/>
      </c>
      <c r="Z36" s="17" t="inlineStr">
        <is>
          <t>CDF</t>
        </is>
      </c>
      <c r="AA36" s="23">
        <f>IF($C36="","",IF(Z36="USD",P36*opt_taux_change,P36))</f>
        <v/>
      </c>
      <c r="AB36" s="19">
        <f>IF($C36="","",IF(H36="","",DATEDIF(H36,DATE(PARAMETRES!$C$29,12,31),"m")))</f>
        <v/>
      </c>
      <c r="AC36" s="19">
        <f>IF($C36="","",IF(AB36="",0,ROUND(AB36*taux_acquisition_conge+FLOOR(AB36/60,1)*majoration_anciennete_conge,1)))</f>
        <v/>
      </c>
      <c r="AD36" s="19">
        <f>IF($C36="","",VARIABLES!AW33+VARIABLES!AW286+VARIABLES!AW539+VARIABLES!AW792+VARIABLES!AW1045+VARIABLES!AW1298+VARIABLES!AW1551+VARIABLES!AW1804+VARIABLES!AW2057+VARIABLES!AW2310+VARIABLES!AW2563+VARIABLES!AW2816)</f>
        <v/>
      </c>
      <c r="AE36" s="19">
        <f>IF($C36="","",AC36-AD36)</f>
        <v/>
      </c>
      <c r="AH36" s="17" t="inlineStr">
        <is>
          <t>Manœuvre — Ordinaire</t>
        </is>
      </c>
      <c r="AI36" s="33">
        <f>IF($C36="","",IFERROR(INDEX(grille_tension_valeur,MATCH(AH36,grille_tension_label,0)),""))</f>
        <v/>
      </c>
      <c r="AJ36" s="23">
        <f>IF($C36="","",IF(AI36="",0,ROUND(smig_journalier*AI36*jours_smig_legal,0)))</f>
        <v/>
      </c>
    </row>
    <row r="37" ht="15" customHeight="1" s="15">
      <c r="B37" s="19" t="n">
        <v>23</v>
      </c>
      <c r="C37" s="17" t="n"/>
      <c r="D37" s="35" t="n"/>
      <c r="E37" s="17" t="n"/>
      <c r="F37" s="31" t="n"/>
      <c r="G37" s="19">
        <f>IF(F37="","",DATEDIF(F37,DATE(PARAMETRES!$C$29,12,31),"y"))</f>
        <v/>
      </c>
      <c r="H37" s="31" t="n"/>
      <c r="I37" s="19">
        <f>IF(H37="","",DATEDIF(H37,DATE(PARAMETRES!$C$29,12,31),"y")&amp;" an(s) "&amp;DATEDIF(H37,DATE(PARAMETRES!$C$29,12,31),"ym")&amp;" mois")</f>
        <v/>
      </c>
      <c r="J37" s="35" t="n"/>
      <c r="K37" s="17" t="n"/>
      <c r="L37" s="17" t="n"/>
      <c r="M37" s="17" t="n"/>
      <c r="N37" s="17" t="n"/>
      <c r="O37" s="17" t="n"/>
      <c r="P37" s="21" t="n"/>
      <c r="Q37" s="17" t="n"/>
      <c r="R37" s="17" t="n"/>
      <c r="S37" s="35" t="n"/>
      <c r="T37" s="17" t="n"/>
      <c r="U37" s="31" t="n"/>
      <c r="V37" s="35" t="n"/>
      <c r="W37" s="19">
        <f>IF(C37="","",DATEDIF(H37,DATE(PARAMETRES!$C$29,12,31),"y"))</f>
        <v/>
      </c>
      <c r="X37" s="17" t="inlineStr">
        <is>
          <t>Brut de base</t>
        </is>
      </c>
      <c r="Y37" s="23">
        <f>IF($C37="","",MAX(IF(X37="Brut de base",AA37,IF((AA37)&lt;=((ipr_t1_sup_mensuel/(IF(opt_cnss_deductible_ipr="Oui",1-t_cnss_pension_salarie,1)))*(1-t_cnss_pension_salarie)-(ipr_t1_sup_mensuel*ipr_taux1)),(AA37)/((1-t_cnss_pension_salarie)-(IF(opt_cnss_deductible_ipr="Oui",1-t_cnss_pension_salarie,1))*ipr_taux1),IF((AA37)&lt;=((ipr_t2_sup_mensuel/(IF(opt_cnss_deductible_ipr="Oui",1-t_cnss_pension_salarie,1)))*(1-t_cnss_pension_salarie)-((ipr_t1_sup_mensuel*ipr_taux1)+(ipr_t2_sup_mensuel-ipr_t1_sup_mensuel)*ipr_taux2)),((AA37)-ipr_t1_sup_mensuel*ipr_taux2+(ipr_t1_sup_mensuel*ipr_taux1))/((1-t_cnss_pension_salarie)-(IF(opt_cnss_deductible_ipr="Oui",1-t_cnss_pension_salarie,1))*ipr_taux2),IF((AA37)&lt;=((ipr_t3_sup_mensuel/(IF(opt_cnss_deductible_ipr="Oui",1-t_cnss_pension_salarie,1)))*(1-t_cnss_pension_salarie)-(((ipr_t1_sup_mensuel*ipr_taux1)+(ipr_t2_sup_mensuel-ipr_t1_sup_mensuel)*ipr_taux2)+(ipr_t3_sup_mensuel-ipr_t2_sup_mensuel)*ipr_taux3)),((AA37)-ipr_t2_sup_mensuel*ipr_taux3+((ipr_t1_sup_mensuel*ipr_taux1)+(ipr_t2_sup_mensuel-ipr_t1_sup_mensuel)*ipr_taux2))/((1-t_cnss_pension_salarie)-(IF(opt_cnss_deductible_ipr="Oui",1-t_cnss_pension_salarie,1))*ipr_taux3),((AA37)-ipr_t3_sup_mensuel*ipr_taux4+(((ipr_t1_sup_mensuel*ipr_taux1)+(ipr_t2_sup_mensuel-ipr_t1_sup_mensuel)*ipr_taux2)+(ipr_t3_sup_mensuel-ipr_t2_sup_mensuel)*ipr_taux3))/((1-t_cnss_pension_salarie)-(IF(opt_cnss_deductible_ipr="Oui",1-t_cnss_pension_salarie,1))*ipr_taux4))))),AJ37))</f>
        <v/>
      </c>
      <c r="Z37" s="17" t="inlineStr">
        <is>
          <t>CDF</t>
        </is>
      </c>
      <c r="AA37" s="23">
        <f>IF($C37="","",IF(Z37="USD",P37*opt_taux_change,P37))</f>
        <v/>
      </c>
      <c r="AB37" s="19">
        <f>IF($C37="","",IF(H37="","",DATEDIF(H37,DATE(PARAMETRES!$C$29,12,31),"m")))</f>
        <v/>
      </c>
      <c r="AC37" s="19">
        <f>IF($C37="","",IF(AB37="",0,ROUND(AB37*taux_acquisition_conge+FLOOR(AB37/60,1)*majoration_anciennete_conge,1)))</f>
        <v/>
      </c>
      <c r="AD37" s="19">
        <f>IF($C37="","",VARIABLES!AW34+VARIABLES!AW287+VARIABLES!AW540+VARIABLES!AW793+VARIABLES!AW1046+VARIABLES!AW1299+VARIABLES!AW1552+VARIABLES!AW1805+VARIABLES!AW2058+VARIABLES!AW2311+VARIABLES!AW2564+VARIABLES!AW2817)</f>
        <v/>
      </c>
      <c r="AE37" s="19">
        <f>IF($C37="","",AC37-AD37)</f>
        <v/>
      </c>
      <c r="AH37" s="17" t="inlineStr">
        <is>
          <t>Manœuvre — Ordinaire</t>
        </is>
      </c>
      <c r="AI37" s="33">
        <f>IF($C37="","",IFERROR(INDEX(grille_tension_valeur,MATCH(AH37,grille_tension_label,0)),""))</f>
        <v/>
      </c>
      <c r="AJ37" s="23">
        <f>IF($C37="","",IF(AI37="",0,ROUND(smig_journalier*AI37*jours_smig_legal,0)))</f>
        <v/>
      </c>
    </row>
    <row r="38" ht="15" customHeight="1" s="15">
      <c r="B38" s="19" t="n">
        <v>24</v>
      </c>
      <c r="C38" s="17" t="n"/>
      <c r="D38" s="35" t="n"/>
      <c r="E38" s="17" t="n"/>
      <c r="F38" s="31" t="n"/>
      <c r="G38" s="19">
        <f>IF(F38="","",DATEDIF(F38,DATE(PARAMETRES!$C$29,12,31),"y"))</f>
        <v/>
      </c>
      <c r="H38" s="31" t="n"/>
      <c r="I38" s="19">
        <f>IF(H38="","",DATEDIF(H38,DATE(PARAMETRES!$C$29,12,31),"y")&amp;" an(s) "&amp;DATEDIF(H38,DATE(PARAMETRES!$C$29,12,31),"ym")&amp;" mois")</f>
        <v/>
      </c>
      <c r="J38" s="35" t="n"/>
      <c r="K38" s="17" t="n"/>
      <c r="L38" s="17" t="n"/>
      <c r="M38" s="17" t="n"/>
      <c r="N38" s="17" t="n"/>
      <c r="O38" s="17" t="n"/>
      <c r="P38" s="21" t="n"/>
      <c r="Q38" s="17" t="n"/>
      <c r="R38" s="17" t="n"/>
      <c r="S38" s="35" t="n"/>
      <c r="T38" s="17" t="n"/>
      <c r="U38" s="31" t="n"/>
      <c r="V38" s="35" t="n"/>
      <c r="W38" s="19">
        <f>IF(C38="","",DATEDIF(H38,DATE(PARAMETRES!$C$29,12,31),"y"))</f>
        <v/>
      </c>
      <c r="X38" s="17" t="inlineStr">
        <is>
          <t>Brut de base</t>
        </is>
      </c>
      <c r="Y38" s="23">
        <f>IF($C38="","",MAX(IF(X38="Brut de base",AA38,IF((AA38)&lt;=((ipr_t1_sup_mensuel/(IF(opt_cnss_deductible_ipr="Oui",1-t_cnss_pension_salarie,1)))*(1-t_cnss_pension_salarie)-(ipr_t1_sup_mensuel*ipr_taux1)),(AA38)/((1-t_cnss_pension_salarie)-(IF(opt_cnss_deductible_ipr="Oui",1-t_cnss_pension_salarie,1))*ipr_taux1),IF((AA38)&lt;=((ipr_t2_sup_mensuel/(IF(opt_cnss_deductible_ipr="Oui",1-t_cnss_pension_salarie,1)))*(1-t_cnss_pension_salarie)-((ipr_t1_sup_mensuel*ipr_taux1)+(ipr_t2_sup_mensuel-ipr_t1_sup_mensuel)*ipr_taux2)),((AA38)-ipr_t1_sup_mensuel*ipr_taux2+(ipr_t1_sup_mensuel*ipr_taux1))/((1-t_cnss_pension_salarie)-(IF(opt_cnss_deductible_ipr="Oui",1-t_cnss_pension_salarie,1))*ipr_taux2),IF((AA38)&lt;=((ipr_t3_sup_mensuel/(IF(opt_cnss_deductible_ipr="Oui",1-t_cnss_pension_salarie,1)))*(1-t_cnss_pension_salarie)-(((ipr_t1_sup_mensuel*ipr_taux1)+(ipr_t2_sup_mensuel-ipr_t1_sup_mensuel)*ipr_taux2)+(ipr_t3_sup_mensuel-ipr_t2_sup_mensuel)*ipr_taux3)),((AA38)-ipr_t2_sup_mensuel*ipr_taux3+((ipr_t1_sup_mensuel*ipr_taux1)+(ipr_t2_sup_mensuel-ipr_t1_sup_mensuel)*ipr_taux2))/((1-t_cnss_pension_salarie)-(IF(opt_cnss_deductible_ipr="Oui",1-t_cnss_pension_salarie,1))*ipr_taux3),((AA38)-ipr_t3_sup_mensuel*ipr_taux4+(((ipr_t1_sup_mensuel*ipr_taux1)+(ipr_t2_sup_mensuel-ipr_t1_sup_mensuel)*ipr_taux2)+(ipr_t3_sup_mensuel-ipr_t2_sup_mensuel)*ipr_taux3))/((1-t_cnss_pension_salarie)-(IF(opt_cnss_deductible_ipr="Oui",1-t_cnss_pension_salarie,1))*ipr_taux4))))),AJ38))</f>
        <v/>
      </c>
      <c r="Z38" s="17" t="inlineStr">
        <is>
          <t>CDF</t>
        </is>
      </c>
      <c r="AA38" s="23">
        <f>IF($C38="","",IF(Z38="USD",P38*opt_taux_change,P38))</f>
        <v/>
      </c>
      <c r="AB38" s="19">
        <f>IF($C38="","",IF(H38="","",DATEDIF(H38,DATE(PARAMETRES!$C$29,12,31),"m")))</f>
        <v/>
      </c>
      <c r="AC38" s="19">
        <f>IF($C38="","",IF(AB38="",0,ROUND(AB38*taux_acquisition_conge+FLOOR(AB38/60,1)*majoration_anciennete_conge,1)))</f>
        <v/>
      </c>
      <c r="AD38" s="19">
        <f>IF($C38="","",VARIABLES!AW35+VARIABLES!AW288+VARIABLES!AW541+VARIABLES!AW794+VARIABLES!AW1047+VARIABLES!AW1300+VARIABLES!AW1553+VARIABLES!AW1806+VARIABLES!AW2059+VARIABLES!AW2312+VARIABLES!AW2565+VARIABLES!AW2818)</f>
        <v/>
      </c>
      <c r="AE38" s="19">
        <f>IF($C38="","",AC38-AD38)</f>
        <v/>
      </c>
      <c r="AH38" s="17" t="inlineStr">
        <is>
          <t>Manœuvre — Ordinaire</t>
        </is>
      </c>
      <c r="AI38" s="33">
        <f>IF($C38="","",IFERROR(INDEX(grille_tension_valeur,MATCH(AH38,grille_tension_label,0)),""))</f>
        <v/>
      </c>
      <c r="AJ38" s="23">
        <f>IF($C38="","",IF(AI38="",0,ROUND(smig_journalier*AI38*jours_smig_legal,0)))</f>
        <v/>
      </c>
    </row>
    <row r="39" ht="15" customHeight="1" s="15">
      <c r="B39" s="19" t="n">
        <v>25</v>
      </c>
      <c r="C39" s="17" t="n"/>
      <c r="D39" s="35" t="n"/>
      <c r="E39" s="17" t="n"/>
      <c r="F39" s="31" t="n"/>
      <c r="G39" s="19">
        <f>IF(F39="","",DATEDIF(F39,DATE(PARAMETRES!$C$29,12,31),"y"))</f>
        <v/>
      </c>
      <c r="H39" s="31" t="n"/>
      <c r="I39" s="19">
        <f>IF(H39="","",DATEDIF(H39,DATE(PARAMETRES!$C$29,12,31),"y")&amp;" an(s) "&amp;DATEDIF(H39,DATE(PARAMETRES!$C$29,12,31),"ym")&amp;" mois")</f>
        <v/>
      </c>
      <c r="J39" s="35" t="n"/>
      <c r="K39" s="17" t="n"/>
      <c r="L39" s="17" t="n"/>
      <c r="M39" s="17" t="n"/>
      <c r="N39" s="17" t="n"/>
      <c r="O39" s="17" t="n"/>
      <c r="P39" s="21" t="n"/>
      <c r="Q39" s="17" t="n"/>
      <c r="R39" s="17" t="n"/>
      <c r="S39" s="35" t="n"/>
      <c r="T39" s="17" t="n"/>
      <c r="U39" s="31" t="n"/>
      <c r="V39" s="35" t="n"/>
      <c r="W39" s="19">
        <f>IF(C39="","",DATEDIF(H39,DATE(PARAMETRES!$C$29,12,31),"y"))</f>
        <v/>
      </c>
      <c r="X39" s="17" t="inlineStr">
        <is>
          <t>Brut de base</t>
        </is>
      </c>
      <c r="Y39" s="23">
        <f>IF($C39="","",MAX(IF(X39="Brut de base",AA39,IF((AA39)&lt;=((ipr_t1_sup_mensuel/(IF(opt_cnss_deductible_ipr="Oui",1-t_cnss_pension_salarie,1)))*(1-t_cnss_pension_salarie)-(ipr_t1_sup_mensuel*ipr_taux1)),(AA39)/((1-t_cnss_pension_salarie)-(IF(opt_cnss_deductible_ipr="Oui",1-t_cnss_pension_salarie,1))*ipr_taux1),IF((AA39)&lt;=((ipr_t2_sup_mensuel/(IF(opt_cnss_deductible_ipr="Oui",1-t_cnss_pension_salarie,1)))*(1-t_cnss_pension_salarie)-((ipr_t1_sup_mensuel*ipr_taux1)+(ipr_t2_sup_mensuel-ipr_t1_sup_mensuel)*ipr_taux2)),((AA39)-ipr_t1_sup_mensuel*ipr_taux2+(ipr_t1_sup_mensuel*ipr_taux1))/((1-t_cnss_pension_salarie)-(IF(opt_cnss_deductible_ipr="Oui",1-t_cnss_pension_salarie,1))*ipr_taux2),IF((AA39)&lt;=((ipr_t3_sup_mensuel/(IF(opt_cnss_deductible_ipr="Oui",1-t_cnss_pension_salarie,1)))*(1-t_cnss_pension_salarie)-(((ipr_t1_sup_mensuel*ipr_taux1)+(ipr_t2_sup_mensuel-ipr_t1_sup_mensuel)*ipr_taux2)+(ipr_t3_sup_mensuel-ipr_t2_sup_mensuel)*ipr_taux3)),((AA39)-ipr_t2_sup_mensuel*ipr_taux3+((ipr_t1_sup_mensuel*ipr_taux1)+(ipr_t2_sup_mensuel-ipr_t1_sup_mensuel)*ipr_taux2))/((1-t_cnss_pension_salarie)-(IF(opt_cnss_deductible_ipr="Oui",1-t_cnss_pension_salarie,1))*ipr_taux3),((AA39)-ipr_t3_sup_mensuel*ipr_taux4+(((ipr_t1_sup_mensuel*ipr_taux1)+(ipr_t2_sup_mensuel-ipr_t1_sup_mensuel)*ipr_taux2)+(ipr_t3_sup_mensuel-ipr_t2_sup_mensuel)*ipr_taux3))/((1-t_cnss_pension_salarie)-(IF(opt_cnss_deductible_ipr="Oui",1-t_cnss_pension_salarie,1))*ipr_taux4))))),AJ39))</f>
        <v/>
      </c>
      <c r="Z39" s="17" t="inlineStr">
        <is>
          <t>CDF</t>
        </is>
      </c>
      <c r="AA39" s="23">
        <f>IF($C39="","",IF(Z39="USD",P39*opt_taux_change,P39))</f>
        <v/>
      </c>
      <c r="AB39" s="19">
        <f>IF($C39="","",IF(H39="","",DATEDIF(H39,DATE(PARAMETRES!$C$29,12,31),"m")))</f>
        <v/>
      </c>
      <c r="AC39" s="19">
        <f>IF($C39="","",IF(AB39="",0,ROUND(AB39*taux_acquisition_conge+FLOOR(AB39/60,1)*majoration_anciennete_conge,1)))</f>
        <v/>
      </c>
      <c r="AD39" s="19">
        <f>IF($C39="","",VARIABLES!AW36+VARIABLES!AW289+VARIABLES!AW542+VARIABLES!AW795+VARIABLES!AW1048+VARIABLES!AW1301+VARIABLES!AW1554+VARIABLES!AW1807+VARIABLES!AW2060+VARIABLES!AW2313+VARIABLES!AW2566+VARIABLES!AW2819)</f>
        <v/>
      </c>
      <c r="AE39" s="19">
        <f>IF($C39="","",AC39-AD39)</f>
        <v/>
      </c>
      <c r="AH39" s="17" t="inlineStr">
        <is>
          <t>Manœuvre — Ordinaire</t>
        </is>
      </c>
      <c r="AI39" s="33">
        <f>IF($C39="","",IFERROR(INDEX(grille_tension_valeur,MATCH(AH39,grille_tension_label,0)),""))</f>
        <v/>
      </c>
      <c r="AJ39" s="23">
        <f>IF($C39="","",IF(AI39="",0,ROUND(smig_journalier*AI39*jours_smig_legal,0)))</f>
        <v/>
      </c>
    </row>
    <row r="40" ht="15" customHeight="1" s="15">
      <c r="B40" s="19" t="n">
        <v>26</v>
      </c>
      <c r="C40" s="17" t="n"/>
      <c r="D40" s="35" t="n"/>
      <c r="E40" s="17" t="n"/>
      <c r="F40" s="31" t="n"/>
      <c r="G40" s="19">
        <f>IF(F40="","",DATEDIF(F40,DATE(PARAMETRES!$C$29,12,31),"y"))</f>
        <v/>
      </c>
      <c r="H40" s="31" t="n"/>
      <c r="I40" s="19">
        <f>IF(H40="","",DATEDIF(H40,DATE(PARAMETRES!$C$29,12,31),"y")&amp;" an(s) "&amp;DATEDIF(H40,DATE(PARAMETRES!$C$29,12,31),"ym")&amp;" mois")</f>
        <v/>
      </c>
      <c r="J40" s="35" t="n"/>
      <c r="K40" s="17" t="n"/>
      <c r="L40" s="17" t="n"/>
      <c r="M40" s="17" t="n"/>
      <c r="N40" s="17" t="n"/>
      <c r="O40" s="17" t="n"/>
      <c r="P40" s="21" t="n"/>
      <c r="Q40" s="17" t="n"/>
      <c r="R40" s="17" t="n"/>
      <c r="S40" s="35" t="n"/>
      <c r="T40" s="17" t="n"/>
      <c r="U40" s="31" t="n"/>
      <c r="V40" s="35" t="n"/>
      <c r="W40" s="19">
        <f>IF(C40="","",DATEDIF(H40,DATE(PARAMETRES!$C$29,12,31),"y"))</f>
        <v/>
      </c>
      <c r="X40" s="17" t="inlineStr">
        <is>
          <t>Brut de base</t>
        </is>
      </c>
      <c r="Y40" s="23">
        <f>IF($C40="","",MAX(IF(X40="Brut de base",AA40,IF((AA40)&lt;=((ipr_t1_sup_mensuel/(IF(opt_cnss_deductible_ipr="Oui",1-t_cnss_pension_salarie,1)))*(1-t_cnss_pension_salarie)-(ipr_t1_sup_mensuel*ipr_taux1)),(AA40)/((1-t_cnss_pension_salarie)-(IF(opt_cnss_deductible_ipr="Oui",1-t_cnss_pension_salarie,1))*ipr_taux1),IF((AA40)&lt;=((ipr_t2_sup_mensuel/(IF(opt_cnss_deductible_ipr="Oui",1-t_cnss_pension_salarie,1)))*(1-t_cnss_pension_salarie)-((ipr_t1_sup_mensuel*ipr_taux1)+(ipr_t2_sup_mensuel-ipr_t1_sup_mensuel)*ipr_taux2)),((AA40)-ipr_t1_sup_mensuel*ipr_taux2+(ipr_t1_sup_mensuel*ipr_taux1))/((1-t_cnss_pension_salarie)-(IF(opt_cnss_deductible_ipr="Oui",1-t_cnss_pension_salarie,1))*ipr_taux2),IF((AA40)&lt;=((ipr_t3_sup_mensuel/(IF(opt_cnss_deductible_ipr="Oui",1-t_cnss_pension_salarie,1)))*(1-t_cnss_pension_salarie)-(((ipr_t1_sup_mensuel*ipr_taux1)+(ipr_t2_sup_mensuel-ipr_t1_sup_mensuel)*ipr_taux2)+(ipr_t3_sup_mensuel-ipr_t2_sup_mensuel)*ipr_taux3)),((AA40)-ipr_t2_sup_mensuel*ipr_taux3+((ipr_t1_sup_mensuel*ipr_taux1)+(ipr_t2_sup_mensuel-ipr_t1_sup_mensuel)*ipr_taux2))/((1-t_cnss_pension_salarie)-(IF(opt_cnss_deductible_ipr="Oui",1-t_cnss_pension_salarie,1))*ipr_taux3),((AA40)-ipr_t3_sup_mensuel*ipr_taux4+(((ipr_t1_sup_mensuel*ipr_taux1)+(ipr_t2_sup_mensuel-ipr_t1_sup_mensuel)*ipr_taux2)+(ipr_t3_sup_mensuel-ipr_t2_sup_mensuel)*ipr_taux3))/((1-t_cnss_pension_salarie)-(IF(opt_cnss_deductible_ipr="Oui",1-t_cnss_pension_salarie,1))*ipr_taux4))))),AJ40))</f>
        <v/>
      </c>
      <c r="Z40" s="17" t="inlineStr">
        <is>
          <t>CDF</t>
        </is>
      </c>
      <c r="AA40" s="23">
        <f>IF($C40="","",IF(Z40="USD",P40*opt_taux_change,P40))</f>
        <v/>
      </c>
      <c r="AB40" s="19">
        <f>IF($C40="","",IF(H40="","",DATEDIF(H40,DATE(PARAMETRES!$C$29,12,31),"m")))</f>
        <v/>
      </c>
      <c r="AC40" s="19">
        <f>IF($C40="","",IF(AB40="",0,ROUND(AB40*taux_acquisition_conge+FLOOR(AB40/60,1)*majoration_anciennete_conge,1)))</f>
        <v/>
      </c>
      <c r="AD40" s="19">
        <f>IF($C40="","",VARIABLES!AW37+VARIABLES!AW290+VARIABLES!AW543+VARIABLES!AW796+VARIABLES!AW1049+VARIABLES!AW1302+VARIABLES!AW1555+VARIABLES!AW1808+VARIABLES!AW2061+VARIABLES!AW2314+VARIABLES!AW2567+VARIABLES!AW2820)</f>
        <v/>
      </c>
      <c r="AE40" s="19">
        <f>IF($C40="","",AC40-AD40)</f>
        <v/>
      </c>
      <c r="AH40" s="17" t="inlineStr">
        <is>
          <t>Manœuvre — Ordinaire</t>
        </is>
      </c>
      <c r="AI40" s="33">
        <f>IF($C40="","",IFERROR(INDEX(grille_tension_valeur,MATCH(AH40,grille_tension_label,0)),""))</f>
        <v/>
      </c>
      <c r="AJ40" s="23">
        <f>IF($C40="","",IF(AI40="",0,ROUND(smig_journalier*AI40*jours_smig_legal,0)))</f>
        <v/>
      </c>
    </row>
    <row r="41" ht="15" customHeight="1" s="15">
      <c r="B41" s="19" t="n">
        <v>27</v>
      </c>
      <c r="C41" s="17" t="n"/>
      <c r="D41" s="35" t="n"/>
      <c r="E41" s="17" t="n"/>
      <c r="F41" s="31" t="n"/>
      <c r="G41" s="19">
        <f>IF(F41="","",DATEDIF(F41,DATE(PARAMETRES!$C$29,12,31),"y"))</f>
        <v/>
      </c>
      <c r="H41" s="31" t="n"/>
      <c r="I41" s="19">
        <f>IF(H41="","",DATEDIF(H41,DATE(PARAMETRES!$C$29,12,31),"y")&amp;" an(s) "&amp;DATEDIF(H41,DATE(PARAMETRES!$C$29,12,31),"ym")&amp;" mois")</f>
        <v/>
      </c>
      <c r="J41" s="35" t="n"/>
      <c r="K41" s="17" t="n"/>
      <c r="L41" s="17" t="n"/>
      <c r="M41" s="17" t="n"/>
      <c r="N41" s="17" t="n"/>
      <c r="O41" s="17" t="n"/>
      <c r="P41" s="21" t="n"/>
      <c r="Q41" s="17" t="n"/>
      <c r="R41" s="17" t="n"/>
      <c r="S41" s="35" t="n"/>
      <c r="T41" s="17" t="n"/>
      <c r="U41" s="31" t="n"/>
      <c r="V41" s="35" t="n"/>
      <c r="W41" s="19">
        <f>IF(C41="","",DATEDIF(H41,DATE(PARAMETRES!$C$29,12,31),"y"))</f>
        <v/>
      </c>
      <c r="X41" s="17" t="inlineStr">
        <is>
          <t>Brut de base</t>
        </is>
      </c>
      <c r="Y41" s="23">
        <f>IF($C41="","",MAX(IF(X41="Brut de base",AA41,IF((AA41)&lt;=((ipr_t1_sup_mensuel/(IF(opt_cnss_deductible_ipr="Oui",1-t_cnss_pension_salarie,1)))*(1-t_cnss_pension_salarie)-(ipr_t1_sup_mensuel*ipr_taux1)),(AA41)/((1-t_cnss_pension_salarie)-(IF(opt_cnss_deductible_ipr="Oui",1-t_cnss_pension_salarie,1))*ipr_taux1),IF((AA41)&lt;=((ipr_t2_sup_mensuel/(IF(opt_cnss_deductible_ipr="Oui",1-t_cnss_pension_salarie,1)))*(1-t_cnss_pension_salarie)-((ipr_t1_sup_mensuel*ipr_taux1)+(ipr_t2_sup_mensuel-ipr_t1_sup_mensuel)*ipr_taux2)),((AA41)-ipr_t1_sup_mensuel*ipr_taux2+(ipr_t1_sup_mensuel*ipr_taux1))/((1-t_cnss_pension_salarie)-(IF(opt_cnss_deductible_ipr="Oui",1-t_cnss_pension_salarie,1))*ipr_taux2),IF((AA41)&lt;=((ipr_t3_sup_mensuel/(IF(opt_cnss_deductible_ipr="Oui",1-t_cnss_pension_salarie,1)))*(1-t_cnss_pension_salarie)-(((ipr_t1_sup_mensuel*ipr_taux1)+(ipr_t2_sup_mensuel-ipr_t1_sup_mensuel)*ipr_taux2)+(ipr_t3_sup_mensuel-ipr_t2_sup_mensuel)*ipr_taux3)),((AA41)-ipr_t2_sup_mensuel*ipr_taux3+((ipr_t1_sup_mensuel*ipr_taux1)+(ipr_t2_sup_mensuel-ipr_t1_sup_mensuel)*ipr_taux2))/((1-t_cnss_pension_salarie)-(IF(opt_cnss_deductible_ipr="Oui",1-t_cnss_pension_salarie,1))*ipr_taux3),((AA41)-ipr_t3_sup_mensuel*ipr_taux4+(((ipr_t1_sup_mensuel*ipr_taux1)+(ipr_t2_sup_mensuel-ipr_t1_sup_mensuel)*ipr_taux2)+(ipr_t3_sup_mensuel-ipr_t2_sup_mensuel)*ipr_taux3))/((1-t_cnss_pension_salarie)-(IF(opt_cnss_deductible_ipr="Oui",1-t_cnss_pension_salarie,1))*ipr_taux4))))),AJ41))</f>
        <v/>
      </c>
      <c r="Z41" s="17" t="inlineStr">
        <is>
          <t>CDF</t>
        </is>
      </c>
      <c r="AA41" s="23">
        <f>IF($C41="","",IF(Z41="USD",P41*opt_taux_change,P41))</f>
        <v/>
      </c>
      <c r="AB41" s="19">
        <f>IF($C41="","",IF(H41="","",DATEDIF(H41,DATE(PARAMETRES!$C$29,12,31),"m")))</f>
        <v/>
      </c>
      <c r="AC41" s="19">
        <f>IF($C41="","",IF(AB41="",0,ROUND(AB41*taux_acquisition_conge+FLOOR(AB41/60,1)*majoration_anciennete_conge,1)))</f>
        <v/>
      </c>
      <c r="AD41" s="19">
        <f>IF($C41="","",VARIABLES!AW38+VARIABLES!AW291+VARIABLES!AW544+VARIABLES!AW797+VARIABLES!AW1050+VARIABLES!AW1303+VARIABLES!AW1556+VARIABLES!AW1809+VARIABLES!AW2062+VARIABLES!AW2315+VARIABLES!AW2568+VARIABLES!AW2821)</f>
        <v/>
      </c>
      <c r="AE41" s="19">
        <f>IF($C41="","",AC41-AD41)</f>
        <v/>
      </c>
      <c r="AH41" s="17" t="inlineStr">
        <is>
          <t>Manœuvre — Ordinaire</t>
        </is>
      </c>
      <c r="AI41" s="33">
        <f>IF($C41="","",IFERROR(INDEX(grille_tension_valeur,MATCH(AH41,grille_tension_label,0)),""))</f>
        <v/>
      </c>
      <c r="AJ41" s="23">
        <f>IF($C41="","",IF(AI41="",0,ROUND(smig_journalier*AI41*jours_smig_legal,0)))</f>
        <v/>
      </c>
    </row>
    <row r="42" ht="15" customHeight="1" s="15">
      <c r="B42" s="19" t="n">
        <v>28</v>
      </c>
      <c r="C42" s="17" t="n"/>
      <c r="D42" s="35" t="n"/>
      <c r="E42" s="17" t="n"/>
      <c r="F42" s="31" t="n"/>
      <c r="G42" s="19">
        <f>IF(F42="","",DATEDIF(F42,DATE(PARAMETRES!$C$29,12,31),"y"))</f>
        <v/>
      </c>
      <c r="H42" s="31" t="n"/>
      <c r="I42" s="19">
        <f>IF(H42="","",DATEDIF(H42,DATE(PARAMETRES!$C$29,12,31),"y")&amp;" an(s) "&amp;DATEDIF(H42,DATE(PARAMETRES!$C$29,12,31),"ym")&amp;" mois")</f>
        <v/>
      </c>
      <c r="J42" s="35" t="n"/>
      <c r="K42" s="17" t="n"/>
      <c r="L42" s="17" t="n"/>
      <c r="M42" s="17" t="n"/>
      <c r="N42" s="17" t="n"/>
      <c r="O42" s="17" t="n"/>
      <c r="P42" s="21" t="n"/>
      <c r="Q42" s="17" t="n"/>
      <c r="R42" s="17" t="n"/>
      <c r="S42" s="35" t="n"/>
      <c r="T42" s="17" t="n"/>
      <c r="U42" s="31" t="n"/>
      <c r="V42" s="35" t="n"/>
      <c r="W42" s="19">
        <f>IF(C42="","",DATEDIF(H42,DATE(PARAMETRES!$C$29,12,31),"y"))</f>
        <v/>
      </c>
      <c r="X42" s="17" t="inlineStr">
        <is>
          <t>Brut de base</t>
        </is>
      </c>
      <c r="Y42" s="23">
        <f>IF($C42="","",MAX(IF(X42="Brut de base",AA42,IF((AA42)&lt;=((ipr_t1_sup_mensuel/(IF(opt_cnss_deductible_ipr="Oui",1-t_cnss_pension_salarie,1)))*(1-t_cnss_pension_salarie)-(ipr_t1_sup_mensuel*ipr_taux1)),(AA42)/((1-t_cnss_pension_salarie)-(IF(opt_cnss_deductible_ipr="Oui",1-t_cnss_pension_salarie,1))*ipr_taux1),IF((AA42)&lt;=((ipr_t2_sup_mensuel/(IF(opt_cnss_deductible_ipr="Oui",1-t_cnss_pension_salarie,1)))*(1-t_cnss_pension_salarie)-((ipr_t1_sup_mensuel*ipr_taux1)+(ipr_t2_sup_mensuel-ipr_t1_sup_mensuel)*ipr_taux2)),((AA42)-ipr_t1_sup_mensuel*ipr_taux2+(ipr_t1_sup_mensuel*ipr_taux1))/((1-t_cnss_pension_salarie)-(IF(opt_cnss_deductible_ipr="Oui",1-t_cnss_pension_salarie,1))*ipr_taux2),IF((AA42)&lt;=((ipr_t3_sup_mensuel/(IF(opt_cnss_deductible_ipr="Oui",1-t_cnss_pension_salarie,1)))*(1-t_cnss_pension_salarie)-(((ipr_t1_sup_mensuel*ipr_taux1)+(ipr_t2_sup_mensuel-ipr_t1_sup_mensuel)*ipr_taux2)+(ipr_t3_sup_mensuel-ipr_t2_sup_mensuel)*ipr_taux3)),((AA42)-ipr_t2_sup_mensuel*ipr_taux3+((ipr_t1_sup_mensuel*ipr_taux1)+(ipr_t2_sup_mensuel-ipr_t1_sup_mensuel)*ipr_taux2))/((1-t_cnss_pension_salarie)-(IF(opt_cnss_deductible_ipr="Oui",1-t_cnss_pension_salarie,1))*ipr_taux3),((AA42)-ipr_t3_sup_mensuel*ipr_taux4+(((ipr_t1_sup_mensuel*ipr_taux1)+(ipr_t2_sup_mensuel-ipr_t1_sup_mensuel)*ipr_taux2)+(ipr_t3_sup_mensuel-ipr_t2_sup_mensuel)*ipr_taux3))/((1-t_cnss_pension_salarie)-(IF(opt_cnss_deductible_ipr="Oui",1-t_cnss_pension_salarie,1))*ipr_taux4))))),AJ42))</f>
        <v/>
      </c>
      <c r="Z42" s="17" t="inlineStr">
        <is>
          <t>CDF</t>
        </is>
      </c>
      <c r="AA42" s="23">
        <f>IF($C42="","",IF(Z42="USD",P42*opt_taux_change,P42))</f>
        <v/>
      </c>
      <c r="AB42" s="19">
        <f>IF($C42="","",IF(H42="","",DATEDIF(H42,DATE(PARAMETRES!$C$29,12,31),"m")))</f>
        <v/>
      </c>
      <c r="AC42" s="19">
        <f>IF($C42="","",IF(AB42="",0,ROUND(AB42*taux_acquisition_conge+FLOOR(AB42/60,1)*majoration_anciennete_conge,1)))</f>
        <v/>
      </c>
      <c r="AD42" s="19">
        <f>IF($C42="","",VARIABLES!AW39+VARIABLES!AW292+VARIABLES!AW545+VARIABLES!AW798+VARIABLES!AW1051+VARIABLES!AW1304+VARIABLES!AW1557+VARIABLES!AW1810+VARIABLES!AW2063+VARIABLES!AW2316+VARIABLES!AW2569+VARIABLES!AW2822)</f>
        <v/>
      </c>
      <c r="AE42" s="19">
        <f>IF($C42="","",AC42-AD42)</f>
        <v/>
      </c>
      <c r="AH42" s="17" t="inlineStr">
        <is>
          <t>Manœuvre — Ordinaire</t>
        </is>
      </c>
      <c r="AI42" s="33">
        <f>IF($C42="","",IFERROR(INDEX(grille_tension_valeur,MATCH(AH42,grille_tension_label,0)),""))</f>
        <v/>
      </c>
      <c r="AJ42" s="23">
        <f>IF($C42="","",IF(AI42="",0,ROUND(smig_journalier*AI42*jours_smig_legal,0)))</f>
        <v/>
      </c>
    </row>
    <row r="43" ht="15" customHeight="1" s="15">
      <c r="B43" s="19" t="n">
        <v>29</v>
      </c>
      <c r="C43" s="17" t="n"/>
      <c r="D43" s="35" t="n"/>
      <c r="E43" s="17" t="n"/>
      <c r="F43" s="31" t="n"/>
      <c r="G43" s="19">
        <f>IF(F43="","",DATEDIF(F43,DATE(PARAMETRES!$C$29,12,31),"y"))</f>
        <v/>
      </c>
      <c r="H43" s="31" t="n"/>
      <c r="I43" s="19">
        <f>IF(H43="","",DATEDIF(H43,DATE(PARAMETRES!$C$29,12,31),"y")&amp;" an(s) "&amp;DATEDIF(H43,DATE(PARAMETRES!$C$29,12,31),"ym")&amp;" mois")</f>
        <v/>
      </c>
      <c r="J43" s="35" t="n"/>
      <c r="K43" s="17" t="n"/>
      <c r="L43" s="17" t="n"/>
      <c r="M43" s="17" t="n"/>
      <c r="N43" s="17" t="n"/>
      <c r="O43" s="17" t="n"/>
      <c r="P43" s="21" t="n"/>
      <c r="Q43" s="17" t="n"/>
      <c r="R43" s="17" t="n"/>
      <c r="S43" s="35" t="n"/>
      <c r="T43" s="17" t="n"/>
      <c r="U43" s="31" t="n"/>
      <c r="V43" s="35" t="n"/>
      <c r="W43" s="19">
        <f>IF(C43="","",DATEDIF(H43,DATE(PARAMETRES!$C$29,12,31),"y"))</f>
        <v/>
      </c>
      <c r="X43" s="17" t="inlineStr">
        <is>
          <t>Brut de base</t>
        </is>
      </c>
      <c r="Y43" s="23">
        <f>IF($C43="","",MAX(IF(X43="Brut de base",AA43,IF((AA43)&lt;=((ipr_t1_sup_mensuel/(IF(opt_cnss_deductible_ipr="Oui",1-t_cnss_pension_salarie,1)))*(1-t_cnss_pension_salarie)-(ipr_t1_sup_mensuel*ipr_taux1)),(AA43)/((1-t_cnss_pension_salarie)-(IF(opt_cnss_deductible_ipr="Oui",1-t_cnss_pension_salarie,1))*ipr_taux1),IF((AA43)&lt;=((ipr_t2_sup_mensuel/(IF(opt_cnss_deductible_ipr="Oui",1-t_cnss_pension_salarie,1)))*(1-t_cnss_pension_salarie)-((ipr_t1_sup_mensuel*ipr_taux1)+(ipr_t2_sup_mensuel-ipr_t1_sup_mensuel)*ipr_taux2)),((AA43)-ipr_t1_sup_mensuel*ipr_taux2+(ipr_t1_sup_mensuel*ipr_taux1))/((1-t_cnss_pension_salarie)-(IF(opt_cnss_deductible_ipr="Oui",1-t_cnss_pension_salarie,1))*ipr_taux2),IF((AA43)&lt;=((ipr_t3_sup_mensuel/(IF(opt_cnss_deductible_ipr="Oui",1-t_cnss_pension_salarie,1)))*(1-t_cnss_pension_salarie)-(((ipr_t1_sup_mensuel*ipr_taux1)+(ipr_t2_sup_mensuel-ipr_t1_sup_mensuel)*ipr_taux2)+(ipr_t3_sup_mensuel-ipr_t2_sup_mensuel)*ipr_taux3)),((AA43)-ipr_t2_sup_mensuel*ipr_taux3+((ipr_t1_sup_mensuel*ipr_taux1)+(ipr_t2_sup_mensuel-ipr_t1_sup_mensuel)*ipr_taux2))/((1-t_cnss_pension_salarie)-(IF(opt_cnss_deductible_ipr="Oui",1-t_cnss_pension_salarie,1))*ipr_taux3),((AA43)-ipr_t3_sup_mensuel*ipr_taux4+(((ipr_t1_sup_mensuel*ipr_taux1)+(ipr_t2_sup_mensuel-ipr_t1_sup_mensuel)*ipr_taux2)+(ipr_t3_sup_mensuel-ipr_t2_sup_mensuel)*ipr_taux3))/((1-t_cnss_pension_salarie)-(IF(opt_cnss_deductible_ipr="Oui",1-t_cnss_pension_salarie,1))*ipr_taux4))))),AJ43))</f>
        <v/>
      </c>
      <c r="Z43" s="17" t="inlineStr">
        <is>
          <t>CDF</t>
        </is>
      </c>
      <c r="AA43" s="23">
        <f>IF($C43="","",IF(Z43="USD",P43*opt_taux_change,P43))</f>
        <v/>
      </c>
      <c r="AB43" s="19">
        <f>IF($C43="","",IF(H43="","",DATEDIF(H43,DATE(PARAMETRES!$C$29,12,31),"m")))</f>
        <v/>
      </c>
      <c r="AC43" s="19">
        <f>IF($C43="","",IF(AB43="",0,ROUND(AB43*taux_acquisition_conge+FLOOR(AB43/60,1)*majoration_anciennete_conge,1)))</f>
        <v/>
      </c>
      <c r="AD43" s="19">
        <f>IF($C43="","",VARIABLES!AW40+VARIABLES!AW293+VARIABLES!AW546+VARIABLES!AW799+VARIABLES!AW1052+VARIABLES!AW1305+VARIABLES!AW1558+VARIABLES!AW1811+VARIABLES!AW2064+VARIABLES!AW2317+VARIABLES!AW2570+VARIABLES!AW2823)</f>
        <v/>
      </c>
      <c r="AE43" s="19">
        <f>IF($C43="","",AC43-AD43)</f>
        <v/>
      </c>
      <c r="AH43" s="17" t="inlineStr">
        <is>
          <t>Manœuvre — Ordinaire</t>
        </is>
      </c>
      <c r="AI43" s="33">
        <f>IF($C43="","",IFERROR(INDEX(grille_tension_valeur,MATCH(AH43,grille_tension_label,0)),""))</f>
        <v/>
      </c>
      <c r="AJ43" s="23">
        <f>IF($C43="","",IF(AI43="",0,ROUND(smig_journalier*AI43*jours_smig_legal,0)))</f>
        <v/>
      </c>
    </row>
    <row r="44" ht="15" customHeight="1" s="15">
      <c r="B44" s="19" t="n">
        <v>30</v>
      </c>
      <c r="C44" s="17" t="n"/>
      <c r="D44" s="35" t="n"/>
      <c r="E44" s="17" t="n"/>
      <c r="F44" s="31" t="n"/>
      <c r="G44" s="19">
        <f>IF(F44="","",DATEDIF(F44,DATE(PARAMETRES!$C$29,12,31),"y"))</f>
        <v/>
      </c>
      <c r="H44" s="31" t="n"/>
      <c r="I44" s="19">
        <f>IF(H44="","",DATEDIF(H44,DATE(PARAMETRES!$C$29,12,31),"y")&amp;" an(s) "&amp;DATEDIF(H44,DATE(PARAMETRES!$C$29,12,31),"ym")&amp;" mois")</f>
        <v/>
      </c>
      <c r="J44" s="35" t="n"/>
      <c r="K44" s="17" t="n"/>
      <c r="L44" s="17" t="n"/>
      <c r="M44" s="17" t="n"/>
      <c r="N44" s="17" t="n"/>
      <c r="O44" s="17" t="n"/>
      <c r="P44" s="21" t="n"/>
      <c r="Q44" s="17" t="n"/>
      <c r="R44" s="17" t="n"/>
      <c r="S44" s="35" t="n"/>
      <c r="T44" s="17" t="n"/>
      <c r="U44" s="31" t="n"/>
      <c r="V44" s="35" t="n"/>
      <c r="W44" s="19">
        <f>IF(C44="","",DATEDIF(H44,DATE(PARAMETRES!$C$29,12,31),"y"))</f>
        <v/>
      </c>
      <c r="X44" s="17" t="inlineStr">
        <is>
          <t>Brut de base</t>
        </is>
      </c>
      <c r="Y44" s="23">
        <f>IF($C44="","",MAX(IF(X44="Brut de base",AA44,IF((AA44)&lt;=((ipr_t1_sup_mensuel/(IF(opt_cnss_deductible_ipr="Oui",1-t_cnss_pension_salarie,1)))*(1-t_cnss_pension_salarie)-(ipr_t1_sup_mensuel*ipr_taux1)),(AA44)/((1-t_cnss_pension_salarie)-(IF(opt_cnss_deductible_ipr="Oui",1-t_cnss_pension_salarie,1))*ipr_taux1),IF((AA44)&lt;=((ipr_t2_sup_mensuel/(IF(opt_cnss_deductible_ipr="Oui",1-t_cnss_pension_salarie,1)))*(1-t_cnss_pension_salarie)-((ipr_t1_sup_mensuel*ipr_taux1)+(ipr_t2_sup_mensuel-ipr_t1_sup_mensuel)*ipr_taux2)),((AA44)-ipr_t1_sup_mensuel*ipr_taux2+(ipr_t1_sup_mensuel*ipr_taux1))/((1-t_cnss_pension_salarie)-(IF(opt_cnss_deductible_ipr="Oui",1-t_cnss_pension_salarie,1))*ipr_taux2),IF((AA44)&lt;=((ipr_t3_sup_mensuel/(IF(opt_cnss_deductible_ipr="Oui",1-t_cnss_pension_salarie,1)))*(1-t_cnss_pension_salarie)-(((ipr_t1_sup_mensuel*ipr_taux1)+(ipr_t2_sup_mensuel-ipr_t1_sup_mensuel)*ipr_taux2)+(ipr_t3_sup_mensuel-ipr_t2_sup_mensuel)*ipr_taux3)),((AA44)-ipr_t2_sup_mensuel*ipr_taux3+((ipr_t1_sup_mensuel*ipr_taux1)+(ipr_t2_sup_mensuel-ipr_t1_sup_mensuel)*ipr_taux2))/((1-t_cnss_pension_salarie)-(IF(opt_cnss_deductible_ipr="Oui",1-t_cnss_pension_salarie,1))*ipr_taux3),((AA44)-ipr_t3_sup_mensuel*ipr_taux4+(((ipr_t1_sup_mensuel*ipr_taux1)+(ipr_t2_sup_mensuel-ipr_t1_sup_mensuel)*ipr_taux2)+(ipr_t3_sup_mensuel-ipr_t2_sup_mensuel)*ipr_taux3))/((1-t_cnss_pension_salarie)-(IF(opt_cnss_deductible_ipr="Oui",1-t_cnss_pension_salarie,1))*ipr_taux4))))),AJ44))</f>
        <v/>
      </c>
      <c r="Z44" s="17" t="inlineStr">
        <is>
          <t>CDF</t>
        </is>
      </c>
      <c r="AA44" s="23">
        <f>IF($C44="","",IF(Z44="USD",P44*opt_taux_change,P44))</f>
        <v/>
      </c>
      <c r="AB44" s="19">
        <f>IF($C44="","",IF(H44="","",DATEDIF(H44,DATE(PARAMETRES!$C$29,12,31),"m")))</f>
        <v/>
      </c>
      <c r="AC44" s="19">
        <f>IF($C44="","",IF(AB44="",0,ROUND(AB44*taux_acquisition_conge+FLOOR(AB44/60,1)*majoration_anciennete_conge,1)))</f>
        <v/>
      </c>
      <c r="AD44" s="19">
        <f>IF($C44="","",VARIABLES!AW41+VARIABLES!AW294+VARIABLES!AW547+VARIABLES!AW800+VARIABLES!AW1053+VARIABLES!AW1306+VARIABLES!AW1559+VARIABLES!AW1812+VARIABLES!AW2065+VARIABLES!AW2318+VARIABLES!AW2571+VARIABLES!AW2824)</f>
        <v/>
      </c>
      <c r="AE44" s="19">
        <f>IF($C44="","",AC44-AD44)</f>
        <v/>
      </c>
      <c r="AH44" s="17" t="inlineStr">
        <is>
          <t>Manœuvre — Ordinaire</t>
        </is>
      </c>
      <c r="AI44" s="33">
        <f>IF($C44="","",IFERROR(INDEX(grille_tension_valeur,MATCH(AH44,grille_tension_label,0)),""))</f>
        <v/>
      </c>
      <c r="AJ44" s="23">
        <f>IF($C44="","",IF(AI44="",0,ROUND(smig_journalier*AI44*jours_smig_legal,0)))</f>
        <v/>
      </c>
    </row>
    <row r="45" ht="15" customHeight="1" s="15">
      <c r="B45" s="19" t="n">
        <v>31</v>
      </c>
      <c r="C45" s="17" t="n"/>
      <c r="D45" s="35" t="n"/>
      <c r="E45" s="17" t="n"/>
      <c r="F45" s="31" t="n"/>
      <c r="G45" s="19">
        <f>IF(F45="","",DATEDIF(F45,DATE(PARAMETRES!$C$29,12,31),"y"))</f>
        <v/>
      </c>
      <c r="H45" s="31" t="n"/>
      <c r="I45" s="19">
        <f>IF(H45="","",DATEDIF(H45,DATE(PARAMETRES!$C$29,12,31),"y")&amp;" an(s) "&amp;DATEDIF(H45,DATE(PARAMETRES!$C$29,12,31),"ym")&amp;" mois")</f>
        <v/>
      </c>
      <c r="J45" s="35" t="n"/>
      <c r="K45" s="17" t="n"/>
      <c r="L45" s="17" t="n"/>
      <c r="M45" s="17" t="n"/>
      <c r="N45" s="17" t="n"/>
      <c r="O45" s="17" t="n"/>
      <c r="P45" s="21" t="n"/>
      <c r="Q45" s="17" t="n"/>
      <c r="R45" s="17" t="n"/>
      <c r="S45" s="35" t="n"/>
      <c r="T45" s="17" t="n"/>
      <c r="U45" s="31" t="n"/>
      <c r="V45" s="35" t="n"/>
      <c r="W45" s="19">
        <f>IF(C45="","",DATEDIF(H45,DATE(PARAMETRES!$C$29,12,31),"y"))</f>
        <v/>
      </c>
      <c r="X45" s="17" t="inlineStr">
        <is>
          <t>Brut de base</t>
        </is>
      </c>
      <c r="Y45" s="23">
        <f>IF($C45="","",MAX(IF(X45="Brut de base",AA45,IF((AA45)&lt;=((ipr_t1_sup_mensuel/(IF(opt_cnss_deductible_ipr="Oui",1-t_cnss_pension_salarie,1)))*(1-t_cnss_pension_salarie)-(ipr_t1_sup_mensuel*ipr_taux1)),(AA45)/((1-t_cnss_pension_salarie)-(IF(opt_cnss_deductible_ipr="Oui",1-t_cnss_pension_salarie,1))*ipr_taux1),IF((AA45)&lt;=((ipr_t2_sup_mensuel/(IF(opt_cnss_deductible_ipr="Oui",1-t_cnss_pension_salarie,1)))*(1-t_cnss_pension_salarie)-((ipr_t1_sup_mensuel*ipr_taux1)+(ipr_t2_sup_mensuel-ipr_t1_sup_mensuel)*ipr_taux2)),((AA45)-ipr_t1_sup_mensuel*ipr_taux2+(ipr_t1_sup_mensuel*ipr_taux1))/((1-t_cnss_pension_salarie)-(IF(opt_cnss_deductible_ipr="Oui",1-t_cnss_pension_salarie,1))*ipr_taux2),IF((AA45)&lt;=((ipr_t3_sup_mensuel/(IF(opt_cnss_deductible_ipr="Oui",1-t_cnss_pension_salarie,1)))*(1-t_cnss_pension_salarie)-(((ipr_t1_sup_mensuel*ipr_taux1)+(ipr_t2_sup_mensuel-ipr_t1_sup_mensuel)*ipr_taux2)+(ipr_t3_sup_mensuel-ipr_t2_sup_mensuel)*ipr_taux3)),((AA45)-ipr_t2_sup_mensuel*ipr_taux3+((ipr_t1_sup_mensuel*ipr_taux1)+(ipr_t2_sup_mensuel-ipr_t1_sup_mensuel)*ipr_taux2))/((1-t_cnss_pension_salarie)-(IF(opt_cnss_deductible_ipr="Oui",1-t_cnss_pension_salarie,1))*ipr_taux3),((AA45)-ipr_t3_sup_mensuel*ipr_taux4+(((ipr_t1_sup_mensuel*ipr_taux1)+(ipr_t2_sup_mensuel-ipr_t1_sup_mensuel)*ipr_taux2)+(ipr_t3_sup_mensuel-ipr_t2_sup_mensuel)*ipr_taux3))/((1-t_cnss_pension_salarie)-(IF(opt_cnss_deductible_ipr="Oui",1-t_cnss_pension_salarie,1))*ipr_taux4))))),AJ45))</f>
        <v/>
      </c>
      <c r="Z45" s="17" t="inlineStr">
        <is>
          <t>CDF</t>
        </is>
      </c>
      <c r="AA45" s="23">
        <f>IF($C45="","",IF(Z45="USD",P45*opt_taux_change,P45))</f>
        <v/>
      </c>
      <c r="AB45" s="19">
        <f>IF($C45="","",IF(H45="","",DATEDIF(H45,DATE(PARAMETRES!$C$29,12,31),"m")))</f>
        <v/>
      </c>
      <c r="AC45" s="19">
        <f>IF($C45="","",IF(AB45="",0,ROUND(AB45*taux_acquisition_conge+FLOOR(AB45/60,1)*majoration_anciennete_conge,1)))</f>
        <v/>
      </c>
      <c r="AD45" s="19">
        <f>IF($C45="","",VARIABLES!AW42+VARIABLES!AW295+VARIABLES!AW548+VARIABLES!AW801+VARIABLES!AW1054+VARIABLES!AW1307+VARIABLES!AW1560+VARIABLES!AW1813+VARIABLES!AW2066+VARIABLES!AW2319+VARIABLES!AW2572+VARIABLES!AW2825)</f>
        <v/>
      </c>
      <c r="AE45" s="19">
        <f>IF($C45="","",AC45-AD45)</f>
        <v/>
      </c>
      <c r="AH45" s="17" t="inlineStr">
        <is>
          <t>Manœuvre — Ordinaire</t>
        </is>
      </c>
      <c r="AI45" s="33">
        <f>IF($C45="","",IFERROR(INDEX(grille_tension_valeur,MATCH(AH45,grille_tension_label,0)),""))</f>
        <v/>
      </c>
      <c r="AJ45" s="23">
        <f>IF($C45="","",IF(AI45="",0,ROUND(smig_journalier*AI45*jours_smig_legal,0)))</f>
        <v/>
      </c>
    </row>
    <row r="46" ht="15" customHeight="1" s="15">
      <c r="B46" s="19" t="n">
        <v>32</v>
      </c>
      <c r="C46" s="17" t="n"/>
      <c r="D46" s="35" t="n"/>
      <c r="E46" s="17" t="n"/>
      <c r="F46" s="31" t="n"/>
      <c r="G46" s="19">
        <f>IF(F46="","",DATEDIF(F46,DATE(PARAMETRES!$C$29,12,31),"y"))</f>
        <v/>
      </c>
      <c r="H46" s="31" t="n"/>
      <c r="I46" s="19">
        <f>IF(H46="","",DATEDIF(H46,DATE(PARAMETRES!$C$29,12,31),"y")&amp;" an(s) "&amp;DATEDIF(H46,DATE(PARAMETRES!$C$29,12,31),"ym")&amp;" mois")</f>
        <v/>
      </c>
      <c r="J46" s="35" t="n"/>
      <c r="K46" s="17" t="n"/>
      <c r="L46" s="17" t="n"/>
      <c r="M46" s="17" t="n"/>
      <c r="N46" s="17" t="n"/>
      <c r="O46" s="17" t="n"/>
      <c r="P46" s="21" t="n"/>
      <c r="Q46" s="17" t="n"/>
      <c r="R46" s="17" t="n"/>
      <c r="S46" s="35" t="n"/>
      <c r="T46" s="17" t="n"/>
      <c r="U46" s="31" t="n"/>
      <c r="V46" s="35" t="n"/>
      <c r="W46" s="19">
        <f>IF(C46="","",DATEDIF(H46,DATE(PARAMETRES!$C$29,12,31),"y"))</f>
        <v/>
      </c>
      <c r="X46" s="17" t="inlineStr">
        <is>
          <t>Brut de base</t>
        </is>
      </c>
      <c r="Y46" s="23">
        <f>IF($C46="","",MAX(IF(X46="Brut de base",AA46,IF((AA46)&lt;=((ipr_t1_sup_mensuel/(IF(opt_cnss_deductible_ipr="Oui",1-t_cnss_pension_salarie,1)))*(1-t_cnss_pension_salarie)-(ipr_t1_sup_mensuel*ipr_taux1)),(AA46)/((1-t_cnss_pension_salarie)-(IF(opt_cnss_deductible_ipr="Oui",1-t_cnss_pension_salarie,1))*ipr_taux1),IF((AA46)&lt;=((ipr_t2_sup_mensuel/(IF(opt_cnss_deductible_ipr="Oui",1-t_cnss_pension_salarie,1)))*(1-t_cnss_pension_salarie)-((ipr_t1_sup_mensuel*ipr_taux1)+(ipr_t2_sup_mensuel-ipr_t1_sup_mensuel)*ipr_taux2)),((AA46)-ipr_t1_sup_mensuel*ipr_taux2+(ipr_t1_sup_mensuel*ipr_taux1))/((1-t_cnss_pension_salarie)-(IF(opt_cnss_deductible_ipr="Oui",1-t_cnss_pension_salarie,1))*ipr_taux2),IF((AA46)&lt;=((ipr_t3_sup_mensuel/(IF(opt_cnss_deductible_ipr="Oui",1-t_cnss_pension_salarie,1)))*(1-t_cnss_pension_salarie)-(((ipr_t1_sup_mensuel*ipr_taux1)+(ipr_t2_sup_mensuel-ipr_t1_sup_mensuel)*ipr_taux2)+(ipr_t3_sup_mensuel-ipr_t2_sup_mensuel)*ipr_taux3)),((AA46)-ipr_t2_sup_mensuel*ipr_taux3+((ipr_t1_sup_mensuel*ipr_taux1)+(ipr_t2_sup_mensuel-ipr_t1_sup_mensuel)*ipr_taux2))/((1-t_cnss_pension_salarie)-(IF(opt_cnss_deductible_ipr="Oui",1-t_cnss_pension_salarie,1))*ipr_taux3),((AA46)-ipr_t3_sup_mensuel*ipr_taux4+(((ipr_t1_sup_mensuel*ipr_taux1)+(ipr_t2_sup_mensuel-ipr_t1_sup_mensuel)*ipr_taux2)+(ipr_t3_sup_mensuel-ipr_t2_sup_mensuel)*ipr_taux3))/((1-t_cnss_pension_salarie)-(IF(opt_cnss_deductible_ipr="Oui",1-t_cnss_pension_salarie,1))*ipr_taux4))))),AJ46))</f>
        <v/>
      </c>
      <c r="Z46" s="17" t="inlineStr">
        <is>
          <t>CDF</t>
        </is>
      </c>
      <c r="AA46" s="23">
        <f>IF($C46="","",IF(Z46="USD",P46*opt_taux_change,P46))</f>
        <v/>
      </c>
      <c r="AB46" s="19">
        <f>IF($C46="","",IF(H46="","",DATEDIF(H46,DATE(PARAMETRES!$C$29,12,31),"m")))</f>
        <v/>
      </c>
      <c r="AC46" s="19">
        <f>IF($C46="","",IF(AB46="",0,ROUND(AB46*taux_acquisition_conge+FLOOR(AB46/60,1)*majoration_anciennete_conge,1)))</f>
        <v/>
      </c>
      <c r="AD46" s="19">
        <f>IF($C46="","",VARIABLES!AW43+VARIABLES!AW296+VARIABLES!AW549+VARIABLES!AW802+VARIABLES!AW1055+VARIABLES!AW1308+VARIABLES!AW1561+VARIABLES!AW1814+VARIABLES!AW2067+VARIABLES!AW2320+VARIABLES!AW2573+VARIABLES!AW2826)</f>
        <v/>
      </c>
      <c r="AE46" s="19">
        <f>IF($C46="","",AC46-AD46)</f>
        <v/>
      </c>
      <c r="AH46" s="17" t="inlineStr">
        <is>
          <t>Manœuvre — Ordinaire</t>
        </is>
      </c>
      <c r="AI46" s="33">
        <f>IF($C46="","",IFERROR(INDEX(grille_tension_valeur,MATCH(AH46,grille_tension_label,0)),""))</f>
        <v/>
      </c>
      <c r="AJ46" s="23">
        <f>IF($C46="","",IF(AI46="",0,ROUND(smig_journalier*AI46*jours_smig_legal,0)))</f>
        <v/>
      </c>
    </row>
    <row r="47" ht="15" customHeight="1" s="15">
      <c r="B47" s="19" t="n">
        <v>33</v>
      </c>
      <c r="C47" s="17" t="n"/>
      <c r="D47" s="35" t="n"/>
      <c r="E47" s="17" t="n"/>
      <c r="F47" s="31" t="n"/>
      <c r="G47" s="19">
        <f>IF(F47="","",DATEDIF(F47,DATE(PARAMETRES!$C$29,12,31),"y"))</f>
        <v/>
      </c>
      <c r="H47" s="31" t="n"/>
      <c r="I47" s="19">
        <f>IF(H47="","",DATEDIF(H47,DATE(PARAMETRES!$C$29,12,31),"y")&amp;" an(s) "&amp;DATEDIF(H47,DATE(PARAMETRES!$C$29,12,31),"ym")&amp;" mois")</f>
        <v/>
      </c>
      <c r="J47" s="35" t="n"/>
      <c r="K47" s="17" t="n"/>
      <c r="L47" s="17" t="n"/>
      <c r="M47" s="17" t="n"/>
      <c r="N47" s="17" t="n"/>
      <c r="O47" s="17" t="n"/>
      <c r="P47" s="21" t="n"/>
      <c r="Q47" s="17" t="n"/>
      <c r="R47" s="17" t="n"/>
      <c r="S47" s="35" t="n"/>
      <c r="T47" s="17" t="n"/>
      <c r="U47" s="31" t="n"/>
      <c r="V47" s="35" t="n"/>
      <c r="W47" s="19">
        <f>IF(C47="","",DATEDIF(H47,DATE(PARAMETRES!$C$29,12,31),"y"))</f>
        <v/>
      </c>
      <c r="X47" s="17" t="inlineStr">
        <is>
          <t>Brut de base</t>
        </is>
      </c>
      <c r="Y47" s="23">
        <f>IF($C47="","",MAX(IF(X47="Brut de base",AA47,IF((AA47)&lt;=((ipr_t1_sup_mensuel/(IF(opt_cnss_deductible_ipr="Oui",1-t_cnss_pension_salarie,1)))*(1-t_cnss_pension_salarie)-(ipr_t1_sup_mensuel*ipr_taux1)),(AA47)/((1-t_cnss_pension_salarie)-(IF(opt_cnss_deductible_ipr="Oui",1-t_cnss_pension_salarie,1))*ipr_taux1),IF((AA47)&lt;=((ipr_t2_sup_mensuel/(IF(opt_cnss_deductible_ipr="Oui",1-t_cnss_pension_salarie,1)))*(1-t_cnss_pension_salarie)-((ipr_t1_sup_mensuel*ipr_taux1)+(ipr_t2_sup_mensuel-ipr_t1_sup_mensuel)*ipr_taux2)),((AA47)-ipr_t1_sup_mensuel*ipr_taux2+(ipr_t1_sup_mensuel*ipr_taux1))/((1-t_cnss_pension_salarie)-(IF(opt_cnss_deductible_ipr="Oui",1-t_cnss_pension_salarie,1))*ipr_taux2),IF((AA47)&lt;=((ipr_t3_sup_mensuel/(IF(opt_cnss_deductible_ipr="Oui",1-t_cnss_pension_salarie,1)))*(1-t_cnss_pension_salarie)-(((ipr_t1_sup_mensuel*ipr_taux1)+(ipr_t2_sup_mensuel-ipr_t1_sup_mensuel)*ipr_taux2)+(ipr_t3_sup_mensuel-ipr_t2_sup_mensuel)*ipr_taux3)),((AA47)-ipr_t2_sup_mensuel*ipr_taux3+((ipr_t1_sup_mensuel*ipr_taux1)+(ipr_t2_sup_mensuel-ipr_t1_sup_mensuel)*ipr_taux2))/((1-t_cnss_pension_salarie)-(IF(opt_cnss_deductible_ipr="Oui",1-t_cnss_pension_salarie,1))*ipr_taux3),((AA47)-ipr_t3_sup_mensuel*ipr_taux4+(((ipr_t1_sup_mensuel*ipr_taux1)+(ipr_t2_sup_mensuel-ipr_t1_sup_mensuel)*ipr_taux2)+(ipr_t3_sup_mensuel-ipr_t2_sup_mensuel)*ipr_taux3))/((1-t_cnss_pension_salarie)-(IF(opt_cnss_deductible_ipr="Oui",1-t_cnss_pension_salarie,1))*ipr_taux4))))),AJ47))</f>
        <v/>
      </c>
      <c r="Z47" s="17" t="inlineStr">
        <is>
          <t>CDF</t>
        </is>
      </c>
      <c r="AA47" s="23">
        <f>IF($C47="","",IF(Z47="USD",P47*opt_taux_change,P47))</f>
        <v/>
      </c>
      <c r="AB47" s="19">
        <f>IF($C47="","",IF(H47="","",DATEDIF(H47,DATE(PARAMETRES!$C$29,12,31),"m")))</f>
        <v/>
      </c>
      <c r="AC47" s="19">
        <f>IF($C47="","",IF(AB47="",0,ROUND(AB47*taux_acquisition_conge+FLOOR(AB47/60,1)*majoration_anciennete_conge,1)))</f>
        <v/>
      </c>
      <c r="AD47" s="19">
        <f>IF($C47="","",VARIABLES!AW44+VARIABLES!AW297+VARIABLES!AW550+VARIABLES!AW803+VARIABLES!AW1056+VARIABLES!AW1309+VARIABLES!AW1562+VARIABLES!AW1815+VARIABLES!AW2068+VARIABLES!AW2321+VARIABLES!AW2574+VARIABLES!AW2827)</f>
        <v/>
      </c>
      <c r="AE47" s="19">
        <f>IF($C47="","",AC47-AD47)</f>
        <v/>
      </c>
      <c r="AH47" s="17" t="inlineStr">
        <is>
          <t>Manœuvre — Ordinaire</t>
        </is>
      </c>
      <c r="AI47" s="33">
        <f>IF($C47="","",IFERROR(INDEX(grille_tension_valeur,MATCH(AH47,grille_tension_label,0)),""))</f>
        <v/>
      </c>
      <c r="AJ47" s="23">
        <f>IF($C47="","",IF(AI47="",0,ROUND(smig_journalier*AI47*jours_smig_legal,0)))</f>
        <v/>
      </c>
    </row>
    <row r="48" ht="15" customHeight="1" s="15">
      <c r="B48" s="19" t="n">
        <v>34</v>
      </c>
      <c r="C48" s="17" t="n"/>
      <c r="D48" s="35" t="n"/>
      <c r="E48" s="17" t="n"/>
      <c r="F48" s="31" t="n"/>
      <c r="G48" s="19">
        <f>IF(F48="","",DATEDIF(F48,DATE(PARAMETRES!$C$29,12,31),"y"))</f>
        <v/>
      </c>
      <c r="H48" s="31" t="n"/>
      <c r="I48" s="19">
        <f>IF(H48="","",DATEDIF(H48,DATE(PARAMETRES!$C$29,12,31),"y")&amp;" an(s) "&amp;DATEDIF(H48,DATE(PARAMETRES!$C$29,12,31),"ym")&amp;" mois")</f>
        <v/>
      </c>
      <c r="J48" s="35" t="n"/>
      <c r="K48" s="17" t="n"/>
      <c r="L48" s="17" t="n"/>
      <c r="M48" s="17" t="n"/>
      <c r="N48" s="17" t="n"/>
      <c r="O48" s="17" t="n"/>
      <c r="P48" s="21" t="n"/>
      <c r="Q48" s="17" t="n"/>
      <c r="R48" s="17" t="n"/>
      <c r="S48" s="35" t="n"/>
      <c r="T48" s="17" t="n"/>
      <c r="U48" s="31" t="n"/>
      <c r="V48" s="35" t="n"/>
      <c r="W48" s="19">
        <f>IF(C48="","",DATEDIF(H48,DATE(PARAMETRES!$C$29,12,31),"y"))</f>
        <v/>
      </c>
      <c r="X48" s="17" t="inlineStr">
        <is>
          <t>Brut de base</t>
        </is>
      </c>
      <c r="Y48" s="23">
        <f>IF($C48="","",MAX(IF(X48="Brut de base",AA48,IF((AA48)&lt;=((ipr_t1_sup_mensuel/(IF(opt_cnss_deductible_ipr="Oui",1-t_cnss_pension_salarie,1)))*(1-t_cnss_pension_salarie)-(ipr_t1_sup_mensuel*ipr_taux1)),(AA48)/((1-t_cnss_pension_salarie)-(IF(opt_cnss_deductible_ipr="Oui",1-t_cnss_pension_salarie,1))*ipr_taux1),IF((AA48)&lt;=((ipr_t2_sup_mensuel/(IF(opt_cnss_deductible_ipr="Oui",1-t_cnss_pension_salarie,1)))*(1-t_cnss_pension_salarie)-((ipr_t1_sup_mensuel*ipr_taux1)+(ipr_t2_sup_mensuel-ipr_t1_sup_mensuel)*ipr_taux2)),((AA48)-ipr_t1_sup_mensuel*ipr_taux2+(ipr_t1_sup_mensuel*ipr_taux1))/((1-t_cnss_pension_salarie)-(IF(opt_cnss_deductible_ipr="Oui",1-t_cnss_pension_salarie,1))*ipr_taux2),IF((AA48)&lt;=((ipr_t3_sup_mensuel/(IF(opt_cnss_deductible_ipr="Oui",1-t_cnss_pension_salarie,1)))*(1-t_cnss_pension_salarie)-(((ipr_t1_sup_mensuel*ipr_taux1)+(ipr_t2_sup_mensuel-ipr_t1_sup_mensuel)*ipr_taux2)+(ipr_t3_sup_mensuel-ipr_t2_sup_mensuel)*ipr_taux3)),((AA48)-ipr_t2_sup_mensuel*ipr_taux3+((ipr_t1_sup_mensuel*ipr_taux1)+(ipr_t2_sup_mensuel-ipr_t1_sup_mensuel)*ipr_taux2))/((1-t_cnss_pension_salarie)-(IF(opt_cnss_deductible_ipr="Oui",1-t_cnss_pension_salarie,1))*ipr_taux3),((AA48)-ipr_t3_sup_mensuel*ipr_taux4+(((ipr_t1_sup_mensuel*ipr_taux1)+(ipr_t2_sup_mensuel-ipr_t1_sup_mensuel)*ipr_taux2)+(ipr_t3_sup_mensuel-ipr_t2_sup_mensuel)*ipr_taux3))/((1-t_cnss_pension_salarie)-(IF(opt_cnss_deductible_ipr="Oui",1-t_cnss_pension_salarie,1))*ipr_taux4))))),AJ48))</f>
        <v/>
      </c>
      <c r="Z48" s="17" t="inlineStr">
        <is>
          <t>CDF</t>
        </is>
      </c>
      <c r="AA48" s="23">
        <f>IF($C48="","",IF(Z48="USD",P48*opt_taux_change,P48))</f>
        <v/>
      </c>
      <c r="AB48" s="19">
        <f>IF($C48="","",IF(H48="","",DATEDIF(H48,DATE(PARAMETRES!$C$29,12,31),"m")))</f>
        <v/>
      </c>
      <c r="AC48" s="19">
        <f>IF($C48="","",IF(AB48="",0,ROUND(AB48*taux_acquisition_conge+FLOOR(AB48/60,1)*majoration_anciennete_conge,1)))</f>
        <v/>
      </c>
      <c r="AD48" s="19">
        <f>IF($C48="","",VARIABLES!AW45+VARIABLES!AW298+VARIABLES!AW551+VARIABLES!AW804+VARIABLES!AW1057+VARIABLES!AW1310+VARIABLES!AW1563+VARIABLES!AW1816+VARIABLES!AW2069+VARIABLES!AW2322+VARIABLES!AW2575+VARIABLES!AW2828)</f>
        <v/>
      </c>
      <c r="AE48" s="19">
        <f>IF($C48="","",AC48-AD48)</f>
        <v/>
      </c>
      <c r="AH48" s="17" t="inlineStr">
        <is>
          <t>Manœuvre — Ordinaire</t>
        </is>
      </c>
      <c r="AI48" s="33">
        <f>IF($C48="","",IFERROR(INDEX(grille_tension_valeur,MATCH(AH48,grille_tension_label,0)),""))</f>
        <v/>
      </c>
      <c r="AJ48" s="23">
        <f>IF($C48="","",IF(AI48="",0,ROUND(smig_journalier*AI48*jours_smig_legal,0)))</f>
        <v/>
      </c>
    </row>
    <row r="49" ht="15" customHeight="1" s="15">
      <c r="B49" s="19" t="n">
        <v>35</v>
      </c>
      <c r="C49" s="17" t="n"/>
      <c r="D49" s="35" t="n"/>
      <c r="E49" s="17" t="n"/>
      <c r="F49" s="31" t="n"/>
      <c r="G49" s="19">
        <f>IF(F49="","",DATEDIF(F49,DATE(PARAMETRES!$C$29,12,31),"y"))</f>
        <v/>
      </c>
      <c r="H49" s="31" t="n"/>
      <c r="I49" s="19">
        <f>IF(H49="","",DATEDIF(H49,DATE(PARAMETRES!$C$29,12,31),"y")&amp;" an(s) "&amp;DATEDIF(H49,DATE(PARAMETRES!$C$29,12,31),"ym")&amp;" mois")</f>
        <v/>
      </c>
      <c r="J49" s="35" t="n"/>
      <c r="K49" s="17" t="n"/>
      <c r="L49" s="17" t="n"/>
      <c r="M49" s="17" t="n"/>
      <c r="N49" s="17" t="n"/>
      <c r="O49" s="17" t="n"/>
      <c r="P49" s="21" t="n"/>
      <c r="Q49" s="17" t="n"/>
      <c r="R49" s="17" t="n"/>
      <c r="S49" s="35" t="n"/>
      <c r="T49" s="17" t="n"/>
      <c r="U49" s="31" t="n"/>
      <c r="V49" s="35" t="n"/>
      <c r="W49" s="19">
        <f>IF(C49="","",DATEDIF(H49,DATE(PARAMETRES!$C$29,12,31),"y"))</f>
        <v/>
      </c>
      <c r="X49" s="17" t="inlineStr">
        <is>
          <t>Brut de base</t>
        </is>
      </c>
      <c r="Y49" s="23">
        <f>IF($C49="","",MAX(IF(X49="Brut de base",AA49,IF((AA49)&lt;=((ipr_t1_sup_mensuel/(IF(opt_cnss_deductible_ipr="Oui",1-t_cnss_pension_salarie,1)))*(1-t_cnss_pension_salarie)-(ipr_t1_sup_mensuel*ipr_taux1)),(AA49)/((1-t_cnss_pension_salarie)-(IF(opt_cnss_deductible_ipr="Oui",1-t_cnss_pension_salarie,1))*ipr_taux1),IF((AA49)&lt;=((ipr_t2_sup_mensuel/(IF(opt_cnss_deductible_ipr="Oui",1-t_cnss_pension_salarie,1)))*(1-t_cnss_pension_salarie)-((ipr_t1_sup_mensuel*ipr_taux1)+(ipr_t2_sup_mensuel-ipr_t1_sup_mensuel)*ipr_taux2)),((AA49)-ipr_t1_sup_mensuel*ipr_taux2+(ipr_t1_sup_mensuel*ipr_taux1))/((1-t_cnss_pension_salarie)-(IF(opt_cnss_deductible_ipr="Oui",1-t_cnss_pension_salarie,1))*ipr_taux2),IF((AA49)&lt;=((ipr_t3_sup_mensuel/(IF(opt_cnss_deductible_ipr="Oui",1-t_cnss_pension_salarie,1)))*(1-t_cnss_pension_salarie)-(((ipr_t1_sup_mensuel*ipr_taux1)+(ipr_t2_sup_mensuel-ipr_t1_sup_mensuel)*ipr_taux2)+(ipr_t3_sup_mensuel-ipr_t2_sup_mensuel)*ipr_taux3)),((AA49)-ipr_t2_sup_mensuel*ipr_taux3+((ipr_t1_sup_mensuel*ipr_taux1)+(ipr_t2_sup_mensuel-ipr_t1_sup_mensuel)*ipr_taux2))/((1-t_cnss_pension_salarie)-(IF(opt_cnss_deductible_ipr="Oui",1-t_cnss_pension_salarie,1))*ipr_taux3),((AA49)-ipr_t3_sup_mensuel*ipr_taux4+(((ipr_t1_sup_mensuel*ipr_taux1)+(ipr_t2_sup_mensuel-ipr_t1_sup_mensuel)*ipr_taux2)+(ipr_t3_sup_mensuel-ipr_t2_sup_mensuel)*ipr_taux3))/((1-t_cnss_pension_salarie)-(IF(opt_cnss_deductible_ipr="Oui",1-t_cnss_pension_salarie,1))*ipr_taux4))))),AJ49))</f>
        <v/>
      </c>
      <c r="Z49" s="17" t="inlineStr">
        <is>
          <t>CDF</t>
        </is>
      </c>
      <c r="AA49" s="23">
        <f>IF($C49="","",IF(Z49="USD",P49*opt_taux_change,P49))</f>
        <v/>
      </c>
      <c r="AB49" s="19">
        <f>IF($C49="","",IF(H49="","",DATEDIF(H49,DATE(PARAMETRES!$C$29,12,31),"m")))</f>
        <v/>
      </c>
      <c r="AC49" s="19">
        <f>IF($C49="","",IF(AB49="",0,ROUND(AB49*taux_acquisition_conge+FLOOR(AB49/60,1)*majoration_anciennete_conge,1)))</f>
        <v/>
      </c>
      <c r="AD49" s="19">
        <f>IF($C49="","",VARIABLES!AW46+VARIABLES!AW299+VARIABLES!AW552+VARIABLES!AW805+VARIABLES!AW1058+VARIABLES!AW1311+VARIABLES!AW1564+VARIABLES!AW1817+VARIABLES!AW2070+VARIABLES!AW2323+VARIABLES!AW2576+VARIABLES!AW2829)</f>
        <v/>
      </c>
      <c r="AE49" s="19">
        <f>IF($C49="","",AC49-AD49)</f>
        <v/>
      </c>
      <c r="AH49" s="17" t="inlineStr">
        <is>
          <t>Manœuvre — Ordinaire</t>
        </is>
      </c>
      <c r="AI49" s="33">
        <f>IF($C49="","",IFERROR(INDEX(grille_tension_valeur,MATCH(AH49,grille_tension_label,0)),""))</f>
        <v/>
      </c>
      <c r="AJ49" s="23">
        <f>IF($C49="","",IF(AI49="",0,ROUND(smig_journalier*AI49*jours_smig_legal,0)))</f>
        <v/>
      </c>
    </row>
    <row r="50" ht="15" customHeight="1" s="15">
      <c r="B50" s="19" t="n">
        <v>36</v>
      </c>
      <c r="C50" s="17" t="n"/>
      <c r="D50" s="35" t="n"/>
      <c r="E50" s="17" t="n"/>
      <c r="F50" s="31" t="n"/>
      <c r="G50" s="19">
        <f>IF(F50="","",DATEDIF(F50,DATE(PARAMETRES!$C$29,12,31),"y"))</f>
        <v/>
      </c>
      <c r="H50" s="31" t="n"/>
      <c r="I50" s="19">
        <f>IF(H50="","",DATEDIF(H50,DATE(PARAMETRES!$C$29,12,31),"y")&amp;" an(s) "&amp;DATEDIF(H50,DATE(PARAMETRES!$C$29,12,31),"ym")&amp;" mois")</f>
        <v/>
      </c>
      <c r="J50" s="35" t="n"/>
      <c r="K50" s="17" t="n"/>
      <c r="L50" s="17" t="n"/>
      <c r="M50" s="17" t="n"/>
      <c r="N50" s="17" t="n"/>
      <c r="O50" s="17" t="n"/>
      <c r="P50" s="21" t="n"/>
      <c r="Q50" s="17" t="n"/>
      <c r="R50" s="17" t="n"/>
      <c r="S50" s="35" t="n"/>
      <c r="T50" s="17" t="n"/>
      <c r="U50" s="31" t="n"/>
      <c r="V50" s="35" t="n"/>
      <c r="W50" s="19">
        <f>IF(C50="","",DATEDIF(H50,DATE(PARAMETRES!$C$29,12,31),"y"))</f>
        <v/>
      </c>
      <c r="X50" s="17" t="inlineStr">
        <is>
          <t>Brut de base</t>
        </is>
      </c>
      <c r="Y50" s="23">
        <f>IF($C50="","",MAX(IF(X50="Brut de base",AA50,IF((AA50)&lt;=((ipr_t1_sup_mensuel/(IF(opt_cnss_deductible_ipr="Oui",1-t_cnss_pension_salarie,1)))*(1-t_cnss_pension_salarie)-(ipr_t1_sup_mensuel*ipr_taux1)),(AA50)/((1-t_cnss_pension_salarie)-(IF(opt_cnss_deductible_ipr="Oui",1-t_cnss_pension_salarie,1))*ipr_taux1),IF((AA50)&lt;=((ipr_t2_sup_mensuel/(IF(opt_cnss_deductible_ipr="Oui",1-t_cnss_pension_salarie,1)))*(1-t_cnss_pension_salarie)-((ipr_t1_sup_mensuel*ipr_taux1)+(ipr_t2_sup_mensuel-ipr_t1_sup_mensuel)*ipr_taux2)),((AA50)-ipr_t1_sup_mensuel*ipr_taux2+(ipr_t1_sup_mensuel*ipr_taux1))/((1-t_cnss_pension_salarie)-(IF(opt_cnss_deductible_ipr="Oui",1-t_cnss_pension_salarie,1))*ipr_taux2),IF((AA50)&lt;=((ipr_t3_sup_mensuel/(IF(opt_cnss_deductible_ipr="Oui",1-t_cnss_pension_salarie,1)))*(1-t_cnss_pension_salarie)-(((ipr_t1_sup_mensuel*ipr_taux1)+(ipr_t2_sup_mensuel-ipr_t1_sup_mensuel)*ipr_taux2)+(ipr_t3_sup_mensuel-ipr_t2_sup_mensuel)*ipr_taux3)),((AA50)-ipr_t2_sup_mensuel*ipr_taux3+((ipr_t1_sup_mensuel*ipr_taux1)+(ipr_t2_sup_mensuel-ipr_t1_sup_mensuel)*ipr_taux2))/((1-t_cnss_pension_salarie)-(IF(opt_cnss_deductible_ipr="Oui",1-t_cnss_pension_salarie,1))*ipr_taux3),((AA50)-ipr_t3_sup_mensuel*ipr_taux4+(((ipr_t1_sup_mensuel*ipr_taux1)+(ipr_t2_sup_mensuel-ipr_t1_sup_mensuel)*ipr_taux2)+(ipr_t3_sup_mensuel-ipr_t2_sup_mensuel)*ipr_taux3))/((1-t_cnss_pension_salarie)-(IF(opt_cnss_deductible_ipr="Oui",1-t_cnss_pension_salarie,1))*ipr_taux4))))),AJ50))</f>
        <v/>
      </c>
      <c r="Z50" s="17" t="inlineStr">
        <is>
          <t>CDF</t>
        </is>
      </c>
      <c r="AA50" s="23">
        <f>IF($C50="","",IF(Z50="USD",P50*opt_taux_change,P50))</f>
        <v/>
      </c>
      <c r="AB50" s="19">
        <f>IF($C50="","",IF(H50="","",DATEDIF(H50,DATE(PARAMETRES!$C$29,12,31),"m")))</f>
        <v/>
      </c>
      <c r="AC50" s="19">
        <f>IF($C50="","",IF(AB50="",0,ROUND(AB50*taux_acquisition_conge+FLOOR(AB50/60,1)*majoration_anciennete_conge,1)))</f>
        <v/>
      </c>
      <c r="AD50" s="19">
        <f>IF($C50="","",VARIABLES!AW47+VARIABLES!AW300+VARIABLES!AW553+VARIABLES!AW806+VARIABLES!AW1059+VARIABLES!AW1312+VARIABLES!AW1565+VARIABLES!AW1818+VARIABLES!AW2071+VARIABLES!AW2324+VARIABLES!AW2577+VARIABLES!AW2830)</f>
        <v/>
      </c>
      <c r="AE50" s="19">
        <f>IF($C50="","",AC50-AD50)</f>
        <v/>
      </c>
      <c r="AH50" s="17" t="inlineStr">
        <is>
          <t>Manœuvre — Ordinaire</t>
        </is>
      </c>
      <c r="AI50" s="33">
        <f>IF($C50="","",IFERROR(INDEX(grille_tension_valeur,MATCH(AH50,grille_tension_label,0)),""))</f>
        <v/>
      </c>
      <c r="AJ50" s="23">
        <f>IF($C50="","",IF(AI50="",0,ROUND(smig_journalier*AI50*jours_smig_legal,0)))</f>
        <v/>
      </c>
    </row>
    <row r="51" ht="15" customHeight="1" s="15">
      <c r="B51" s="19" t="n">
        <v>37</v>
      </c>
      <c r="C51" s="17" t="n"/>
      <c r="D51" s="35" t="n"/>
      <c r="E51" s="17" t="n"/>
      <c r="F51" s="31" t="n"/>
      <c r="G51" s="19">
        <f>IF(F51="","",DATEDIF(F51,DATE(PARAMETRES!$C$29,12,31),"y"))</f>
        <v/>
      </c>
      <c r="H51" s="31" t="n"/>
      <c r="I51" s="19">
        <f>IF(H51="","",DATEDIF(H51,DATE(PARAMETRES!$C$29,12,31),"y")&amp;" an(s) "&amp;DATEDIF(H51,DATE(PARAMETRES!$C$29,12,31),"ym")&amp;" mois")</f>
        <v/>
      </c>
      <c r="J51" s="35" t="n"/>
      <c r="K51" s="17" t="n"/>
      <c r="L51" s="17" t="n"/>
      <c r="M51" s="17" t="n"/>
      <c r="N51" s="17" t="n"/>
      <c r="O51" s="17" t="n"/>
      <c r="P51" s="21" t="n"/>
      <c r="Q51" s="17" t="n"/>
      <c r="R51" s="17" t="n"/>
      <c r="S51" s="35" t="n"/>
      <c r="T51" s="17" t="n"/>
      <c r="U51" s="31" t="n"/>
      <c r="V51" s="35" t="n"/>
      <c r="W51" s="19">
        <f>IF(C51="","",DATEDIF(H51,DATE(PARAMETRES!$C$29,12,31),"y"))</f>
        <v/>
      </c>
      <c r="X51" s="17" t="inlineStr">
        <is>
          <t>Brut de base</t>
        </is>
      </c>
      <c r="Y51" s="23">
        <f>IF($C51="","",MAX(IF(X51="Brut de base",AA51,IF((AA51)&lt;=((ipr_t1_sup_mensuel/(IF(opt_cnss_deductible_ipr="Oui",1-t_cnss_pension_salarie,1)))*(1-t_cnss_pension_salarie)-(ipr_t1_sup_mensuel*ipr_taux1)),(AA51)/((1-t_cnss_pension_salarie)-(IF(opt_cnss_deductible_ipr="Oui",1-t_cnss_pension_salarie,1))*ipr_taux1),IF((AA51)&lt;=((ipr_t2_sup_mensuel/(IF(opt_cnss_deductible_ipr="Oui",1-t_cnss_pension_salarie,1)))*(1-t_cnss_pension_salarie)-((ipr_t1_sup_mensuel*ipr_taux1)+(ipr_t2_sup_mensuel-ipr_t1_sup_mensuel)*ipr_taux2)),((AA51)-ipr_t1_sup_mensuel*ipr_taux2+(ipr_t1_sup_mensuel*ipr_taux1))/((1-t_cnss_pension_salarie)-(IF(opt_cnss_deductible_ipr="Oui",1-t_cnss_pension_salarie,1))*ipr_taux2),IF((AA51)&lt;=((ipr_t3_sup_mensuel/(IF(opt_cnss_deductible_ipr="Oui",1-t_cnss_pension_salarie,1)))*(1-t_cnss_pension_salarie)-(((ipr_t1_sup_mensuel*ipr_taux1)+(ipr_t2_sup_mensuel-ipr_t1_sup_mensuel)*ipr_taux2)+(ipr_t3_sup_mensuel-ipr_t2_sup_mensuel)*ipr_taux3)),((AA51)-ipr_t2_sup_mensuel*ipr_taux3+((ipr_t1_sup_mensuel*ipr_taux1)+(ipr_t2_sup_mensuel-ipr_t1_sup_mensuel)*ipr_taux2))/((1-t_cnss_pension_salarie)-(IF(opt_cnss_deductible_ipr="Oui",1-t_cnss_pension_salarie,1))*ipr_taux3),((AA51)-ipr_t3_sup_mensuel*ipr_taux4+(((ipr_t1_sup_mensuel*ipr_taux1)+(ipr_t2_sup_mensuel-ipr_t1_sup_mensuel)*ipr_taux2)+(ipr_t3_sup_mensuel-ipr_t2_sup_mensuel)*ipr_taux3))/((1-t_cnss_pension_salarie)-(IF(opt_cnss_deductible_ipr="Oui",1-t_cnss_pension_salarie,1))*ipr_taux4))))),AJ51))</f>
        <v/>
      </c>
      <c r="Z51" s="17" t="inlineStr">
        <is>
          <t>CDF</t>
        </is>
      </c>
      <c r="AA51" s="23">
        <f>IF($C51="","",IF(Z51="USD",P51*opt_taux_change,P51))</f>
        <v/>
      </c>
      <c r="AB51" s="19">
        <f>IF($C51="","",IF(H51="","",DATEDIF(H51,DATE(PARAMETRES!$C$29,12,31),"m")))</f>
        <v/>
      </c>
      <c r="AC51" s="19">
        <f>IF($C51="","",IF(AB51="",0,ROUND(AB51*taux_acquisition_conge+FLOOR(AB51/60,1)*majoration_anciennete_conge,1)))</f>
        <v/>
      </c>
      <c r="AD51" s="19">
        <f>IF($C51="","",VARIABLES!AW48+VARIABLES!AW301+VARIABLES!AW554+VARIABLES!AW807+VARIABLES!AW1060+VARIABLES!AW1313+VARIABLES!AW1566+VARIABLES!AW1819+VARIABLES!AW2072+VARIABLES!AW2325+VARIABLES!AW2578+VARIABLES!AW2831)</f>
        <v/>
      </c>
      <c r="AE51" s="19">
        <f>IF($C51="","",AC51-AD51)</f>
        <v/>
      </c>
      <c r="AH51" s="17" t="inlineStr">
        <is>
          <t>Manœuvre — Ordinaire</t>
        </is>
      </c>
      <c r="AI51" s="33">
        <f>IF($C51="","",IFERROR(INDEX(grille_tension_valeur,MATCH(AH51,grille_tension_label,0)),""))</f>
        <v/>
      </c>
      <c r="AJ51" s="23">
        <f>IF($C51="","",IF(AI51="",0,ROUND(smig_journalier*AI51*jours_smig_legal,0)))</f>
        <v/>
      </c>
    </row>
    <row r="52" ht="15" customHeight="1" s="15">
      <c r="B52" s="19" t="n">
        <v>38</v>
      </c>
      <c r="C52" s="17" t="n"/>
      <c r="D52" s="35" t="n"/>
      <c r="E52" s="17" t="n"/>
      <c r="F52" s="31" t="n"/>
      <c r="G52" s="19">
        <f>IF(F52="","",DATEDIF(F52,DATE(PARAMETRES!$C$29,12,31),"y"))</f>
        <v/>
      </c>
      <c r="H52" s="31" t="n"/>
      <c r="I52" s="19">
        <f>IF(H52="","",DATEDIF(H52,DATE(PARAMETRES!$C$29,12,31),"y")&amp;" an(s) "&amp;DATEDIF(H52,DATE(PARAMETRES!$C$29,12,31),"ym")&amp;" mois")</f>
        <v/>
      </c>
      <c r="J52" s="35" t="n"/>
      <c r="K52" s="17" t="n"/>
      <c r="L52" s="17" t="n"/>
      <c r="M52" s="17" t="n"/>
      <c r="N52" s="17" t="n"/>
      <c r="O52" s="17" t="n"/>
      <c r="P52" s="21" t="n"/>
      <c r="Q52" s="17" t="n"/>
      <c r="R52" s="17" t="n"/>
      <c r="S52" s="35" t="n"/>
      <c r="T52" s="17" t="n"/>
      <c r="U52" s="31" t="n"/>
      <c r="V52" s="35" t="n"/>
      <c r="W52" s="19">
        <f>IF(C52="","",DATEDIF(H52,DATE(PARAMETRES!$C$29,12,31),"y"))</f>
        <v/>
      </c>
      <c r="X52" s="17" t="inlineStr">
        <is>
          <t>Brut de base</t>
        </is>
      </c>
      <c r="Y52" s="23">
        <f>IF($C52="","",MAX(IF(X52="Brut de base",AA52,IF((AA52)&lt;=((ipr_t1_sup_mensuel/(IF(opt_cnss_deductible_ipr="Oui",1-t_cnss_pension_salarie,1)))*(1-t_cnss_pension_salarie)-(ipr_t1_sup_mensuel*ipr_taux1)),(AA52)/((1-t_cnss_pension_salarie)-(IF(opt_cnss_deductible_ipr="Oui",1-t_cnss_pension_salarie,1))*ipr_taux1),IF((AA52)&lt;=((ipr_t2_sup_mensuel/(IF(opt_cnss_deductible_ipr="Oui",1-t_cnss_pension_salarie,1)))*(1-t_cnss_pension_salarie)-((ipr_t1_sup_mensuel*ipr_taux1)+(ipr_t2_sup_mensuel-ipr_t1_sup_mensuel)*ipr_taux2)),((AA52)-ipr_t1_sup_mensuel*ipr_taux2+(ipr_t1_sup_mensuel*ipr_taux1))/((1-t_cnss_pension_salarie)-(IF(opt_cnss_deductible_ipr="Oui",1-t_cnss_pension_salarie,1))*ipr_taux2),IF((AA52)&lt;=((ipr_t3_sup_mensuel/(IF(opt_cnss_deductible_ipr="Oui",1-t_cnss_pension_salarie,1)))*(1-t_cnss_pension_salarie)-(((ipr_t1_sup_mensuel*ipr_taux1)+(ipr_t2_sup_mensuel-ipr_t1_sup_mensuel)*ipr_taux2)+(ipr_t3_sup_mensuel-ipr_t2_sup_mensuel)*ipr_taux3)),((AA52)-ipr_t2_sup_mensuel*ipr_taux3+((ipr_t1_sup_mensuel*ipr_taux1)+(ipr_t2_sup_mensuel-ipr_t1_sup_mensuel)*ipr_taux2))/((1-t_cnss_pension_salarie)-(IF(opt_cnss_deductible_ipr="Oui",1-t_cnss_pension_salarie,1))*ipr_taux3),((AA52)-ipr_t3_sup_mensuel*ipr_taux4+(((ipr_t1_sup_mensuel*ipr_taux1)+(ipr_t2_sup_mensuel-ipr_t1_sup_mensuel)*ipr_taux2)+(ipr_t3_sup_mensuel-ipr_t2_sup_mensuel)*ipr_taux3))/((1-t_cnss_pension_salarie)-(IF(opt_cnss_deductible_ipr="Oui",1-t_cnss_pension_salarie,1))*ipr_taux4))))),AJ52))</f>
        <v/>
      </c>
      <c r="Z52" s="17" t="inlineStr">
        <is>
          <t>CDF</t>
        </is>
      </c>
      <c r="AA52" s="23">
        <f>IF($C52="","",IF(Z52="USD",P52*opt_taux_change,P52))</f>
        <v/>
      </c>
      <c r="AB52" s="19">
        <f>IF($C52="","",IF(H52="","",DATEDIF(H52,DATE(PARAMETRES!$C$29,12,31),"m")))</f>
        <v/>
      </c>
      <c r="AC52" s="19">
        <f>IF($C52="","",IF(AB52="",0,ROUND(AB52*taux_acquisition_conge+FLOOR(AB52/60,1)*majoration_anciennete_conge,1)))</f>
        <v/>
      </c>
      <c r="AD52" s="19">
        <f>IF($C52="","",VARIABLES!AW49+VARIABLES!AW302+VARIABLES!AW555+VARIABLES!AW808+VARIABLES!AW1061+VARIABLES!AW1314+VARIABLES!AW1567+VARIABLES!AW1820+VARIABLES!AW2073+VARIABLES!AW2326+VARIABLES!AW2579+VARIABLES!AW2832)</f>
        <v/>
      </c>
      <c r="AE52" s="19">
        <f>IF($C52="","",AC52-AD52)</f>
        <v/>
      </c>
      <c r="AH52" s="17" t="inlineStr">
        <is>
          <t>Manœuvre — Ordinaire</t>
        </is>
      </c>
      <c r="AI52" s="33">
        <f>IF($C52="","",IFERROR(INDEX(grille_tension_valeur,MATCH(AH52,grille_tension_label,0)),""))</f>
        <v/>
      </c>
      <c r="AJ52" s="23">
        <f>IF($C52="","",IF(AI52="",0,ROUND(smig_journalier*AI52*jours_smig_legal,0)))</f>
        <v/>
      </c>
    </row>
    <row r="53" ht="15" customHeight="1" s="15">
      <c r="B53" s="19" t="n">
        <v>39</v>
      </c>
      <c r="C53" s="17" t="n"/>
      <c r="D53" s="35" t="n"/>
      <c r="E53" s="17" t="n"/>
      <c r="F53" s="31" t="n"/>
      <c r="G53" s="19">
        <f>IF(F53="","",DATEDIF(F53,DATE(PARAMETRES!$C$29,12,31),"y"))</f>
        <v/>
      </c>
      <c r="H53" s="31" t="n"/>
      <c r="I53" s="19">
        <f>IF(H53="","",DATEDIF(H53,DATE(PARAMETRES!$C$29,12,31),"y")&amp;" an(s) "&amp;DATEDIF(H53,DATE(PARAMETRES!$C$29,12,31),"ym")&amp;" mois")</f>
        <v/>
      </c>
      <c r="J53" s="35" t="n"/>
      <c r="K53" s="17" t="n"/>
      <c r="L53" s="17" t="n"/>
      <c r="M53" s="17" t="n"/>
      <c r="N53" s="17" t="n"/>
      <c r="O53" s="17" t="n"/>
      <c r="P53" s="21" t="n"/>
      <c r="Q53" s="17" t="n"/>
      <c r="R53" s="17" t="n"/>
      <c r="S53" s="35" t="n"/>
      <c r="T53" s="17" t="n"/>
      <c r="U53" s="31" t="n"/>
      <c r="V53" s="35" t="n"/>
      <c r="W53" s="19">
        <f>IF(C53="","",DATEDIF(H53,DATE(PARAMETRES!$C$29,12,31),"y"))</f>
        <v/>
      </c>
      <c r="X53" s="17" t="inlineStr">
        <is>
          <t>Brut de base</t>
        </is>
      </c>
      <c r="Y53" s="23">
        <f>IF($C53="","",MAX(IF(X53="Brut de base",AA53,IF((AA53)&lt;=((ipr_t1_sup_mensuel/(IF(opt_cnss_deductible_ipr="Oui",1-t_cnss_pension_salarie,1)))*(1-t_cnss_pension_salarie)-(ipr_t1_sup_mensuel*ipr_taux1)),(AA53)/((1-t_cnss_pension_salarie)-(IF(opt_cnss_deductible_ipr="Oui",1-t_cnss_pension_salarie,1))*ipr_taux1),IF((AA53)&lt;=((ipr_t2_sup_mensuel/(IF(opt_cnss_deductible_ipr="Oui",1-t_cnss_pension_salarie,1)))*(1-t_cnss_pension_salarie)-((ipr_t1_sup_mensuel*ipr_taux1)+(ipr_t2_sup_mensuel-ipr_t1_sup_mensuel)*ipr_taux2)),((AA53)-ipr_t1_sup_mensuel*ipr_taux2+(ipr_t1_sup_mensuel*ipr_taux1))/((1-t_cnss_pension_salarie)-(IF(opt_cnss_deductible_ipr="Oui",1-t_cnss_pension_salarie,1))*ipr_taux2),IF((AA53)&lt;=((ipr_t3_sup_mensuel/(IF(opt_cnss_deductible_ipr="Oui",1-t_cnss_pension_salarie,1)))*(1-t_cnss_pension_salarie)-(((ipr_t1_sup_mensuel*ipr_taux1)+(ipr_t2_sup_mensuel-ipr_t1_sup_mensuel)*ipr_taux2)+(ipr_t3_sup_mensuel-ipr_t2_sup_mensuel)*ipr_taux3)),((AA53)-ipr_t2_sup_mensuel*ipr_taux3+((ipr_t1_sup_mensuel*ipr_taux1)+(ipr_t2_sup_mensuel-ipr_t1_sup_mensuel)*ipr_taux2))/((1-t_cnss_pension_salarie)-(IF(opt_cnss_deductible_ipr="Oui",1-t_cnss_pension_salarie,1))*ipr_taux3),((AA53)-ipr_t3_sup_mensuel*ipr_taux4+(((ipr_t1_sup_mensuel*ipr_taux1)+(ipr_t2_sup_mensuel-ipr_t1_sup_mensuel)*ipr_taux2)+(ipr_t3_sup_mensuel-ipr_t2_sup_mensuel)*ipr_taux3))/((1-t_cnss_pension_salarie)-(IF(opt_cnss_deductible_ipr="Oui",1-t_cnss_pension_salarie,1))*ipr_taux4))))),AJ53))</f>
        <v/>
      </c>
      <c r="Z53" s="17" t="inlineStr">
        <is>
          <t>CDF</t>
        </is>
      </c>
      <c r="AA53" s="23">
        <f>IF($C53="","",IF(Z53="USD",P53*opt_taux_change,P53))</f>
        <v/>
      </c>
      <c r="AB53" s="19">
        <f>IF($C53="","",IF(H53="","",DATEDIF(H53,DATE(PARAMETRES!$C$29,12,31),"m")))</f>
        <v/>
      </c>
      <c r="AC53" s="19">
        <f>IF($C53="","",IF(AB53="",0,ROUND(AB53*taux_acquisition_conge+FLOOR(AB53/60,1)*majoration_anciennete_conge,1)))</f>
        <v/>
      </c>
      <c r="AD53" s="19">
        <f>IF($C53="","",VARIABLES!AW50+VARIABLES!AW303+VARIABLES!AW556+VARIABLES!AW809+VARIABLES!AW1062+VARIABLES!AW1315+VARIABLES!AW1568+VARIABLES!AW1821+VARIABLES!AW2074+VARIABLES!AW2327+VARIABLES!AW2580+VARIABLES!AW2833)</f>
        <v/>
      </c>
      <c r="AE53" s="19">
        <f>IF($C53="","",AC53-AD53)</f>
        <v/>
      </c>
      <c r="AH53" s="17" t="inlineStr">
        <is>
          <t>Manœuvre — Ordinaire</t>
        </is>
      </c>
      <c r="AI53" s="33">
        <f>IF($C53="","",IFERROR(INDEX(grille_tension_valeur,MATCH(AH53,grille_tension_label,0)),""))</f>
        <v/>
      </c>
      <c r="AJ53" s="23">
        <f>IF($C53="","",IF(AI53="",0,ROUND(smig_journalier*AI53*jours_smig_legal,0)))</f>
        <v/>
      </c>
    </row>
    <row r="54" ht="15" customHeight="1" s="15">
      <c r="B54" s="19" t="n">
        <v>40</v>
      </c>
      <c r="C54" s="17" t="n"/>
      <c r="D54" s="35" t="n"/>
      <c r="E54" s="17" t="n"/>
      <c r="F54" s="31" t="n"/>
      <c r="G54" s="19">
        <f>IF(F54="","",DATEDIF(F54,DATE(PARAMETRES!$C$29,12,31),"y"))</f>
        <v/>
      </c>
      <c r="H54" s="31" t="n"/>
      <c r="I54" s="19">
        <f>IF(H54="","",DATEDIF(H54,DATE(PARAMETRES!$C$29,12,31),"y")&amp;" an(s) "&amp;DATEDIF(H54,DATE(PARAMETRES!$C$29,12,31),"ym")&amp;" mois")</f>
        <v/>
      </c>
      <c r="J54" s="35" t="n"/>
      <c r="K54" s="17" t="n"/>
      <c r="L54" s="17" t="n"/>
      <c r="M54" s="17" t="n"/>
      <c r="N54" s="17" t="n"/>
      <c r="O54" s="17" t="n"/>
      <c r="P54" s="21" t="n"/>
      <c r="Q54" s="17" t="n"/>
      <c r="R54" s="17" t="n"/>
      <c r="S54" s="35" t="n"/>
      <c r="T54" s="17" t="n"/>
      <c r="U54" s="31" t="n"/>
      <c r="V54" s="35" t="n"/>
      <c r="W54" s="19">
        <f>IF(C54="","",DATEDIF(H54,DATE(PARAMETRES!$C$29,12,31),"y"))</f>
        <v/>
      </c>
      <c r="X54" s="17" t="inlineStr">
        <is>
          <t>Brut de base</t>
        </is>
      </c>
      <c r="Y54" s="23">
        <f>IF($C54="","",MAX(IF(X54="Brut de base",AA54,IF((AA54)&lt;=((ipr_t1_sup_mensuel/(IF(opt_cnss_deductible_ipr="Oui",1-t_cnss_pension_salarie,1)))*(1-t_cnss_pension_salarie)-(ipr_t1_sup_mensuel*ipr_taux1)),(AA54)/((1-t_cnss_pension_salarie)-(IF(opt_cnss_deductible_ipr="Oui",1-t_cnss_pension_salarie,1))*ipr_taux1),IF((AA54)&lt;=((ipr_t2_sup_mensuel/(IF(opt_cnss_deductible_ipr="Oui",1-t_cnss_pension_salarie,1)))*(1-t_cnss_pension_salarie)-((ipr_t1_sup_mensuel*ipr_taux1)+(ipr_t2_sup_mensuel-ipr_t1_sup_mensuel)*ipr_taux2)),((AA54)-ipr_t1_sup_mensuel*ipr_taux2+(ipr_t1_sup_mensuel*ipr_taux1))/((1-t_cnss_pension_salarie)-(IF(opt_cnss_deductible_ipr="Oui",1-t_cnss_pension_salarie,1))*ipr_taux2),IF((AA54)&lt;=((ipr_t3_sup_mensuel/(IF(opt_cnss_deductible_ipr="Oui",1-t_cnss_pension_salarie,1)))*(1-t_cnss_pension_salarie)-(((ipr_t1_sup_mensuel*ipr_taux1)+(ipr_t2_sup_mensuel-ipr_t1_sup_mensuel)*ipr_taux2)+(ipr_t3_sup_mensuel-ipr_t2_sup_mensuel)*ipr_taux3)),((AA54)-ipr_t2_sup_mensuel*ipr_taux3+((ipr_t1_sup_mensuel*ipr_taux1)+(ipr_t2_sup_mensuel-ipr_t1_sup_mensuel)*ipr_taux2))/((1-t_cnss_pension_salarie)-(IF(opt_cnss_deductible_ipr="Oui",1-t_cnss_pension_salarie,1))*ipr_taux3),((AA54)-ipr_t3_sup_mensuel*ipr_taux4+(((ipr_t1_sup_mensuel*ipr_taux1)+(ipr_t2_sup_mensuel-ipr_t1_sup_mensuel)*ipr_taux2)+(ipr_t3_sup_mensuel-ipr_t2_sup_mensuel)*ipr_taux3))/((1-t_cnss_pension_salarie)-(IF(opt_cnss_deductible_ipr="Oui",1-t_cnss_pension_salarie,1))*ipr_taux4))))),AJ54))</f>
        <v/>
      </c>
      <c r="Z54" s="17" t="inlineStr">
        <is>
          <t>CDF</t>
        </is>
      </c>
      <c r="AA54" s="23">
        <f>IF($C54="","",IF(Z54="USD",P54*opt_taux_change,P54))</f>
        <v/>
      </c>
      <c r="AB54" s="19">
        <f>IF($C54="","",IF(H54="","",DATEDIF(H54,DATE(PARAMETRES!$C$29,12,31),"m")))</f>
        <v/>
      </c>
      <c r="AC54" s="19">
        <f>IF($C54="","",IF(AB54="",0,ROUND(AB54*taux_acquisition_conge+FLOOR(AB54/60,1)*majoration_anciennete_conge,1)))</f>
        <v/>
      </c>
      <c r="AD54" s="19">
        <f>IF($C54="","",VARIABLES!AW51+VARIABLES!AW304+VARIABLES!AW557+VARIABLES!AW810+VARIABLES!AW1063+VARIABLES!AW1316+VARIABLES!AW1569+VARIABLES!AW1822+VARIABLES!AW2075+VARIABLES!AW2328+VARIABLES!AW2581+VARIABLES!AW2834)</f>
        <v/>
      </c>
      <c r="AE54" s="19">
        <f>IF($C54="","",AC54-AD54)</f>
        <v/>
      </c>
      <c r="AH54" s="17" t="inlineStr">
        <is>
          <t>Manœuvre — Ordinaire</t>
        </is>
      </c>
      <c r="AI54" s="33">
        <f>IF($C54="","",IFERROR(INDEX(grille_tension_valeur,MATCH(AH54,grille_tension_label,0)),""))</f>
        <v/>
      </c>
      <c r="AJ54" s="23">
        <f>IF($C54="","",IF(AI54="",0,ROUND(smig_journalier*AI54*jours_smig_legal,0)))</f>
        <v/>
      </c>
    </row>
    <row r="55" ht="15" customHeight="1" s="15">
      <c r="B55" s="19" t="n">
        <v>41</v>
      </c>
      <c r="C55" s="17" t="n"/>
      <c r="D55" s="35" t="n"/>
      <c r="E55" s="17" t="n"/>
      <c r="F55" s="31" t="n"/>
      <c r="G55" s="19">
        <f>IF(F55="","",DATEDIF(F55,DATE(PARAMETRES!$C$29,12,31),"y"))</f>
        <v/>
      </c>
      <c r="H55" s="31" t="n"/>
      <c r="I55" s="19">
        <f>IF(H55="","",DATEDIF(H55,DATE(PARAMETRES!$C$29,12,31),"y")&amp;" an(s) "&amp;DATEDIF(H55,DATE(PARAMETRES!$C$29,12,31),"ym")&amp;" mois")</f>
        <v/>
      </c>
      <c r="J55" s="35" t="n"/>
      <c r="K55" s="17" t="n"/>
      <c r="L55" s="17" t="n"/>
      <c r="M55" s="17" t="n"/>
      <c r="N55" s="17" t="n"/>
      <c r="O55" s="17" t="n"/>
      <c r="P55" s="21" t="n"/>
      <c r="Q55" s="17" t="n"/>
      <c r="R55" s="17" t="n"/>
      <c r="S55" s="35" t="n"/>
      <c r="T55" s="17" t="n"/>
      <c r="U55" s="31" t="n"/>
      <c r="V55" s="35" t="n"/>
      <c r="W55" s="19">
        <f>IF(C55="","",DATEDIF(H55,DATE(PARAMETRES!$C$29,12,31),"y"))</f>
        <v/>
      </c>
      <c r="X55" s="17" t="inlineStr">
        <is>
          <t>Brut de base</t>
        </is>
      </c>
      <c r="Y55" s="23">
        <f>IF($C55="","",MAX(IF(X55="Brut de base",AA55,IF((AA55)&lt;=((ipr_t1_sup_mensuel/(IF(opt_cnss_deductible_ipr="Oui",1-t_cnss_pension_salarie,1)))*(1-t_cnss_pension_salarie)-(ipr_t1_sup_mensuel*ipr_taux1)),(AA55)/((1-t_cnss_pension_salarie)-(IF(opt_cnss_deductible_ipr="Oui",1-t_cnss_pension_salarie,1))*ipr_taux1),IF((AA55)&lt;=((ipr_t2_sup_mensuel/(IF(opt_cnss_deductible_ipr="Oui",1-t_cnss_pension_salarie,1)))*(1-t_cnss_pension_salarie)-((ipr_t1_sup_mensuel*ipr_taux1)+(ipr_t2_sup_mensuel-ipr_t1_sup_mensuel)*ipr_taux2)),((AA55)-ipr_t1_sup_mensuel*ipr_taux2+(ipr_t1_sup_mensuel*ipr_taux1))/((1-t_cnss_pension_salarie)-(IF(opt_cnss_deductible_ipr="Oui",1-t_cnss_pension_salarie,1))*ipr_taux2),IF((AA55)&lt;=((ipr_t3_sup_mensuel/(IF(opt_cnss_deductible_ipr="Oui",1-t_cnss_pension_salarie,1)))*(1-t_cnss_pension_salarie)-(((ipr_t1_sup_mensuel*ipr_taux1)+(ipr_t2_sup_mensuel-ipr_t1_sup_mensuel)*ipr_taux2)+(ipr_t3_sup_mensuel-ipr_t2_sup_mensuel)*ipr_taux3)),((AA55)-ipr_t2_sup_mensuel*ipr_taux3+((ipr_t1_sup_mensuel*ipr_taux1)+(ipr_t2_sup_mensuel-ipr_t1_sup_mensuel)*ipr_taux2))/((1-t_cnss_pension_salarie)-(IF(opt_cnss_deductible_ipr="Oui",1-t_cnss_pension_salarie,1))*ipr_taux3),((AA55)-ipr_t3_sup_mensuel*ipr_taux4+(((ipr_t1_sup_mensuel*ipr_taux1)+(ipr_t2_sup_mensuel-ipr_t1_sup_mensuel)*ipr_taux2)+(ipr_t3_sup_mensuel-ipr_t2_sup_mensuel)*ipr_taux3))/((1-t_cnss_pension_salarie)-(IF(opt_cnss_deductible_ipr="Oui",1-t_cnss_pension_salarie,1))*ipr_taux4))))),AJ55))</f>
        <v/>
      </c>
      <c r="Z55" s="17" t="inlineStr">
        <is>
          <t>CDF</t>
        </is>
      </c>
      <c r="AA55" s="23">
        <f>IF($C55="","",IF(Z55="USD",P55*opt_taux_change,P55))</f>
        <v/>
      </c>
      <c r="AB55" s="19">
        <f>IF($C55="","",IF(H55="","",DATEDIF(H55,DATE(PARAMETRES!$C$29,12,31),"m")))</f>
        <v/>
      </c>
      <c r="AC55" s="19">
        <f>IF($C55="","",IF(AB55="",0,ROUND(AB55*taux_acquisition_conge+FLOOR(AB55/60,1)*majoration_anciennete_conge,1)))</f>
        <v/>
      </c>
      <c r="AD55" s="19">
        <f>IF($C55="","",VARIABLES!AW52+VARIABLES!AW305+VARIABLES!AW558+VARIABLES!AW811+VARIABLES!AW1064+VARIABLES!AW1317+VARIABLES!AW1570+VARIABLES!AW1823+VARIABLES!AW2076+VARIABLES!AW2329+VARIABLES!AW2582+VARIABLES!AW2835)</f>
        <v/>
      </c>
      <c r="AE55" s="19">
        <f>IF($C55="","",AC55-AD55)</f>
        <v/>
      </c>
      <c r="AH55" s="17" t="inlineStr">
        <is>
          <t>Manœuvre — Ordinaire</t>
        </is>
      </c>
      <c r="AI55" s="33">
        <f>IF($C55="","",IFERROR(INDEX(grille_tension_valeur,MATCH(AH55,grille_tension_label,0)),""))</f>
        <v/>
      </c>
      <c r="AJ55" s="23">
        <f>IF($C55="","",IF(AI55="",0,ROUND(smig_journalier*AI55*jours_smig_legal,0)))</f>
        <v/>
      </c>
    </row>
    <row r="56" ht="15" customHeight="1" s="15">
      <c r="B56" s="19" t="n">
        <v>42</v>
      </c>
      <c r="C56" s="17" t="n"/>
      <c r="D56" s="35" t="n"/>
      <c r="E56" s="17" t="n"/>
      <c r="F56" s="31" t="n"/>
      <c r="G56" s="19">
        <f>IF(F56="","",DATEDIF(F56,DATE(PARAMETRES!$C$29,12,31),"y"))</f>
        <v/>
      </c>
      <c r="H56" s="31" t="n"/>
      <c r="I56" s="19">
        <f>IF(H56="","",DATEDIF(H56,DATE(PARAMETRES!$C$29,12,31),"y")&amp;" an(s) "&amp;DATEDIF(H56,DATE(PARAMETRES!$C$29,12,31),"ym")&amp;" mois")</f>
        <v/>
      </c>
      <c r="J56" s="35" t="n"/>
      <c r="K56" s="17" t="n"/>
      <c r="L56" s="17" t="n"/>
      <c r="M56" s="17" t="n"/>
      <c r="N56" s="17" t="n"/>
      <c r="O56" s="17" t="n"/>
      <c r="P56" s="21" t="n"/>
      <c r="Q56" s="17" t="n"/>
      <c r="R56" s="17" t="n"/>
      <c r="S56" s="35" t="n"/>
      <c r="T56" s="17" t="n"/>
      <c r="U56" s="31" t="n"/>
      <c r="V56" s="35" t="n"/>
      <c r="W56" s="19">
        <f>IF(C56="","",DATEDIF(H56,DATE(PARAMETRES!$C$29,12,31),"y"))</f>
        <v/>
      </c>
      <c r="X56" s="17" t="inlineStr">
        <is>
          <t>Brut de base</t>
        </is>
      </c>
      <c r="Y56" s="23">
        <f>IF($C56="","",MAX(IF(X56="Brut de base",AA56,IF((AA56)&lt;=((ipr_t1_sup_mensuel/(IF(opt_cnss_deductible_ipr="Oui",1-t_cnss_pension_salarie,1)))*(1-t_cnss_pension_salarie)-(ipr_t1_sup_mensuel*ipr_taux1)),(AA56)/((1-t_cnss_pension_salarie)-(IF(opt_cnss_deductible_ipr="Oui",1-t_cnss_pension_salarie,1))*ipr_taux1),IF((AA56)&lt;=((ipr_t2_sup_mensuel/(IF(opt_cnss_deductible_ipr="Oui",1-t_cnss_pension_salarie,1)))*(1-t_cnss_pension_salarie)-((ipr_t1_sup_mensuel*ipr_taux1)+(ipr_t2_sup_mensuel-ipr_t1_sup_mensuel)*ipr_taux2)),((AA56)-ipr_t1_sup_mensuel*ipr_taux2+(ipr_t1_sup_mensuel*ipr_taux1))/((1-t_cnss_pension_salarie)-(IF(opt_cnss_deductible_ipr="Oui",1-t_cnss_pension_salarie,1))*ipr_taux2),IF((AA56)&lt;=((ipr_t3_sup_mensuel/(IF(opt_cnss_deductible_ipr="Oui",1-t_cnss_pension_salarie,1)))*(1-t_cnss_pension_salarie)-(((ipr_t1_sup_mensuel*ipr_taux1)+(ipr_t2_sup_mensuel-ipr_t1_sup_mensuel)*ipr_taux2)+(ipr_t3_sup_mensuel-ipr_t2_sup_mensuel)*ipr_taux3)),((AA56)-ipr_t2_sup_mensuel*ipr_taux3+((ipr_t1_sup_mensuel*ipr_taux1)+(ipr_t2_sup_mensuel-ipr_t1_sup_mensuel)*ipr_taux2))/((1-t_cnss_pension_salarie)-(IF(opt_cnss_deductible_ipr="Oui",1-t_cnss_pension_salarie,1))*ipr_taux3),((AA56)-ipr_t3_sup_mensuel*ipr_taux4+(((ipr_t1_sup_mensuel*ipr_taux1)+(ipr_t2_sup_mensuel-ipr_t1_sup_mensuel)*ipr_taux2)+(ipr_t3_sup_mensuel-ipr_t2_sup_mensuel)*ipr_taux3))/((1-t_cnss_pension_salarie)-(IF(opt_cnss_deductible_ipr="Oui",1-t_cnss_pension_salarie,1))*ipr_taux4))))),AJ56))</f>
        <v/>
      </c>
      <c r="Z56" s="17" t="inlineStr">
        <is>
          <t>CDF</t>
        </is>
      </c>
      <c r="AA56" s="23">
        <f>IF($C56="","",IF(Z56="USD",P56*opt_taux_change,P56))</f>
        <v/>
      </c>
      <c r="AB56" s="19">
        <f>IF($C56="","",IF(H56="","",DATEDIF(H56,DATE(PARAMETRES!$C$29,12,31),"m")))</f>
        <v/>
      </c>
      <c r="AC56" s="19">
        <f>IF($C56="","",IF(AB56="",0,ROUND(AB56*taux_acquisition_conge+FLOOR(AB56/60,1)*majoration_anciennete_conge,1)))</f>
        <v/>
      </c>
      <c r="AD56" s="19">
        <f>IF($C56="","",VARIABLES!AW53+VARIABLES!AW306+VARIABLES!AW559+VARIABLES!AW812+VARIABLES!AW1065+VARIABLES!AW1318+VARIABLES!AW1571+VARIABLES!AW1824+VARIABLES!AW2077+VARIABLES!AW2330+VARIABLES!AW2583+VARIABLES!AW2836)</f>
        <v/>
      </c>
      <c r="AE56" s="19">
        <f>IF($C56="","",AC56-AD56)</f>
        <v/>
      </c>
      <c r="AH56" s="17" t="inlineStr">
        <is>
          <t>Manœuvre — Ordinaire</t>
        </is>
      </c>
      <c r="AI56" s="33">
        <f>IF($C56="","",IFERROR(INDEX(grille_tension_valeur,MATCH(AH56,grille_tension_label,0)),""))</f>
        <v/>
      </c>
      <c r="AJ56" s="23">
        <f>IF($C56="","",IF(AI56="",0,ROUND(smig_journalier*AI56*jours_smig_legal,0)))</f>
        <v/>
      </c>
    </row>
    <row r="57" ht="15" customHeight="1" s="15">
      <c r="B57" s="19" t="n">
        <v>43</v>
      </c>
      <c r="C57" s="17" t="n"/>
      <c r="D57" s="35" t="n"/>
      <c r="E57" s="17" t="n"/>
      <c r="F57" s="31" t="n"/>
      <c r="G57" s="19">
        <f>IF(F57="","",DATEDIF(F57,DATE(PARAMETRES!$C$29,12,31),"y"))</f>
        <v/>
      </c>
      <c r="H57" s="31" t="n"/>
      <c r="I57" s="19">
        <f>IF(H57="","",DATEDIF(H57,DATE(PARAMETRES!$C$29,12,31),"y")&amp;" an(s) "&amp;DATEDIF(H57,DATE(PARAMETRES!$C$29,12,31),"ym")&amp;" mois")</f>
        <v/>
      </c>
      <c r="J57" s="35" t="n"/>
      <c r="K57" s="17" t="n"/>
      <c r="L57" s="17" t="n"/>
      <c r="M57" s="17" t="n"/>
      <c r="N57" s="17" t="n"/>
      <c r="O57" s="17" t="n"/>
      <c r="P57" s="21" t="n"/>
      <c r="Q57" s="17" t="n"/>
      <c r="R57" s="17" t="n"/>
      <c r="S57" s="35" t="n"/>
      <c r="T57" s="17" t="n"/>
      <c r="U57" s="31" t="n"/>
      <c r="V57" s="35" t="n"/>
      <c r="W57" s="19">
        <f>IF(C57="","",DATEDIF(H57,DATE(PARAMETRES!$C$29,12,31),"y"))</f>
        <v/>
      </c>
      <c r="X57" s="17" t="inlineStr">
        <is>
          <t>Brut de base</t>
        </is>
      </c>
      <c r="Y57" s="23">
        <f>IF($C57="","",MAX(IF(X57="Brut de base",AA57,IF((AA57)&lt;=((ipr_t1_sup_mensuel/(IF(opt_cnss_deductible_ipr="Oui",1-t_cnss_pension_salarie,1)))*(1-t_cnss_pension_salarie)-(ipr_t1_sup_mensuel*ipr_taux1)),(AA57)/((1-t_cnss_pension_salarie)-(IF(opt_cnss_deductible_ipr="Oui",1-t_cnss_pension_salarie,1))*ipr_taux1),IF((AA57)&lt;=((ipr_t2_sup_mensuel/(IF(opt_cnss_deductible_ipr="Oui",1-t_cnss_pension_salarie,1)))*(1-t_cnss_pension_salarie)-((ipr_t1_sup_mensuel*ipr_taux1)+(ipr_t2_sup_mensuel-ipr_t1_sup_mensuel)*ipr_taux2)),((AA57)-ipr_t1_sup_mensuel*ipr_taux2+(ipr_t1_sup_mensuel*ipr_taux1))/((1-t_cnss_pension_salarie)-(IF(opt_cnss_deductible_ipr="Oui",1-t_cnss_pension_salarie,1))*ipr_taux2),IF((AA57)&lt;=((ipr_t3_sup_mensuel/(IF(opt_cnss_deductible_ipr="Oui",1-t_cnss_pension_salarie,1)))*(1-t_cnss_pension_salarie)-(((ipr_t1_sup_mensuel*ipr_taux1)+(ipr_t2_sup_mensuel-ipr_t1_sup_mensuel)*ipr_taux2)+(ipr_t3_sup_mensuel-ipr_t2_sup_mensuel)*ipr_taux3)),((AA57)-ipr_t2_sup_mensuel*ipr_taux3+((ipr_t1_sup_mensuel*ipr_taux1)+(ipr_t2_sup_mensuel-ipr_t1_sup_mensuel)*ipr_taux2))/((1-t_cnss_pension_salarie)-(IF(opt_cnss_deductible_ipr="Oui",1-t_cnss_pension_salarie,1))*ipr_taux3),((AA57)-ipr_t3_sup_mensuel*ipr_taux4+(((ipr_t1_sup_mensuel*ipr_taux1)+(ipr_t2_sup_mensuel-ipr_t1_sup_mensuel)*ipr_taux2)+(ipr_t3_sup_mensuel-ipr_t2_sup_mensuel)*ipr_taux3))/((1-t_cnss_pension_salarie)-(IF(opt_cnss_deductible_ipr="Oui",1-t_cnss_pension_salarie,1))*ipr_taux4))))),AJ57))</f>
        <v/>
      </c>
      <c r="Z57" s="17" t="inlineStr">
        <is>
          <t>CDF</t>
        </is>
      </c>
      <c r="AA57" s="23">
        <f>IF($C57="","",IF(Z57="USD",P57*opt_taux_change,P57))</f>
        <v/>
      </c>
      <c r="AB57" s="19">
        <f>IF($C57="","",IF(H57="","",DATEDIF(H57,DATE(PARAMETRES!$C$29,12,31),"m")))</f>
        <v/>
      </c>
      <c r="AC57" s="19">
        <f>IF($C57="","",IF(AB57="",0,ROUND(AB57*taux_acquisition_conge+FLOOR(AB57/60,1)*majoration_anciennete_conge,1)))</f>
        <v/>
      </c>
      <c r="AD57" s="19">
        <f>IF($C57="","",VARIABLES!AW54+VARIABLES!AW307+VARIABLES!AW560+VARIABLES!AW813+VARIABLES!AW1066+VARIABLES!AW1319+VARIABLES!AW1572+VARIABLES!AW1825+VARIABLES!AW2078+VARIABLES!AW2331+VARIABLES!AW2584+VARIABLES!AW2837)</f>
        <v/>
      </c>
      <c r="AE57" s="19">
        <f>IF($C57="","",AC57-AD57)</f>
        <v/>
      </c>
      <c r="AH57" s="17" t="inlineStr">
        <is>
          <t>Manœuvre — Ordinaire</t>
        </is>
      </c>
      <c r="AI57" s="33">
        <f>IF($C57="","",IFERROR(INDEX(grille_tension_valeur,MATCH(AH57,grille_tension_label,0)),""))</f>
        <v/>
      </c>
      <c r="AJ57" s="23">
        <f>IF($C57="","",IF(AI57="",0,ROUND(smig_journalier*AI57*jours_smig_legal,0)))</f>
        <v/>
      </c>
    </row>
    <row r="58" ht="15" customHeight="1" s="15">
      <c r="B58" s="19" t="n">
        <v>44</v>
      </c>
      <c r="C58" s="17" t="n"/>
      <c r="D58" s="35" t="n"/>
      <c r="E58" s="17" t="n"/>
      <c r="F58" s="31" t="n"/>
      <c r="G58" s="19">
        <f>IF(F58="","",DATEDIF(F58,DATE(PARAMETRES!$C$29,12,31),"y"))</f>
        <v/>
      </c>
      <c r="H58" s="31" t="n"/>
      <c r="I58" s="19">
        <f>IF(H58="","",DATEDIF(H58,DATE(PARAMETRES!$C$29,12,31),"y")&amp;" an(s) "&amp;DATEDIF(H58,DATE(PARAMETRES!$C$29,12,31),"ym")&amp;" mois")</f>
        <v/>
      </c>
      <c r="J58" s="35" t="n"/>
      <c r="K58" s="17" t="n"/>
      <c r="L58" s="17" t="n"/>
      <c r="M58" s="17" t="n"/>
      <c r="N58" s="17" t="n"/>
      <c r="O58" s="17" t="n"/>
      <c r="P58" s="21" t="n"/>
      <c r="Q58" s="17" t="n"/>
      <c r="R58" s="17" t="n"/>
      <c r="S58" s="35" t="n"/>
      <c r="T58" s="17" t="n"/>
      <c r="U58" s="31" t="n"/>
      <c r="V58" s="35" t="n"/>
      <c r="W58" s="19">
        <f>IF(C58="","",DATEDIF(H58,DATE(PARAMETRES!$C$29,12,31),"y"))</f>
        <v/>
      </c>
      <c r="X58" s="17" t="inlineStr">
        <is>
          <t>Brut de base</t>
        </is>
      </c>
      <c r="Y58" s="23">
        <f>IF($C58="","",MAX(IF(X58="Brut de base",AA58,IF((AA58)&lt;=((ipr_t1_sup_mensuel/(IF(opt_cnss_deductible_ipr="Oui",1-t_cnss_pension_salarie,1)))*(1-t_cnss_pension_salarie)-(ipr_t1_sup_mensuel*ipr_taux1)),(AA58)/((1-t_cnss_pension_salarie)-(IF(opt_cnss_deductible_ipr="Oui",1-t_cnss_pension_salarie,1))*ipr_taux1),IF((AA58)&lt;=((ipr_t2_sup_mensuel/(IF(opt_cnss_deductible_ipr="Oui",1-t_cnss_pension_salarie,1)))*(1-t_cnss_pension_salarie)-((ipr_t1_sup_mensuel*ipr_taux1)+(ipr_t2_sup_mensuel-ipr_t1_sup_mensuel)*ipr_taux2)),((AA58)-ipr_t1_sup_mensuel*ipr_taux2+(ipr_t1_sup_mensuel*ipr_taux1))/((1-t_cnss_pension_salarie)-(IF(opt_cnss_deductible_ipr="Oui",1-t_cnss_pension_salarie,1))*ipr_taux2),IF((AA58)&lt;=((ipr_t3_sup_mensuel/(IF(opt_cnss_deductible_ipr="Oui",1-t_cnss_pension_salarie,1)))*(1-t_cnss_pension_salarie)-(((ipr_t1_sup_mensuel*ipr_taux1)+(ipr_t2_sup_mensuel-ipr_t1_sup_mensuel)*ipr_taux2)+(ipr_t3_sup_mensuel-ipr_t2_sup_mensuel)*ipr_taux3)),((AA58)-ipr_t2_sup_mensuel*ipr_taux3+((ipr_t1_sup_mensuel*ipr_taux1)+(ipr_t2_sup_mensuel-ipr_t1_sup_mensuel)*ipr_taux2))/((1-t_cnss_pension_salarie)-(IF(opt_cnss_deductible_ipr="Oui",1-t_cnss_pension_salarie,1))*ipr_taux3),((AA58)-ipr_t3_sup_mensuel*ipr_taux4+(((ipr_t1_sup_mensuel*ipr_taux1)+(ipr_t2_sup_mensuel-ipr_t1_sup_mensuel)*ipr_taux2)+(ipr_t3_sup_mensuel-ipr_t2_sup_mensuel)*ipr_taux3))/((1-t_cnss_pension_salarie)-(IF(opt_cnss_deductible_ipr="Oui",1-t_cnss_pension_salarie,1))*ipr_taux4))))),AJ58))</f>
        <v/>
      </c>
      <c r="Z58" s="17" t="inlineStr">
        <is>
          <t>CDF</t>
        </is>
      </c>
      <c r="AA58" s="23">
        <f>IF($C58="","",IF(Z58="USD",P58*opt_taux_change,P58))</f>
        <v/>
      </c>
      <c r="AB58" s="19">
        <f>IF($C58="","",IF(H58="","",DATEDIF(H58,DATE(PARAMETRES!$C$29,12,31),"m")))</f>
        <v/>
      </c>
      <c r="AC58" s="19">
        <f>IF($C58="","",IF(AB58="",0,ROUND(AB58*taux_acquisition_conge+FLOOR(AB58/60,1)*majoration_anciennete_conge,1)))</f>
        <v/>
      </c>
      <c r="AD58" s="19">
        <f>IF($C58="","",VARIABLES!AW55+VARIABLES!AW308+VARIABLES!AW561+VARIABLES!AW814+VARIABLES!AW1067+VARIABLES!AW1320+VARIABLES!AW1573+VARIABLES!AW1826+VARIABLES!AW2079+VARIABLES!AW2332+VARIABLES!AW2585+VARIABLES!AW2838)</f>
        <v/>
      </c>
      <c r="AE58" s="19">
        <f>IF($C58="","",AC58-AD58)</f>
        <v/>
      </c>
      <c r="AH58" s="17" t="inlineStr">
        <is>
          <t>Manœuvre — Ordinaire</t>
        </is>
      </c>
      <c r="AI58" s="33">
        <f>IF($C58="","",IFERROR(INDEX(grille_tension_valeur,MATCH(AH58,grille_tension_label,0)),""))</f>
        <v/>
      </c>
      <c r="AJ58" s="23">
        <f>IF($C58="","",IF(AI58="",0,ROUND(smig_journalier*AI58*jours_smig_legal,0)))</f>
        <v/>
      </c>
    </row>
    <row r="59" ht="15" customHeight="1" s="15">
      <c r="B59" s="19" t="n">
        <v>45</v>
      </c>
      <c r="C59" s="17" t="n"/>
      <c r="D59" s="35" t="n"/>
      <c r="E59" s="17" t="n"/>
      <c r="F59" s="31" t="n"/>
      <c r="G59" s="19">
        <f>IF(F59="","",DATEDIF(F59,DATE(PARAMETRES!$C$29,12,31),"y"))</f>
        <v/>
      </c>
      <c r="H59" s="31" t="n"/>
      <c r="I59" s="19">
        <f>IF(H59="","",DATEDIF(H59,DATE(PARAMETRES!$C$29,12,31),"y")&amp;" an(s) "&amp;DATEDIF(H59,DATE(PARAMETRES!$C$29,12,31),"ym")&amp;" mois")</f>
        <v/>
      </c>
      <c r="J59" s="35" t="n"/>
      <c r="K59" s="17" t="n"/>
      <c r="L59" s="17" t="n"/>
      <c r="M59" s="17" t="n"/>
      <c r="N59" s="17" t="n"/>
      <c r="O59" s="17" t="n"/>
      <c r="P59" s="21" t="n"/>
      <c r="Q59" s="17" t="n"/>
      <c r="R59" s="17" t="n"/>
      <c r="S59" s="35" t="n"/>
      <c r="T59" s="17" t="n"/>
      <c r="U59" s="31" t="n"/>
      <c r="V59" s="35" t="n"/>
      <c r="W59" s="19">
        <f>IF(C59="","",DATEDIF(H59,DATE(PARAMETRES!$C$29,12,31),"y"))</f>
        <v/>
      </c>
      <c r="X59" s="17" t="inlineStr">
        <is>
          <t>Brut de base</t>
        </is>
      </c>
      <c r="Y59" s="23">
        <f>IF($C59="","",MAX(IF(X59="Brut de base",AA59,IF((AA59)&lt;=((ipr_t1_sup_mensuel/(IF(opt_cnss_deductible_ipr="Oui",1-t_cnss_pension_salarie,1)))*(1-t_cnss_pension_salarie)-(ipr_t1_sup_mensuel*ipr_taux1)),(AA59)/((1-t_cnss_pension_salarie)-(IF(opt_cnss_deductible_ipr="Oui",1-t_cnss_pension_salarie,1))*ipr_taux1),IF((AA59)&lt;=((ipr_t2_sup_mensuel/(IF(opt_cnss_deductible_ipr="Oui",1-t_cnss_pension_salarie,1)))*(1-t_cnss_pension_salarie)-((ipr_t1_sup_mensuel*ipr_taux1)+(ipr_t2_sup_mensuel-ipr_t1_sup_mensuel)*ipr_taux2)),((AA59)-ipr_t1_sup_mensuel*ipr_taux2+(ipr_t1_sup_mensuel*ipr_taux1))/((1-t_cnss_pension_salarie)-(IF(opt_cnss_deductible_ipr="Oui",1-t_cnss_pension_salarie,1))*ipr_taux2),IF((AA59)&lt;=((ipr_t3_sup_mensuel/(IF(opt_cnss_deductible_ipr="Oui",1-t_cnss_pension_salarie,1)))*(1-t_cnss_pension_salarie)-(((ipr_t1_sup_mensuel*ipr_taux1)+(ipr_t2_sup_mensuel-ipr_t1_sup_mensuel)*ipr_taux2)+(ipr_t3_sup_mensuel-ipr_t2_sup_mensuel)*ipr_taux3)),((AA59)-ipr_t2_sup_mensuel*ipr_taux3+((ipr_t1_sup_mensuel*ipr_taux1)+(ipr_t2_sup_mensuel-ipr_t1_sup_mensuel)*ipr_taux2))/((1-t_cnss_pension_salarie)-(IF(opt_cnss_deductible_ipr="Oui",1-t_cnss_pension_salarie,1))*ipr_taux3),((AA59)-ipr_t3_sup_mensuel*ipr_taux4+(((ipr_t1_sup_mensuel*ipr_taux1)+(ipr_t2_sup_mensuel-ipr_t1_sup_mensuel)*ipr_taux2)+(ipr_t3_sup_mensuel-ipr_t2_sup_mensuel)*ipr_taux3))/((1-t_cnss_pension_salarie)-(IF(opt_cnss_deductible_ipr="Oui",1-t_cnss_pension_salarie,1))*ipr_taux4))))),AJ59))</f>
        <v/>
      </c>
      <c r="Z59" s="17" t="inlineStr">
        <is>
          <t>CDF</t>
        </is>
      </c>
      <c r="AA59" s="23">
        <f>IF($C59="","",IF(Z59="USD",P59*opt_taux_change,P59))</f>
        <v/>
      </c>
      <c r="AB59" s="19">
        <f>IF($C59="","",IF(H59="","",DATEDIF(H59,DATE(PARAMETRES!$C$29,12,31),"m")))</f>
        <v/>
      </c>
      <c r="AC59" s="19">
        <f>IF($C59="","",IF(AB59="",0,ROUND(AB59*taux_acquisition_conge+FLOOR(AB59/60,1)*majoration_anciennete_conge,1)))</f>
        <v/>
      </c>
      <c r="AD59" s="19">
        <f>IF($C59="","",VARIABLES!AW56+VARIABLES!AW309+VARIABLES!AW562+VARIABLES!AW815+VARIABLES!AW1068+VARIABLES!AW1321+VARIABLES!AW1574+VARIABLES!AW1827+VARIABLES!AW2080+VARIABLES!AW2333+VARIABLES!AW2586+VARIABLES!AW2839)</f>
        <v/>
      </c>
      <c r="AE59" s="19">
        <f>IF($C59="","",AC59-AD59)</f>
        <v/>
      </c>
      <c r="AH59" s="17" t="inlineStr">
        <is>
          <t>Manœuvre — Ordinaire</t>
        </is>
      </c>
      <c r="AI59" s="33">
        <f>IF($C59="","",IFERROR(INDEX(grille_tension_valeur,MATCH(AH59,grille_tension_label,0)),""))</f>
        <v/>
      </c>
      <c r="AJ59" s="23">
        <f>IF($C59="","",IF(AI59="",0,ROUND(smig_journalier*AI59*jours_smig_legal,0)))</f>
        <v/>
      </c>
    </row>
    <row r="60" ht="15" customHeight="1" s="15">
      <c r="B60" s="19" t="n">
        <v>46</v>
      </c>
      <c r="C60" s="17" t="n"/>
      <c r="D60" s="35" t="n"/>
      <c r="E60" s="17" t="n"/>
      <c r="F60" s="31" t="n"/>
      <c r="G60" s="19">
        <f>IF(F60="","",DATEDIF(F60,DATE(PARAMETRES!$C$29,12,31),"y"))</f>
        <v/>
      </c>
      <c r="H60" s="31" t="n"/>
      <c r="I60" s="19">
        <f>IF(H60="","",DATEDIF(H60,DATE(PARAMETRES!$C$29,12,31),"y")&amp;" an(s) "&amp;DATEDIF(H60,DATE(PARAMETRES!$C$29,12,31),"ym")&amp;" mois")</f>
        <v/>
      </c>
      <c r="J60" s="35" t="n"/>
      <c r="K60" s="17" t="n"/>
      <c r="L60" s="17" t="n"/>
      <c r="M60" s="17" t="n"/>
      <c r="N60" s="17" t="n"/>
      <c r="O60" s="17" t="n"/>
      <c r="P60" s="21" t="n"/>
      <c r="Q60" s="17" t="n"/>
      <c r="R60" s="17" t="n"/>
      <c r="S60" s="35" t="n"/>
      <c r="T60" s="17" t="n"/>
      <c r="U60" s="31" t="n"/>
      <c r="V60" s="35" t="n"/>
      <c r="W60" s="19">
        <f>IF(C60="","",DATEDIF(H60,DATE(PARAMETRES!$C$29,12,31),"y"))</f>
        <v/>
      </c>
      <c r="X60" s="17" t="inlineStr">
        <is>
          <t>Brut de base</t>
        </is>
      </c>
      <c r="Y60" s="23">
        <f>IF($C60="","",MAX(IF(X60="Brut de base",AA60,IF((AA60)&lt;=((ipr_t1_sup_mensuel/(IF(opt_cnss_deductible_ipr="Oui",1-t_cnss_pension_salarie,1)))*(1-t_cnss_pension_salarie)-(ipr_t1_sup_mensuel*ipr_taux1)),(AA60)/((1-t_cnss_pension_salarie)-(IF(opt_cnss_deductible_ipr="Oui",1-t_cnss_pension_salarie,1))*ipr_taux1),IF((AA60)&lt;=((ipr_t2_sup_mensuel/(IF(opt_cnss_deductible_ipr="Oui",1-t_cnss_pension_salarie,1)))*(1-t_cnss_pension_salarie)-((ipr_t1_sup_mensuel*ipr_taux1)+(ipr_t2_sup_mensuel-ipr_t1_sup_mensuel)*ipr_taux2)),((AA60)-ipr_t1_sup_mensuel*ipr_taux2+(ipr_t1_sup_mensuel*ipr_taux1))/((1-t_cnss_pension_salarie)-(IF(opt_cnss_deductible_ipr="Oui",1-t_cnss_pension_salarie,1))*ipr_taux2),IF((AA60)&lt;=((ipr_t3_sup_mensuel/(IF(opt_cnss_deductible_ipr="Oui",1-t_cnss_pension_salarie,1)))*(1-t_cnss_pension_salarie)-(((ipr_t1_sup_mensuel*ipr_taux1)+(ipr_t2_sup_mensuel-ipr_t1_sup_mensuel)*ipr_taux2)+(ipr_t3_sup_mensuel-ipr_t2_sup_mensuel)*ipr_taux3)),((AA60)-ipr_t2_sup_mensuel*ipr_taux3+((ipr_t1_sup_mensuel*ipr_taux1)+(ipr_t2_sup_mensuel-ipr_t1_sup_mensuel)*ipr_taux2))/((1-t_cnss_pension_salarie)-(IF(opt_cnss_deductible_ipr="Oui",1-t_cnss_pension_salarie,1))*ipr_taux3),((AA60)-ipr_t3_sup_mensuel*ipr_taux4+(((ipr_t1_sup_mensuel*ipr_taux1)+(ipr_t2_sup_mensuel-ipr_t1_sup_mensuel)*ipr_taux2)+(ipr_t3_sup_mensuel-ipr_t2_sup_mensuel)*ipr_taux3))/((1-t_cnss_pension_salarie)-(IF(opt_cnss_deductible_ipr="Oui",1-t_cnss_pension_salarie,1))*ipr_taux4))))),AJ60))</f>
        <v/>
      </c>
      <c r="Z60" s="17" t="inlineStr">
        <is>
          <t>CDF</t>
        </is>
      </c>
      <c r="AA60" s="23">
        <f>IF($C60="","",IF(Z60="USD",P60*opt_taux_change,P60))</f>
        <v/>
      </c>
      <c r="AB60" s="19">
        <f>IF($C60="","",IF(H60="","",DATEDIF(H60,DATE(PARAMETRES!$C$29,12,31),"m")))</f>
        <v/>
      </c>
      <c r="AC60" s="19">
        <f>IF($C60="","",IF(AB60="",0,ROUND(AB60*taux_acquisition_conge+FLOOR(AB60/60,1)*majoration_anciennete_conge,1)))</f>
        <v/>
      </c>
      <c r="AD60" s="19">
        <f>IF($C60="","",VARIABLES!AW57+VARIABLES!AW310+VARIABLES!AW563+VARIABLES!AW816+VARIABLES!AW1069+VARIABLES!AW1322+VARIABLES!AW1575+VARIABLES!AW1828+VARIABLES!AW2081+VARIABLES!AW2334+VARIABLES!AW2587+VARIABLES!AW2840)</f>
        <v/>
      </c>
      <c r="AE60" s="19">
        <f>IF($C60="","",AC60-AD60)</f>
        <v/>
      </c>
      <c r="AH60" s="17" t="inlineStr">
        <is>
          <t>Manœuvre — Ordinaire</t>
        </is>
      </c>
      <c r="AI60" s="33">
        <f>IF($C60="","",IFERROR(INDEX(grille_tension_valeur,MATCH(AH60,grille_tension_label,0)),""))</f>
        <v/>
      </c>
      <c r="AJ60" s="23">
        <f>IF($C60="","",IF(AI60="",0,ROUND(smig_journalier*AI60*jours_smig_legal,0)))</f>
        <v/>
      </c>
    </row>
    <row r="61" ht="15" customHeight="1" s="15">
      <c r="B61" s="19" t="n">
        <v>47</v>
      </c>
      <c r="C61" s="17" t="n"/>
      <c r="D61" s="35" t="n"/>
      <c r="E61" s="17" t="n"/>
      <c r="F61" s="31" t="n"/>
      <c r="G61" s="19">
        <f>IF(F61="","",DATEDIF(F61,DATE(PARAMETRES!$C$29,12,31),"y"))</f>
        <v/>
      </c>
      <c r="H61" s="31" t="n"/>
      <c r="I61" s="19">
        <f>IF(H61="","",DATEDIF(H61,DATE(PARAMETRES!$C$29,12,31),"y")&amp;" an(s) "&amp;DATEDIF(H61,DATE(PARAMETRES!$C$29,12,31),"ym")&amp;" mois")</f>
        <v/>
      </c>
      <c r="J61" s="35" t="n"/>
      <c r="K61" s="17" t="n"/>
      <c r="L61" s="17" t="n"/>
      <c r="M61" s="17" t="n"/>
      <c r="N61" s="17" t="n"/>
      <c r="O61" s="17" t="n"/>
      <c r="P61" s="21" t="n"/>
      <c r="Q61" s="17" t="n"/>
      <c r="R61" s="17" t="n"/>
      <c r="S61" s="35" t="n"/>
      <c r="T61" s="17" t="n"/>
      <c r="U61" s="31" t="n"/>
      <c r="V61" s="35" t="n"/>
      <c r="W61" s="19">
        <f>IF(C61="","",DATEDIF(H61,DATE(PARAMETRES!$C$29,12,31),"y"))</f>
        <v/>
      </c>
      <c r="X61" s="17" t="inlineStr">
        <is>
          <t>Brut de base</t>
        </is>
      </c>
      <c r="Y61" s="23">
        <f>IF($C61="","",MAX(IF(X61="Brut de base",AA61,IF((AA61)&lt;=((ipr_t1_sup_mensuel/(IF(opt_cnss_deductible_ipr="Oui",1-t_cnss_pension_salarie,1)))*(1-t_cnss_pension_salarie)-(ipr_t1_sup_mensuel*ipr_taux1)),(AA61)/((1-t_cnss_pension_salarie)-(IF(opt_cnss_deductible_ipr="Oui",1-t_cnss_pension_salarie,1))*ipr_taux1),IF((AA61)&lt;=((ipr_t2_sup_mensuel/(IF(opt_cnss_deductible_ipr="Oui",1-t_cnss_pension_salarie,1)))*(1-t_cnss_pension_salarie)-((ipr_t1_sup_mensuel*ipr_taux1)+(ipr_t2_sup_mensuel-ipr_t1_sup_mensuel)*ipr_taux2)),((AA61)-ipr_t1_sup_mensuel*ipr_taux2+(ipr_t1_sup_mensuel*ipr_taux1))/((1-t_cnss_pension_salarie)-(IF(opt_cnss_deductible_ipr="Oui",1-t_cnss_pension_salarie,1))*ipr_taux2),IF((AA61)&lt;=((ipr_t3_sup_mensuel/(IF(opt_cnss_deductible_ipr="Oui",1-t_cnss_pension_salarie,1)))*(1-t_cnss_pension_salarie)-(((ipr_t1_sup_mensuel*ipr_taux1)+(ipr_t2_sup_mensuel-ipr_t1_sup_mensuel)*ipr_taux2)+(ipr_t3_sup_mensuel-ipr_t2_sup_mensuel)*ipr_taux3)),((AA61)-ipr_t2_sup_mensuel*ipr_taux3+((ipr_t1_sup_mensuel*ipr_taux1)+(ipr_t2_sup_mensuel-ipr_t1_sup_mensuel)*ipr_taux2))/((1-t_cnss_pension_salarie)-(IF(opt_cnss_deductible_ipr="Oui",1-t_cnss_pension_salarie,1))*ipr_taux3),((AA61)-ipr_t3_sup_mensuel*ipr_taux4+(((ipr_t1_sup_mensuel*ipr_taux1)+(ipr_t2_sup_mensuel-ipr_t1_sup_mensuel)*ipr_taux2)+(ipr_t3_sup_mensuel-ipr_t2_sup_mensuel)*ipr_taux3))/((1-t_cnss_pension_salarie)-(IF(opt_cnss_deductible_ipr="Oui",1-t_cnss_pension_salarie,1))*ipr_taux4))))),AJ61))</f>
        <v/>
      </c>
      <c r="Z61" s="17" t="inlineStr">
        <is>
          <t>CDF</t>
        </is>
      </c>
      <c r="AA61" s="23">
        <f>IF($C61="","",IF(Z61="USD",P61*opt_taux_change,P61))</f>
        <v/>
      </c>
      <c r="AB61" s="19">
        <f>IF($C61="","",IF(H61="","",DATEDIF(H61,DATE(PARAMETRES!$C$29,12,31),"m")))</f>
        <v/>
      </c>
      <c r="AC61" s="19">
        <f>IF($C61="","",IF(AB61="",0,ROUND(AB61*taux_acquisition_conge+FLOOR(AB61/60,1)*majoration_anciennete_conge,1)))</f>
        <v/>
      </c>
      <c r="AD61" s="19">
        <f>IF($C61="","",VARIABLES!AW58+VARIABLES!AW311+VARIABLES!AW564+VARIABLES!AW817+VARIABLES!AW1070+VARIABLES!AW1323+VARIABLES!AW1576+VARIABLES!AW1829+VARIABLES!AW2082+VARIABLES!AW2335+VARIABLES!AW2588+VARIABLES!AW2841)</f>
        <v/>
      </c>
      <c r="AE61" s="19">
        <f>IF($C61="","",AC61-AD61)</f>
        <v/>
      </c>
      <c r="AH61" s="17" t="inlineStr">
        <is>
          <t>Manœuvre — Ordinaire</t>
        </is>
      </c>
      <c r="AI61" s="33">
        <f>IF($C61="","",IFERROR(INDEX(grille_tension_valeur,MATCH(AH61,grille_tension_label,0)),""))</f>
        <v/>
      </c>
      <c r="AJ61" s="23">
        <f>IF($C61="","",IF(AI61="",0,ROUND(smig_journalier*AI61*jours_smig_legal,0)))</f>
        <v/>
      </c>
    </row>
    <row r="62" ht="15" customHeight="1" s="15">
      <c r="B62" s="19" t="n">
        <v>48</v>
      </c>
      <c r="C62" s="17" t="n"/>
      <c r="D62" s="35" t="n"/>
      <c r="E62" s="17" t="n"/>
      <c r="F62" s="31" t="n"/>
      <c r="G62" s="19">
        <f>IF(F62="","",DATEDIF(F62,DATE(PARAMETRES!$C$29,12,31),"y"))</f>
        <v/>
      </c>
      <c r="H62" s="31" t="n"/>
      <c r="I62" s="19">
        <f>IF(H62="","",DATEDIF(H62,DATE(PARAMETRES!$C$29,12,31),"y")&amp;" an(s) "&amp;DATEDIF(H62,DATE(PARAMETRES!$C$29,12,31),"ym")&amp;" mois")</f>
        <v/>
      </c>
      <c r="J62" s="35" t="n"/>
      <c r="K62" s="17" t="n"/>
      <c r="L62" s="17" t="n"/>
      <c r="M62" s="17" t="n"/>
      <c r="N62" s="17" t="n"/>
      <c r="O62" s="17" t="n"/>
      <c r="P62" s="21" t="n"/>
      <c r="Q62" s="17" t="n"/>
      <c r="R62" s="17" t="n"/>
      <c r="S62" s="35" t="n"/>
      <c r="T62" s="17" t="n"/>
      <c r="U62" s="31" t="n"/>
      <c r="V62" s="35" t="n"/>
      <c r="W62" s="19">
        <f>IF(C62="","",DATEDIF(H62,DATE(PARAMETRES!$C$29,12,31),"y"))</f>
        <v/>
      </c>
      <c r="X62" s="17" t="inlineStr">
        <is>
          <t>Brut de base</t>
        </is>
      </c>
      <c r="Y62" s="23">
        <f>IF($C62="","",MAX(IF(X62="Brut de base",AA62,IF((AA62)&lt;=((ipr_t1_sup_mensuel/(IF(opt_cnss_deductible_ipr="Oui",1-t_cnss_pension_salarie,1)))*(1-t_cnss_pension_salarie)-(ipr_t1_sup_mensuel*ipr_taux1)),(AA62)/((1-t_cnss_pension_salarie)-(IF(opt_cnss_deductible_ipr="Oui",1-t_cnss_pension_salarie,1))*ipr_taux1),IF((AA62)&lt;=((ipr_t2_sup_mensuel/(IF(opt_cnss_deductible_ipr="Oui",1-t_cnss_pension_salarie,1)))*(1-t_cnss_pension_salarie)-((ipr_t1_sup_mensuel*ipr_taux1)+(ipr_t2_sup_mensuel-ipr_t1_sup_mensuel)*ipr_taux2)),((AA62)-ipr_t1_sup_mensuel*ipr_taux2+(ipr_t1_sup_mensuel*ipr_taux1))/((1-t_cnss_pension_salarie)-(IF(opt_cnss_deductible_ipr="Oui",1-t_cnss_pension_salarie,1))*ipr_taux2),IF((AA62)&lt;=((ipr_t3_sup_mensuel/(IF(opt_cnss_deductible_ipr="Oui",1-t_cnss_pension_salarie,1)))*(1-t_cnss_pension_salarie)-(((ipr_t1_sup_mensuel*ipr_taux1)+(ipr_t2_sup_mensuel-ipr_t1_sup_mensuel)*ipr_taux2)+(ipr_t3_sup_mensuel-ipr_t2_sup_mensuel)*ipr_taux3)),((AA62)-ipr_t2_sup_mensuel*ipr_taux3+((ipr_t1_sup_mensuel*ipr_taux1)+(ipr_t2_sup_mensuel-ipr_t1_sup_mensuel)*ipr_taux2))/((1-t_cnss_pension_salarie)-(IF(opt_cnss_deductible_ipr="Oui",1-t_cnss_pension_salarie,1))*ipr_taux3),((AA62)-ipr_t3_sup_mensuel*ipr_taux4+(((ipr_t1_sup_mensuel*ipr_taux1)+(ipr_t2_sup_mensuel-ipr_t1_sup_mensuel)*ipr_taux2)+(ipr_t3_sup_mensuel-ipr_t2_sup_mensuel)*ipr_taux3))/((1-t_cnss_pension_salarie)-(IF(opt_cnss_deductible_ipr="Oui",1-t_cnss_pension_salarie,1))*ipr_taux4))))),AJ62))</f>
        <v/>
      </c>
      <c r="Z62" s="17" t="inlineStr">
        <is>
          <t>CDF</t>
        </is>
      </c>
      <c r="AA62" s="23">
        <f>IF($C62="","",IF(Z62="USD",P62*opt_taux_change,P62))</f>
        <v/>
      </c>
      <c r="AB62" s="19">
        <f>IF($C62="","",IF(H62="","",DATEDIF(H62,DATE(PARAMETRES!$C$29,12,31),"m")))</f>
        <v/>
      </c>
      <c r="AC62" s="19">
        <f>IF($C62="","",IF(AB62="",0,ROUND(AB62*taux_acquisition_conge+FLOOR(AB62/60,1)*majoration_anciennete_conge,1)))</f>
        <v/>
      </c>
      <c r="AD62" s="19">
        <f>IF($C62="","",VARIABLES!AW59+VARIABLES!AW312+VARIABLES!AW565+VARIABLES!AW818+VARIABLES!AW1071+VARIABLES!AW1324+VARIABLES!AW1577+VARIABLES!AW1830+VARIABLES!AW2083+VARIABLES!AW2336+VARIABLES!AW2589+VARIABLES!AW2842)</f>
        <v/>
      </c>
      <c r="AE62" s="19">
        <f>IF($C62="","",AC62-AD62)</f>
        <v/>
      </c>
      <c r="AH62" s="17" t="inlineStr">
        <is>
          <t>Manœuvre — Ordinaire</t>
        </is>
      </c>
      <c r="AI62" s="33">
        <f>IF($C62="","",IFERROR(INDEX(grille_tension_valeur,MATCH(AH62,grille_tension_label,0)),""))</f>
        <v/>
      </c>
      <c r="AJ62" s="23">
        <f>IF($C62="","",IF(AI62="",0,ROUND(smig_journalier*AI62*jours_smig_legal,0)))</f>
        <v/>
      </c>
    </row>
    <row r="63" ht="15" customHeight="1" s="15">
      <c r="B63" s="19" t="n">
        <v>49</v>
      </c>
      <c r="C63" s="17" t="n"/>
      <c r="D63" s="35" t="n"/>
      <c r="E63" s="17" t="n"/>
      <c r="F63" s="31" t="n"/>
      <c r="G63" s="19">
        <f>IF(F63="","",DATEDIF(F63,DATE(PARAMETRES!$C$29,12,31),"y"))</f>
        <v/>
      </c>
      <c r="H63" s="31" t="n"/>
      <c r="I63" s="19">
        <f>IF(H63="","",DATEDIF(H63,DATE(PARAMETRES!$C$29,12,31),"y")&amp;" an(s) "&amp;DATEDIF(H63,DATE(PARAMETRES!$C$29,12,31),"ym")&amp;" mois")</f>
        <v/>
      </c>
      <c r="J63" s="35" t="n"/>
      <c r="K63" s="17" t="n"/>
      <c r="L63" s="17" t="n"/>
      <c r="M63" s="17" t="n"/>
      <c r="N63" s="17" t="n"/>
      <c r="O63" s="17" t="n"/>
      <c r="P63" s="21" t="n"/>
      <c r="Q63" s="17" t="n"/>
      <c r="R63" s="17" t="n"/>
      <c r="S63" s="35" t="n"/>
      <c r="T63" s="17" t="n"/>
      <c r="U63" s="31" t="n"/>
      <c r="V63" s="35" t="n"/>
      <c r="W63" s="19">
        <f>IF(C63="","",DATEDIF(H63,DATE(PARAMETRES!$C$29,12,31),"y"))</f>
        <v/>
      </c>
      <c r="X63" s="17" t="inlineStr">
        <is>
          <t>Brut de base</t>
        </is>
      </c>
      <c r="Y63" s="23">
        <f>IF($C63="","",MAX(IF(X63="Brut de base",AA63,IF((AA63)&lt;=((ipr_t1_sup_mensuel/(IF(opt_cnss_deductible_ipr="Oui",1-t_cnss_pension_salarie,1)))*(1-t_cnss_pension_salarie)-(ipr_t1_sup_mensuel*ipr_taux1)),(AA63)/((1-t_cnss_pension_salarie)-(IF(opt_cnss_deductible_ipr="Oui",1-t_cnss_pension_salarie,1))*ipr_taux1),IF((AA63)&lt;=((ipr_t2_sup_mensuel/(IF(opt_cnss_deductible_ipr="Oui",1-t_cnss_pension_salarie,1)))*(1-t_cnss_pension_salarie)-((ipr_t1_sup_mensuel*ipr_taux1)+(ipr_t2_sup_mensuel-ipr_t1_sup_mensuel)*ipr_taux2)),((AA63)-ipr_t1_sup_mensuel*ipr_taux2+(ipr_t1_sup_mensuel*ipr_taux1))/((1-t_cnss_pension_salarie)-(IF(opt_cnss_deductible_ipr="Oui",1-t_cnss_pension_salarie,1))*ipr_taux2),IF((AA63)&lt;=((ipr_t3_sup_mensuel/(IF(opt_cnss_deductible_ipr="Oui",1-t_cnss_pension_salarie,1)))*(1-t_cnss_pension_salarie)-(((ipr_t1_sup_mensuel*ipr_taux1)+(ipr_t2_sup_mensuel-ipr_t1_sup_mensuel)*ipr_taux2)+(ipr_t3_sup_mensuel-ipr_t2_sup_mensuel)*ipr_taux3)),((AA63)-ipr_t2_sup_mensuel*ipr_taux3+((ipr_t1_sup_mensuel*ipr_taux1)+(ipr_t2_sup_mensuel-ipr_t1_sup_mensuel)*ipr_taux2))/((1-t_cnss_pension_salarie)-(IF(opt_cnss_deductible_ipr="Oui",1-t_cnss_pension_salarie,1))*ipr_taux3),((AA63)-ipr_t3_sup_mensuel*ipr_taux4+(((ipr_t1_sup_mensuel*ipr_taux1)+(ipr_t2_sup_mensuel-ipr_t1_sup_mensuel)*ipr_taux2)+(ipr_t3_sup_mensuel-ipr_t2_sup_mensuel)*ipr_taux3))/((1-t_cnss_pension_salarie)-(IF(opt_cnss_deductible_ipr="Oui",1-t_cnss_pension_salarie,1))*ipr_taux4))))),AJ63))</f>
        <v/>
      </c>
      <c r="Z63" s="17" t="inlineStr">
        <is>
          <t>CDF</t>
        </is>
      </c>
      <c r="AA63" s="23">
        <f>IF($C63="","",IF(Z63="USD",P63*opt_taux_change,P63))</f>
        <v/>
      </c>
      <c r="AB63" s="19">
        <f>IF($C63="","",IF(H63="","",DATEDIF(H63,DATE(PARAMETRES!$C$29,12,31),"m")))</f>
        <v/>
      </c>
      <c r="AC63" s="19">
        <f>IF($C63="","",IF(AB63="",0,ROUND(AB63*taux_acquisition_conge+FLOOR(AB63/60,1)*majoration_anciennete_conge,1)))</f>
        <v/>
      </c>
      <c r="AD63" s="19">
        <f>IF($C63="","",VARIABLES!AW60+VARIABLES!AW313+VARIABLES!AW566+VARIABLES!AW819+VARIABLES!AW1072+VARIABLES!AW1325+VARIABLES!AW1578+VARIABLES!AW1831+VARIABLES!AW2084+VARIABLES!AW2337+VARIABLES!AW2590+VARIABLES!AW2843)</f>
        <v/>
      </c>
      <c r="AE63" s="19">
        <f>IF($C63="","",AC63-AD63)</f>
        <v/>
      </c>
      <c r="AH63" s="17" t="inlineStr">
        <is>
          <t>Manœuvre — Ordinaire</t>
        </is>
      </c>
      <c r="AI63" s="33">
        <f>IF($C63="","",IFERROR(INDEX(grille_tension_valeur,MATCH(AH63,grille_tension_label,0)),""))</f>
        <v/>
      </c>
      <c r="AJ63" s="23">
        <f>IF($C63="","",IF(AI63="",0,ROUND(smig_journalier*AI63*jours_smig_legal,0)))</f>
        <v/>
      </c>
    </row>
    <row r="64" ht="15" customHeight="1" s="15">
      <c r="B64" s="19" t="n">
        <v>50</v>
      </c>
      <c r="C64" s="17" t="n"/>
      <c r="D64" s="35" t="n"/>
      <c r="E64" s="17" t="n"/>
      <c r="F64" s="31" t="n"/>
      <c r="G64" s="19">
        <f>IF(F64="","",DATEDIF(F64,DATE(PARAMETRES!$C$29,12,31),"y"))</f>
        <v/>
      </c>
      <c r="H64" s="31" t="n"/>
      <c r="I64" s="19">
        <f>IF(H64="","",DATEDIF(H64,DATE(PARAMETRES!$C$29,12,31),"y")&amp;" an(s) "&amp;DATEDIF(H64,DATE(PARAMETRES!$C$29,12,31),"ym")&amp;" mois")</f>
        <v/>
      </c>
      <c r="J64" s="35" t="n"/>
      <c r="K64" s="17" t="n"/>
      <c r="L64" s="17" t="n"/>
      <c r="M64" s="17" t="n"/>
      <c r="N64" s="17" t="n"/>
      <c r="O64" s="17" t="n"/>
      <c r="P64" s="21" t="n"/>
      <c r="Q64" s="17" t="n"/>
      <c r="R64" s="17" t="n"/>
      <c r="S64" s="35" t="n"/>
      <c r="T64" s="17" t="n"/>
      <c r="U64" s="31" t="n"/>
      <c r="V64" s="35" t="n"/>
      <c r="W64" s="19">
        <f>IF(C64="","",DATEDIF(H64,DATE(PARAMETRES!$C$29,12,31),"y"))</f>
        <v/>
      </c>
      <c r="X64" s="17" t="inlineStr">
        <is>
          <t>Brut de base</t>
        </is>
      </c>
      <c r="Y64" s="23">
        <f>IF($C64="","",MAX(IF(X64="Brut de base",AA64,IF((AA64)&lt;=((ipr_t1_sup_mensuel/(IF(opt_cnss_deductible_ipr="Oui",1-t_cnss_pension_salarie,1)))*(1-t_cnss_pension_salarie)-(ipr_t1_sup_mensuel*ipr_taux1)),(AA64)/((1-t_cnss_pension_salarie)-(IF(opt_cnss_deductible_ipr="Oui",1-t_cnss_pension_salarie,1))*ipr_taux1),IF((AA64)&lt;=((ipr_t2_sup_mensuel/(IF(opt_cnss_deductible_ipr="Oui",1-t_cnss_pension_salarie,1)))*(1-t_cnss_pension_salarie)-((ipr_t1_sup_mensuel*ipr_taux1)+(ipr_t2_sup_mensuel-ipr_t1_sup_mensuel)*ipr_taux2)),((AA64)-ipr_t1_sup_mensuel*ipr_taux2+(ipr_t1_sup_mensuel*ipr_taux1))/((1-t_cnss_pension_salarie)-(IF(opt_cnss_deductible_ipr="Oui",1-t_cnss_pension_salarie,1))*ipr_taux2),IF((AA64)&lt;=((ipr_t3_sup_mensuel/(IF(opt_cnss_deductible_ipr="Oui",1-t_cnss_pension_salarie,1)))*(1-t_cnss_pension_salarie)-(((ipr_t1_sup_mensuel*ipr_taux1)+(ipr_t2_sup_mensuel-ipr_t1_sup_mensuel)*ipr_taux2)+(ipr_t3_sup_mensuel-ipr_t2_sup_mensuel)*ipr_taux3)),((AA64)-ipr_t2_sup_mensuel*ipr_taux3+((ipr_t1_sup_mensuel*ipr_taux1)+(ipr_t2_sup_mensuel-ipr_t1_sup_mensuel)*ipr_taux2))/((1-t_cnss_pension_salarie)-(IF(opt_cnss_deductible_ipr="Oui",1-t_cnss_pension_salarie,1))*ipr_taux3),((AA64)-ipr_t3_sup_mensuel*ipr_taux4+(((ipr_t1_sup_mensuel*ipr_taux1)+(ipr_t2_sup_mensuel-ipr_t1_sup_mensuel)*ipr_taux2)+(ipr_t3_sup_mensuel-ipr_t2_sup_mensuel)*ipr_taux3))/((1-t_cnss_pension_salarie)-(IF(opt_cnss_deductible_ipr="Oui",1-t_cnss_pension_salarie,1))*ipr_taux4))))),AJ64))</f>
        <v/>
      </c>
      <c r="Z64" s="17" t="inlineStr">
        <is>
          <t>CDF</t>
        </is>
      </c>
      <c r="AA64" s="23">
        <f>IF($C64="","",IF(Z64="USD",P64*opt_taux_change,P64))</f>
        <v/>
      </c>
      <c r="AB64" s="19">
        <f>IF($C64="","",IF(H64="","",DATEDIF(H64,DATE(PARAMETRES!$C$29,12,31),"m")))</f>
        <v/>
      </c>
      <c r="AC64" s="19">
        <f>IF($C64="","",IF(AB64="",0,ROUND(AB64*taux_acquisition_conge+FLOOR(AB64/60,1)*majoration_anciennete_conge,1)))</f>
        <v/>
      </c>
      <c r="AD64" s="19">
        <f>IF($C64="","",VARIABLES!AW61+VARIABLES!AW314+VARIABLES!AW567+VARIABLES!AW820+VARIABLES!AW1073+VARIABLES!AW1326+VARIABLES!AW1579+VARIABLES!AW1832+VARIABLES!AW2085+VARIABLES!AW2338+VARIABLES!AW2591+VARIABLES!AW2844)</f>
        <v/>
      </c>
      <c r="AE64" s="19">
        <f>IF($C64="","",AC64-AD64)</f>
        <v/>
      </c>
      <c r="AH64" s="17" t="inlineStr">
        <is>
          <t>Manœuvre — Ordinaire</t>
        </is>
      </c>
      <c r="AI64" s="33">
        <f>IF($C64="","",IFERROR(INDEX(grille_tension_valeur,MATCH(AH64,grille_tension_label,0)),""))</f>
        <v/>
      </c>
      <c r="AJ64" s="23">
        <f>IF($C64="","",IF(AI64="",0,ROUND(smig_journalier*AI64*jours_smig_legal,0)))</f>
        <v/>
      </c>
    </row>
    <row r="65" ht="15" customHeight="1" s="15">
      <c r="B65" s="19" t="n">
        <v>51</v>
      </c>
      <c r="C65" s="17" t="n"/>
      <c r="D65" s="35" t="n"/>
      <c r="E65" s="17" t="n"/>
      <c r="F65" s="31" t="n"/>
      <c r="G65" s="19">
        <f>IF(F65="","",DATEDIF(F65,DATE(PARAMETRES!$C$29,12,31),"y"))</f>
        <v/>
      </c>
      <c r="H65" s="31" t="n"/>
      <c r="I65" s="19">
        <f>IF(H65="","",DATEDIF(H65,DATE(PARAMETRES!$C$29,12,31),"y")&amp;" an(s) "&amp;DATEDIF(H65,DATE(PARAMETRES!$C$29,12,31),"ym")&amp;" mois")</f>
        <v/>
      </c>
      <c r="J65" s="35" t="n"/>
      <c r="K65" s="17" t="n"/>
      <c r="L65" s="17" t="n"/>
      <c r="M65" s="17" t="n"/>
      <c r="N65" s="17" t="n"/>
      <c r="O65" s="17" t="n"/>
      <c r="P65" s="21" t="n"/>
      <c r="Q65" s="17" t="n"/>
      <c r="R65" s="17" t="n"/>
      <c r="S65" s="35" t="n"/>
      <c r="T65" s="17" t="n"/>
      <c r="U65" s="31" t="n"/>
      <c r="V65" s="35" t="n"/>
      <c r="W65" s="19">
        <f>IF(C65="","",DATEDIF(H65,DATE(PARAMETRES!$C$29,12,31),"y"))</f>
        <v/>
      </c>
      <c r="X65" s="17" t="inlineStr">
        <is>
          <t>Brut de base</t>
        </is>
      </c>
      <c r="Y65" s="23">
        <f>IF($C65="","",MAX(IF(X65="Brut de base",AA65,IF((AA65)&lt;=((ipr_t1_sup_mensuel/(IF(opt_cnss_deductible_ipr="Oui",1-t_cnss_pension_salarie,1)))*(1-t_cnss_pension_salarie)-(ipr_t1_sup_mensuel*ipr_taux1)),(AA65)/((1-t_cnss_pension_salarie)-(IF(opt_cnss_deductible_ipr="Oui",1-t_cnss_pension_salarie,1))*ipr_taux1),IF((AA65)&lt;=((ipr_t2_sup_mensuel/(IF(opt_cnss_deductible_ipr="Oui",1-t_cnss_pension_salarie,1)))*(1-t_cnss_pension_salarie)-((ipr_t1_sup_mensuel*ipr_taux1)+(ipr_t2_sup_mensuel-ipr_t1_sup_mensuel)*ipr_taux2)),((AA65)-ipr_t1_sup_mensuel*ipr_taux2+(ipr_t1_sup_mensuel*ipr_taux1))/((1-t_cnss_pension_salarie)-(IF(opt_cnss_deductible_ipr="Oui",1-t_cnss_pension_salarie,1))*ipr_taux2),IF((AA65)&lt;=((ipr_t3_sup_mensuel/(IF(opt_cnss_deductible_ipr="Oui",1-t_cnss_pension_salarie,1)))*(1-t_cnss_pension_salarie)-(((ipr_t1_sup_mensuel*ipr_taux1)+(ipr_t2_sup_mensuel-ipr_t1_sup_mensuel)*ipr_taux2)+(ipr_t3_sup_mensuel-ipr_t2_sup_mensuel)*ipr_taux3)),((AA65)-ipr_t2_sup_mensuel*ipr_taux3+((ipr_t1_sup_mensuel*ipr_taux1)+(ipr_t2_sup_mensuel-ipr_t1_sup_mensuel)*ipr_taux2))/((1-t_cnss_pension_salarie)-(IF(opt_cnss_deductible_ipr="Oui",1-t_cnss_pension_salarie,1))*ipr_taux3),((AA65)-ipr_t3_sup_mensuel*ipr_taux4+(((ipr_t1_sup_mensuel*ipr_taux1)+(ipr_t2_sup_mensuel-ipr_t1_sup_mensuel)*ipr_taux2)+(ipr_t3_sup_mensuel-ipr_t2_sup_mensuel)*ipr_taux3))/((1-t_cnss_pension_salarie)-(IF(opt_cnss_deductible_ipr="Oui",1-t_cnss_pension_salarie,1))*ipr_taux4))))),AJ65))</f>
        <v/>
      </c>
      <c r="Z65" s="17" t="inlineStr">
        <is>
          <t>CDF</t>
        </is>
      </c>
      <c r="AA65" s="23">
        <f>IF($C65="","",IF(Z65="USD",P65*opt_taux_change,P65))</f>
        <v/>
      </c>
      <c r="AB65" s="19">
        <f>IF($C65="","",IF(H65="","",DATEDIF(H65,DATE(PARAMETRES!$C$29,12,31),"m")))</f>
        <v/>
      </c>
      <c r="AC65" s="19">
        <f>IF($C65="","",IF(AB65="",0,ROUND(AB65*taux_acquisition_conge+FLOOR(AB65/60,1)*majoration_anciennete_conge,1)))</f>
        <v/>
      </c>
      <c r="AD65" s="19">
        <f>IF($C65="","",VARIABLES!AW62+VARIABLES!AW315+VARIABLES!AW568+VARIABLES!AW821+VARIABLES!AW1074+VARIABLES!AW1327+VARIABLES!AW1580+VARIABLES!AW1833+VARIABLES!AW2086+VARIABLES!AW2339+VARIABLES!AW2592+VARIABLES!AW2845)</f>
        <v/>
      </c>
      <c r="AE65" s="19">
        <f>IF($C65="","",AC65-AD65)</f>
        <v/>
      </c>
      <c r="AH65" s="17" t="inlineStr">
        <is>
          <t>Manœuvre — Ordinaire</t>
        </is>
      </c>
      <c r="AI65" s="33">
        <f>IF($C65="","",IFERROR(INDEX(grille_tension_valeur,MATCH(AH65,grille_tension_label,0)),""))</f>
        <v/>
      </c>
      <c r="AJ65" s="23">
        <f>IF($C65="","",IF(AI65="",0,ROUND(smig_journalier*AI65*jours_smig_legal,0)))</f>
        <v/>
      </c>
    </row>
    <row r="66" ht="15" customHeight="1" s="15">
      <c r="B66" s="19" t="n">
        <v>52</v>
      </c>
      <c r="C66" s="17" t="n"/>
      <c r="D66" s="35" t="n"/>
      <c r="E66" s="17" t="n"/>
      <c r="F66" s="31" t="n"/>
      <c r="G66" s="19">
        <f>IF(F66="","",DATEDIF(F66,DATE(PARAMETRES!$C$29,12,31),"y"))</f>
        <v/>
      </c>
      <c r="H66" s="31" t="n"/>
      <c r="I66" s="19">
        <f>IF(H66="","",DATEDIF(H66,DATE(PARAMETRES!$C$29,12,31),"y")&amp;" an(s) "&amp;DATEDIF(H66,DATE(PARAMETRES!$C$29,12,31),"ym")&amp;" mois")</f>
        <v/>
      </c>
      <c r="J66" s="35" t="n"/>
      <c r="K66" s="17" t="n"/>
      <c r="L66" s="17" t="n"/>
      <c r="M66" s="17" t="n"/>
      <c r="N66" s="17" t="n"/>
      <c r="O66" s="17" t="n"/>
      <c r="P66" s="21" t="n"/>
      <c r="Q66" s="17" t="n"/>
      <c r="R66" s="17" t="n"/>
      <c r="S66" s="35" t="n"/>
      <c r="T66" s="17" t="n"/>
      <c r="U66" s="31" t="n"/>
      <c r="V66" s="35" t="n"/>
      <c r="W66" s="19">
        <f>IF(C66="","",DATEDIF(H66,DATE(PARAMETRES!$C$29,12,31),"y"))</f>
        <v/>
      </c>
      <c r="X66" s="17" t="inlineStr">
        <is>
          <t>Brut de base</t>
        </is>
      </c>
      <c r="Y66" s="23">
        <f>IF($C66="","",MAX(IF(X66="Brut de base",AA66,IF((AA66)&lt;=((ipr_t1_sup_mensuel/(IF(opt_cnss_deductible_ipr="Oui",1-t_cnss_pension_salarie,1)))*(1-t_cnss_pension_salarie)-(ipr_t1_sup_mensuel*ipr_taux1)),(AA66)/((1-t_cnss_pension_salarie)-(IF(opt_cnss_deductible_ipr="Oui",1-t_cnss_pension_salarie,1))*ipr_taux1),IF((AA66)&lt;=((ipr_t2_sup_mensuel/(IF(opt_cnss_deductible_ipr="Oui",1-t_cnss_pension_salarie,1)))*(1-t_cnss_pension_salarie)-((ipr_t1_sup_mensuel*ipr_taux1)+(ipr_t2_sup_mensuel-ipr_t1_sup_mensuel)*ipr_taux2)),((AA66)-ipr_t1_sup_mensuel*ipr_taux2+(ipr_t1_sup_mensuel*ipr_taux1))/((1-t_cnss_pension_salarie)-(IF(opt_cnss_deductible_ipr="Oui",1-t_cnss_pension_salarie,1))*ipr_taux2),IF((AA66)&lt;=((ipr_t3_sup_mensuel/(IF(opt_cnss_deductible_ipr="Oui",1-t_cnss_pension_salarie,1)))*(1-t_cnss_pension_salarie)-(((ipr_t1_sup_mensuel*ipr_taux1)+(ipr_t2_sup_mensuel-ipr_t1_sup_mensuel)*ipr_taux2)+(ipr_t3_sup_mensuel-ipr_t2_sup_mensuel)*ipr_taux3)),((AA66)-ipr_t2_sup_mensuel*ipr_taux3+((ipr_t1_sup_mensuel*ipr_taux1)+(ipr_t2_sup_mensuel-ipr_t1_sup_mensuel)*ipr_taux2))/((1-t_cnss_pension_salarie)-(IF(opt_cnss_deductible_ipr="Oui",1-t_cnss_pension_salarie,1))*ipr_taux3),((AA66)-ipr_t3_sup_mensuel*ipr_taux4+(((ipr_t1_sup_mensuel*ipr_taux1)+(ipr_t2_sup_mensuel-ipr_t1_sup_mensuel)*ipr_taux2)+(ipr_t3_sup_mensuel-ipr_t2_sup_mensuel)*ipr_taux3))/((1-t_cnss_pension_salarie)-(IF(opt_cnss_deductible_ipr="Oui",1-t_cnss_pension_salarie,1))*ipr_taux4))))),AJ66))</f>
        <v/>
      </c>
      <c r="Z66" s="17" t="inlineStr">
        <is>
          <t>CDF</t>
        </is>
      </c>
      <c r="AA66" s="23">
        <f>IF($C66="","",IF(Z66="USD",P66*opt_taux_change,P66))</f>
        <v/>
      </c>
      <c r="AB66" s="19">
        <f>IF($C66="","",IF(H66="","",DATEDIF(H66,DATE(PARAMETRES!$C$29,12,31),"m")))</f>
        <v/>
      </c>
      <c r="AC66" s="19">
        <f>IF($C66="","",IF(AB66="",0,ROUND(AB66*taux_acquisition_conge+FLOOR(AB66/60,1)*majoration_anciennete_conge,1)))</f>
        <v/>
      </c>
      <c r="AD66" s="19">
        <f>IF($C66="","",VARIABLES!AW63+VARIABLES!AW316+VARIABLES!AW569+VARIABLES!AW822+VARIABLES!AW1075+VARIABLES!AW1328+VARIABLES!AW1581+VARIABLES!AW1834+VARIABLES!AW2087+VARIABLES!AW2340+VARIABLES!AW2593+VARIABLES!AW2846)</f>
        <v/>
      </c>
      <c r="AE66" s="19">
        <f>IF($C66="","",AC66-AD66)</f>
        <v/>
      </c>
      <c r="AH66" s="17" t="inlineStr">
        <is>
          <t>Manœuvre — Ordinaire</t>
        </is>
      </c>
      <c r="AI66" s="33">
        <f>IF($C66="","",IFERROR(INDEX(grille_tension_valeur,MATCH(AH66,grille_tension_label,0)),""))</f>
        <v/>
      </c>
      <c r="AJ66" s="23">
        <f>IF($C66="","",IF(AI66="",0,ROUND(smig_journalier*AI66*jours_smig_legal,0)))</f>
        <v/>
      </c>
    </row>
    <row r="67" ht="15" customHeight="1" s="15">
      <c r="B67" s="19" t="n">
        <v>53</v>
      </c>
      <c r="C67" s="17" t="n"/>
      <c r="D67" s="35" t="n"/>
      <c r="E67" s="17" t="n"/>
      <c r="F67" s="31" t="n"/>
      <c r="G67" s="19">
        <f>IF(F67="","",DATEDIF(F67,DATE(PARAMETRES!$C$29,12,31),"y"))</f>
        <v/>
      </c>
      <c r="H67" s="31" t="n"/>
      <c r="I67" s="19">
        <f>IF(H67="","",DATEDIF(H67,DATE(PARAMETRES!$C$29,12,31),"y")&amp;" an(s) "&amp;DATEDIF(H67,DATE(PARAMETRES!$C$29,12,31),"ym")&amp;" mois")</f>
        <v/>
      </c>
      <c r="J67" s="35" t="n"/>
      <c r="K67" s="17" t="n"/>
      <c r="L67" s="17" t="n"/>
      <c r="M67" s="17" t="n"/>
      <c r="N67" s="17" t="n"/>
      <c r="O67" s="17" t="n"/>
      <c r="P67" s="21" t="n"/>
      <c r="Q67" s="17" t="n"/>
      <c r="R67" s="17" t="n"/>
      <c r="S67" s="35" t="n"/>
      <c r="T67" s="17" t="n"/>
      <c r="U67" s="31" t="n"/>
      <c r="V67" s="35" t="n"/>
      <c r="W67" s="19">
        <f>IF(C67="","",DATEDIF(H67,DATE(PARAMETRES!$C$29,12,31),"y"))</f>
        <v/>
      </c>
      <c r="X67" s="17" t="inlineStr">
        <is>
          <t>Brut de base</t>
        </is>
      </c>
      <c r="Y67" s="23">
        <f>IF($C67="","",MAX(IF(X67="Brut de base",AA67,IF((AA67)&lt;=((ipr_t1_sup_mensuel/(IF(opt_cnss_deductible_ipr="Oui",1-t_cnss_pension_salarie,1)))*(1-t_cnss_pension_salarie)-(ipr_t1_sup_mensuel*ipr_taux1)),(AA67)/((1-t_cnss_pension_salarie)-(IF(opt_cnss_deductible_ipr="Oui",1-t_cnss_pension_salarie,1))*ipr_taux1),IF((AA67)&lt;=((ipr_t2_sup_mensuel/(IF(opt_cnss_deductible_ipr="Oui",1-t_cnss_pension_salarie,1)))*(1-t_cnss_pension_salarie)-((ipr_t1_sup_mensuel*ipr_taux1)+(ipr_t2_sup_mensuel-ipr_t1_sup_mensuel)*ipr_taux2)),((AA67)-ipr_t1_sup_mensuel*ipr_taux2+(ipr_t1_sup_mensuel*ipr_taux1))/((1-t_cnss_pension_salarie)-(IF(opt_cnss_deductible_ipr="Oui",1-t_cnss_pension_salarie,1))*ipr_taux2),IF((AA67)&lt;=((ipr_t3_sup_mensuel/(IF(opt_cnss_deductible_ipr="Oui",1-t_cnss_pension_salarie,1)))*(1-t_cnss_pension_salarie)-(((ipr_t1_sup_mensuel*ipr_taux1)+(ipr_t2_sup_mensuel-ipr_t1_sup_mensuel)*ipr_taux2)+(ipr_t3_sup_mensuel-ipr_t2_sup_mensuel)*ipr_taux3)),((AA67)-ipr_t2_sup_mensuel*ipr_taux3+((ipr_t1_sup_mensuel*ipr_taux1)+(ipr_t2_sup_mensuel-ipr_t1_sup_mensuel)*ipr_taux2))/((1-t_cnss_pension_salarie)-(IF(opt_cnss_deductible_ipr="Oui",1-t_cnss_pension_salarie,1))*ipr_taux3),((AA67)-ipr_t3_sup_mensuel*ipr_taux4+(((ipr_t1_sup_mensuel*ipr_taux1)+(ipr_t2_sup_mensuel-ipr_t1_sup_mensuel)*ipr_taux2)+(ipr_t3_sup_mensuel-ipr_t2_sup_mensuel)*ipr_taux3))/((1-t_cnss_pension_salarie)-(IF(opt_cnss_deductible_ipr="Oui",1-t_cnss_pension_salarie,1))*ipr_taux4))))),AJ67))</f>
        <v/>
      </c>
      <c r="Z67" s="17" t="inlineStr">
        <is>
          <t>CDF</t>
        </is>
      </c>
      <c r="AA67" s="23">
        <f>IF($C67="","",IF(Z67="USD",P67*opt_taux_change,P67))</f>
        <v/>
      </c>
      <c r="AB67" s="19">
        <f>IF($C67="","",IF(H67="","",DATEDIF(H67,DATE(PARAMETRES!$C$29,12,31),"m")))</f>
        <v/>
      </c>
      <c r="AC67" s="19">
        <f>IF($C67="","",IF(AB67="",0,ROUND(AB67*taux_acquisition_conge+FLOOR(AB67/60,1)*majoration_anciennete_conge,1)))</f>
        <v/>
      </c>
      <c r="AD67" s="19">
        <f>IF($C67="","",VARIABLES!AW64+VARIABLES!AW317+VARIABLES!AW570+VARIABLES!AW823+VARIABLES!AW1076+VARIABLES!AW1329+VARIABLES!AW1582+VARIABLES!AW1835+VARIABLES!AW2088+VARIABLES!AW2341+VARIABLES!AW2594+VARIABLES!AW2847)</f>
        <v/>
      </c>
      <c r="AE67" s="19">
        <f>IF($C67="","",AC67-AD67)</f>
        <v/>
      </c>
      <c r="AH67" s="17" t="inlineStr">
        <is>
          <t>Manœuvre — Ordinaire</t>
        </is>
      </c>
      <c r="AI67" s="33">
        <f>IF($C67="","",IFERROR(INDEX(grille_tension_valeur,MATCH(AH67,grille_tension_label,0)),""))</f>
        <v/>
      </c>
      <c r="AJ67" s="23">
        <f>IF($C67="","",IF(AI67="",0,ROUND(smig_journalier*AI67*jours_smig_legal,0)))</f>
        <v/>
      </c>
    </row>
    <row r="68" ht="15" customHeight="1" s="15">
      <c r="B68" s="19" t="n">
        <v>54</v>
      </c>
      <c r="C68" s="17" t="n"/>
      <c r="D68" s="35" t="n"/>
      <c r="E68" s="17" t="n"/>
      <c r="F68" s="31" t="n"/>
      <c r="G68" s="19">
        <f>IF(F68="","",DATEDIF(F68,DATE(PARAMETRES!$C$29,12,31),"y"))</f>
        <v/>
      </c>
      <c r="H68" s="31" t="n"/>
      <c r="I68" s="19">
        <f>IF(H68="","",DATEDIF(H68,DATE(PARAMETRES!$C$29,12,31),"y")&amp;" an(s) "&amp;DATEDIF(H68,DATE(PARAMETRES!$C$29,12,31),"ym")&amp;" mois")</f>
        <v/>
      </c>
      <c r="J68" s="35" t="n"/>
      <c r="K68" s="17" t="n"/>
      <c r="L68" s="17" t="n"/>
      <c r="M68" s="17" t="n"/>
      <c r="N68" s="17" t="n"/>
      <c r="O68" s="17" t="n"/>
      <c r="P68" s="21" t="n"/>
      <c r="Q68" s="17" t="n"/>
      <c r="R68" s="17" t="n"/>
      <c r="S68" s="35" t="n"/>
      <c r="T68" s="17" t="n"/>
      <c r="U68" s="31" t="n"/>
      <c r="V68" s="35" t="n"/>
      <c r="W68" s="19">
        <f>IF(C68="","",DATEDIF(H68,DATE(PARAMETRES!$C$29,12,31),"y"))</f>
        <v/>
      </c>
      <c r="X68" s="17" t="inlineStr">
        <is>
          <t>Brut de base</t>
        </is>
      </c>
      <c r="Y68" s="23">
        <f>IF($C68="","",MAX(IF(X68="Brut de base",AA68,IF((AA68)&lt;=((ipr_t1_sup_mensuel/(IF(opt_cnss_deductible_ipr="Oui",1-t_cnss_pension_salarie,1)))*(1-t_cnss_pension_salarie)-(ipr_t1_sup_mensuel*ipr_taux1)),(AA68)/((1-t_cnss_pension_salarie)-(IF(opt_cnss_deductible_ipr="Oui",1-t_cnss_pension_salarie,1))*ipr_taux1),IF((AA68)&lt;=((ipr_t2_sup_mensuel/(IF(opt_cnss_deductible_ipr="Oui",1-t_cnss_pension_salarie,1)))*(1-t_cnss_pension_salarie)-((ipr_t1_sup_mensuel*ipr_taux1)+(ipr_t2_sup_mensuel-ipr_t1_sup_mensuel)*ipr_taux2)),((AA68)-ipr_t1_sup_mensuel*ipr_taux2+(ipr_t1_sup_mensuel*ipr_taux1))/((1-t_cnss_pension_salarie)-(IF(opt_cnss_deductible_ipr="Oui",1-t_cnss_pension_salarie,1))*ipr_taux2),IF((AA68)&lt;=((ipr_t3_sup_mensuel/(IF(opt_cnss_deductible_ipr="Oui",1-t_cnss_pension_salarie,1)))*(1-t_cnss_pension_salarie)-(((ipr_t1_sup_mensuel*ipr_taux1)+(ipr_t2_sup_mensuel-ipr_t1_sup_mensuel)*ipr_taux2)+(ipr_t3_sup_mensuel-ipr_t2_sup_mensuel)*ipr_taux3)),((AA68)-ipr_t2_sup_mensuel*ipr_taux3+((ipr_t1_sup_mensuel*ipr_taux1)+(ipr_t2_sup_mensuel-ipr_t1_sup_mensuel)*ipr_taux2))/((1-t_cnss_pension_salarie)-(IF(opt_cnss_deductible_ipr="Oui",1-t_cnss_pension_salarie,1))*ipr_taux3),((AA68)-ipr_t3_sup_mensuel*ipr_taux4+(((ipr_t1_sup_mensuel*ipr_taux1)+(ipr_t2_sup_mensuel-ipr_t1_sup_mensuel)*ipr_taux2)+(ipr_t3_sup_mensuel-ipr_t2_sup_mensuel)*ipr_taux3))/((1-t_cnss_pension_salarie)-(IF(opt_cnss_deductible_ipr="Oui",1-t_cnss_pension_salarie,1))*ipr_taux4))))),AJ68))</f>
        <v/>
      </c>
      <c r="Z68" s="17" t="inlineStr">
        <is>
          <t>CDF</t>
        </is>
      </c>
      <c r="AA68" s="23">
        <f>IF($C68="","",IF(Z68="USD",P68*opt_taux_change,P68))</f>
        <v/>
      </c>
      <c r="AB68" s="19">
        <f>IF($C68="","",IF(H68="","",DATEDIF(H68,DATE(PARAMETRES!$C$29,12,31),"m")))</f>
        <v/>
      </c>
      <c r="AC68" s="19">
        <f>IF($C68="","",IF(AB68="",0,ROUND(AB68*taux_acquisition_conge+FLOOR(AB68/60,1)*majoration_anciennete_conge,1)))</f>
        <v/>
      </c>
      <c r="AD68" s="19">
        <f>IF($C68="","",VARIABLES!AW65+VARIABLES!AW318+VARIABLES!AW571+VARIABLES!AW824+VARIABLES!AW1077+VARIABLES!AW1330+VARIABLES!AW1583+VARIABLES!AW1836+VARIABLES!AW2089+VARIABLES!AW2342+VARIABLES!AW2595+VARIABLES!AW2848)</f>
        <v/>
      </c>
      <c r="AE68" s="19">
        <f>IF($C68="","",AC68-AD68)</f>
        <v/>
      </c>
      <c r="AH68" s="17" t="inlineStr">
        <is>
          <t>Manœuvre — Ordinaire</t>
        </is>
      </c>
      <c r="AI68" s="33">
        <f>IF($C68="","",IFERROR(INDEX(grille_tension_valeur,MATCH(AH68,grille_tension_label,0)),""))</f>
        <v/>
      </c>
      <c r="AJ68" s="23">
        <f>IF($C68="","",IF(AI68="",0,ROUND(smig_journalier*AI68*jours_smig_legal,0)))</f>
        <v/>
      </c>
    </row>
    <row r="69" ht="15" customHeight="1" s="15">
      <c r="B69" s="19" t="n">
        <v>55</v>
      </c>
      <c r="C69" s="17" t="n"/>
      <c r="D69" s="35" t="n"/>
      <c r="E69" s="17" t="n"/>
      <c r="F69" s="31" t="n"/>
      <c r="G69" s="19">
        <f>IF(F69="","",DATEDIF(F69,DATE(PARAMETRES!$C$29,12,31),"y"))</f>
        <v/>
      </c>
      <c r="H69" s="31" t="n"/>
      <c r="I69" s="19">
        <f>IF(H69="","",DATEDIF(H69,DATE(PARAMETRES!$C$29,12,31),"y")&amp;" an(s) "&amp;DATEDIF(H69,DATE(PARAMETRES!$C$29,12,31),"ym")&amp;" mois")</f>
        <v/>
      </c>
      <c r="J69" s="35" t="n"/>
      <c r="K69" s="17" t="n"/>
      <c r="L69" s="17" t="n"/>
      <c r="M69" s="17" t="n"/>
      <c r="N69" s="17" t="n"/>
      <c r="O69" s="17" t="n"/>
      <c r="P69" s="21" t="n"/>
      <c r="Q69" s="17" t="n"/>
      <c r="R69" s="17" t="n"/>
      <c r="S69" s="35" t="n"/>
      <c r="T69" s="17" t="n"/>
      <c r="U69" s="31" t="n"/>
      <c r="V69" s="35" t="n"/>
      <c r="W69" s="19">
        <f>IF(C69="","",DATEDIF(H69,DATE(PARAMETRES!$C$29,12,31),"y"))</f>
        <v/>
      </c>
      <c r="X69" s="17" t="inlineStr">
        <is>
          <t>Brut de base</t>
        </is>
      </c>
      <c r="Y69" s="23">
        <f>IF($C69="","",MAX(IF(X69="Brut de base",AA69,IF((AA69)&lt;=((ipr_t1_sup_mensuel/(IF(opt_cnss_deductible_ipr="Oui",1-t_cnss_pension_salarie,1)))*(1-t_cnss_pension_salarie)-(ipr_t1_sup_mensuel*ipr_taux1)),(AA69)/((1-t_cnss_pension_salarie)-(IF(opt_cnss_deductible_ipr="Oui",1-t_cnss_pension_salarie,1))*ipr_taux1),IF((AA69)&lt;=((ipr_t2_sup_mensuel/(IF(opt_cnss_deductible_ipr="Oui",1-t_cnss_pension_salarie,1)))*(1-t_cnss_pension_salarie)-((ipr_t1_sup_mensuel*ipr_taux1)+(ipr_t2_sup_mensuel-ipr_t1_sup_mensuel)*ipr_taux2)),((AA69)-ipr_t1_sup_mensuel*ipr_taux2+(ipr_t1_sup_mensuel*ipr_taux1))/((1-t_cnss_pension_salarie)-(IF(opt_cnss_deductible_ipr="Oui",1-t_cnss_pension_salarie,1))*ipr_taux2),IF((AA69)&lt;=((ipr_t3_sup_mensuel/(IF(opt_cnss_deductible_ipr="Oui",1-t_cnss_pension_salarie,1)))*(1-t_cnss_pension_salarie)-(((ipr_t1_sup_mensuel*ipr_taux1)+(ipr_t2_sup_mensuel-ipr_t1_sup_mensuel)*ipr_taux2)+(ipr_t3_sup_mensuel-ipr_t2_sup_mensuel)*ipr_taux3)),((AA69)-ipr_t2_sup_mensuel*ipr_taux3+((ipr_t1_sup_mensuel*ipr_taux1)+(ipr_t2_sup_mensuel-ipr_t1_sup_mensuel)*ipr_taux2))/((1-t_cnss_pension_salarie)-(IF(opt_cnss_deductible_ipr="Oui",1-t_cnss_pension_salarie,1))*ipr_taux3),((AA69)-ipr_t3_sup_mensuel*ipr_taux4+(((ipr_t1_sup_mensuel*ipr_taux1)+(ipr_t2_sup_mensuel-ipr_t1_sup_mensuel)*ipr_taux2)+(ipr_t3_sup_mensuel-ipr_t2_sup_mensuel)*ipr_taux3))/((1-t_cnss_pension_salarie)-(IF(opt_cnss_deductible_ipr="Oui",1-t_cnss_pension_salarie,1))*ipr_taux4))))),AJ69))</f>
        <v/>
      </c>
      <c r="Z69" s="17" t="inlineStr">
        <is>
          <t>CDF</t>
        </is>
      </c>
      <c r="AA69" s="23">
        <f>IF($C69="","",IF(Z69="USD",P69*opt_taux_change,P69))</f>
        <v/>
      </c>
      <c r="AB69" s="19">
        <f>IF($C69="","",IF(H69="","",DATEDIF(H69,DATE(PARAMETRES!$C$29,12,31),"m")))</f>
        <v/>
      </c>
      <c r="AC69" s="19">
        <f>IF($C69="","",IF(AB69="",0,ROUND(AB69*taux_acquisition_conge+FLOOR(AB69/60,1)*majoration_anciennete_conge,1)))</f>
        <v/>
      </c>
      <c r="AD69" s="19">
        <f>IF($C69="","",VARIABLES!AW66+VARIABLES!AW319+VARIABLES!AW572+VARIABLES!AW825+VARIABLES!AW1078+VARIABLES!AW1331+VARIABLES!AW1584+VARIABLES!AW1837+VARIABLES!AW2090+VARIABLES!AW2343+VARIABLES!AW2596+VARIABLES!AW2849)</f>
        <v/>
      </c>
      <c r="AE69" s="19">
        <f>IF($C69="","",AC69-AD69)</f>
        <v/>
      </c>
      <c r="AH69" s="17" t="inlineStr">
        <is>
          <t>Manœuvre — Ordinaire</t>
        </is>
      </c>
      <c r="AI69" s="33">
        <f>IF($C69="","",IFERROR(INDEX(grille_tension_valeur,MATCH(AH69,grille_tension_label,0)),""))</f>
        <v/>
      </c>
      <c r="AJ69" s="23">
        <f>IF($C69="","",IF(AI69="",0,ROUND(smig_journalier*AI69*jours_smig_legal,0)))</f>
        <v/>
      </c>
    </row>
    <row r="70" ht="15" customHeight="1" s="15">
      <c r="B70" s="19" t="n">
        <v>56</v>
      </c>
      <c r="C70" s="17" t="n"/>
      <c r="D70" s="35" t="n"/>
      <c r="E70" s="17" t="n"/>
      <c r="F70" s="31" t="n"/>
      <c r="G70" s="19">
        <f>IF(F70="","",DATEDIF(F70,DATE(PARAMETRES!$C$29,12,31),"y"))</f>
        <v/>
      </c>
      <c r="H70" s="31" t="n"/>
      <c r="I70" s="19">
        <f>IF(H70="","",DATEDIF(H70,DATE(PARAMETRES!$C$29,12,31),"y")&amp;" an(s) "&amp;DATEDIF(H70,DATE(PARAMETRES!$C$29,12,31),"ym")&amp;" mois")</f>
        <v/>
      </c>
      <c r="J70" s="35" t="n"/>
      <c r="K70" s="17" t="n"/>
      <c r="L70" s="17" t="n"/>
      <c r="M70" s="17" t="n"/>
      <c r="N70" s="17" t="n"/>
      <c r="O70" s="17" t="n"/>
      <c r="P70" s="21" t="n"/>
      <c r="Q70" s="17" t="n"/>
      <c r="R70" s="17" t="n"/>
      <c r="S70" s="35" t="n"/>
      <c r="T70" s="17" t="n"/>
      <c r="U70" s="31" t="n"/>
      <c r="V70" s="35" t="n"/>
      <c r="W70" s="19">
        <f>IF(C70="","",DATEDIF(H70,DATE(PARAMETRES!$C$29,12,31),"y"))</f>
        <v/>
      </c>
      <c r="X70" s="17" t="inlineStr">
        <is>
          <t>Brut de base</t>
        </is>
      </c>
      <c r="Y70" s="23">
        <f>IF($C70="","",MAX(IF(X70="Brut de base",AA70,IF((AA70)&lt;=((ipr_t1_sup_mensuel/(IF(opt_cnss_deductible_ipr="Oui",1-t_cnss_pension_salarie,1)))*(1-t_cnss_pension_salarie)-(ipr_t1_sup_mensuel*ipr_taux1)),(AA70)/((1-t_cnss_pension_salarie)-(IF(opt_cnss_deductible_ipr="Oui",1-t_cnss_pension_salarie,1))*ipr_taux1),IF((AA70)&lt;=((ipr_t2_sup_mensuel/(IF(opt_cnss_deductible_ipr="Oui",1-t_cnss_pension_salarie,1)))*(1-t_cnss_pension_salarie)-((ipr_t1_sup_mensuel*ipr_taux1)+(ipr_t2_sup_mensuel-ipr_t1_sup_mensuel)*ipr_taux2)),((AA70)-ipr_t1_sup_mensuel*ipr_taux2+(ipr_t1_sup_mensuel*ipr_taux1))/((1-t_cnss_pension_salarie)-(IF(opt_cnss_deductible_ipr="Oui",1-t_cnss_pension_salarie,1))*ipr_taux2),IF((AA70)&lt;=((ipr_t3_sup_mensuel/(IF(opt_cnss_deductible_ipr="Oui",1-t_cnss_pension_salarie,1)))*(1-t_cnss_pension_salarie)-(((ipr_t1_sup_mensuel*ipr_taux1)+(ipr_t2_sup_mensuel-ipr_t1_sup_mensuel)*ipr_taux2)+(ipr_t3_sup_mensuel-ipr_t2_sup_mensuel)*ipr_taux3)),((AA70)-ipr_t2_sup_mensuel*ipr_taux3+((ipr_t1_sup_mensuel*ipr_taux1)+(ipr_t2_sup_mensuel-ipr_t1_sup_mensuel)*ipr_taux2))/((1-t_cnss_pension_salarie)-(IF(opt_cnss_deductible_ipr="Oui",1-t_cnss_pension_salarie,1))*ipr_taux3),((AA70)-ipr_t3_sup_mensuel*ipr_taux4+(((ipr_t1_sup_mensuel*ipr_taux1)+(ipr_t2_sup_mensuel-ipr_t1_sup_mensuel)*ipr_taux2)+(ipr_t3_sup_mensuel-ipr_t2_sup_mensuel)*ipr_taux3))/((1-t_cnss_pension_salarie)-(IF(opt_cnss_deductible_ipr="Oui",1-t_cnss_pension_salarie,1))*ipr_taux4))))),AJ70))</f>
        <v/>
      </c>
      <c r="Z70" s="17" t="inlineStr">
        <is>
          <t>CDF</t>
        </is>
      </c>
      <c r="AA70" s="23">
        <f>IF($C70="","",IF(Z70="USD",P70*opt_taux_change,P70))</f>
        <v/>
      </c>
      <c r="AB70" s="19">
        <f>IF($C70="","",IF(H70="","",DATEDIF(H70,DATE(PARAMETRES!$C$29,12,31),"m")))</f>
        <v/>
      </c>
      <c r="AC70" s="19">
        <f>IF($C70="","",IF(AB70="",0,ROUND(AB70*taux_acquisition_conge+FLOOR(AB70/60,1)*majoration_anciennete_conge,1)))</f>
        <v/>
      </c>
      <c r="AD70" s="19">
        <f>IF($C70="","",VARIABLES!AW67+VARIABLES!AW320+VARIABLES!AW573+VARIABLES!AW826+VARIABLES!AW1079+VARIABLES!AW1332+VARIABLES!AW1585+VARIABLES!AW1838+VARIABLES!AW2091+VARIABLES!AW2344+VARIABLES!AW2597+VARIABLES!AW2850)</f>
        <v/>
      </c>
      <c r="AE70" s="19">
        <f>IF($C70="","",AC70-AD70)</f>
        <v/>
      </c>
      <c r="AH70" s="17" t="inlineStr">
        <is>
          <t>Manœuvre — Ordinaire</t>
        </is>
      </c>
      <c r="AI70" s="33">
        <f>IF($C70="","",IFERROR(INDEX(grille_tension_valeur,MATCH(AH70,grille_tension_label,0)),""))</f>
        <v/>
      </c>
      <c r="AJ70" s="23">
        <f>IF($C70="","",IF(AI70="",0,ROUND(smig_journalier*AI70*jours_smig_legal,0)))</f>
        <v/>
      </c>
    </row>
    <row r="71" ht="15" customHeight="1" s="15">
      <c r="B71" s="19" t="n">
        <v>57</v>
      </c>
      <c r="C71" s="17" t="n"/>
      <c r="D71" s="35" t="n"/>
      <c r="E71" s="17" t="n"/>
      <c r="F71" s="31" t="n"/>
      <c r="G71" s="19">
        <f>IF(F71="","",DATEDIF(F71,DATE(PARAMETRES!$C$29,12,31),"y"))</f>
        <v/>
      </c>
      <c r="H71" s="31" t="n"/>
      <c r="I71" s="19">
        <f>IF(H71="","",DATEDIF(H71,DATE(PARAMETRES!$C$29,12,31),"y")&amp;" an(s) "&amp;DATEDIF(H71,DATE(PARAMETRES!$C$29,12,31),"ym")&amp;" mois")</f>
        <v/>
      </c>
      <c r="J71" s="35" t="n"/>
      <c r="K71" s="17" t="n"/>
      <c r="L71" s="17" t="n"/>
      <c r="M71" s="17" t="n"/>
      <c r="N71" s="17" t="n"/>
      <c r="O71" s="17" t="n"/>
      <c r="P71" s="21" t="n"/>
      <c r="Q71" s="17" t="n"/>
      <c r="R71" s="17" t="n"/>
      <c r="S71" s="35" t="n"/>
      <c r="T71" s="17" t="n"/>
      <c r="U71" s="31" t="n"/>
      <c r="V71" s="35" t="n"/>
      <c r="W71" s="19">
        <f>IF(C71="","",DATEDIF(H71,DATE(PARAMETRES!$C$29,12,31),"y"))</f>
        <v/>
      </c>
      <c r="X71" s="17" t="inlineStr">
        <is>
          <t>Brut de base</t>
        </is>
      </c>
      <c r="Y71" s="23">
        <f>IF($C71="","",MAX(IF(X71="Brut de base",AA71,IF((AA71)&lt;=((ipr_t1_sup_mensuel/(IF(opt_cnss_deductible_ipr="Oui",1-t_cnss_pension_salarie,1)))*(1-t_cnss_pension_salarie)-(ipr_t1_sup_mensuel*ipr_taux1)),(AA71)/((1-t_cnss_pension_salarie)-(IF(opt_cnss_deductible_ipr="Oui",1-t_cnss_pension_salarie,1))*ipr_taux1),IF((AA71)&lt;=((ipr_t2_sup_mensuel/(IF(opt_cnss_deductible_ipr="Oui",1-t_cnss_pension_salarie,1)))*(1-t_cnss_pension_salarie)-((ipr_t1_sup_mensuel*ipr_taux1)+(ipr_t2_sup_mensuel-ipr_t1_sup_mensuel)*ipr_taux2)),((AA71)-ipr_t1_sup_mensuel*ipr_taux2+(ipr_t1_sup_mensuel*ipr_taux1))/((1-t_cnss_pension_salarie)-(IF(opt_cnss_deductible_ipr="Oui",1-t_cnss_pension_salarie,1))*ipr_taux2),IF((AA71)&lt;=((ipr_t3_sup_mensuel/(IF(opt_cnss_deductible_ipr="Oui",1-t_cnss_pension_salarie,1)))*(1-t_cnss_pension_salarie)-(((ipr_t1_sup_mensuel*ipr_taux1)+(ipr_t2_sup_mensuel-ipr_t1_sup_mensuel)*ipr_taux2)+(ipr_t3_sup_mensuel-ipr_t2_sup_mensuel)*ipr_taux3)),((AA71)-ipr_t2_sup_mensuel*ipr_taux3+((ipr_t1_sup_mensuel*ipr_taux1)+(ipr_t2_sup_mensuel-ipr_t1_sup_mensuel)*ipr_taux2))/((1-t_cnss_pension_salarie)-(IF(opt_cnss_deductible_ipr="Oui",1-t_cnss_pension_salarie,1))*ipr_taux3),((AA71)-ipr_t3_sup_mensuel*ipr_taux4+(((ipr_t1_sup_mensuel*ipr_taux1)+(ipr_t2_sup_mensuel-ipr_t1_sup_mensuel)*ipr_taux2)+(ipr_t3_sup_mensuel-ipr_t2_sup_mensuel)*ipr_taux3))/((1-t_cnss_pension_salarie)-(IF(opt_cnss_deductible_ipr="Oui",1-t_cnss_pension_salarie,1))*ipr_taux4))))),AJ71))</f>
        <v/>
      </c>
      <c r="Z71" s="17" t="inlineStr">
        <is>
          <t>CDF</t>
        </is>
      </c>
      <c r="AA71" s="23">
        <f>IF($C71="","",IF(Z71="USD",P71*opt_taux_change,P71))</f>
        <v/>
      </c>
      <c r="AB71" s="19">
        <f>IF($C71="","",IF(H71="","",DATEDIF(H71,DATE(PARAMETRES!$C$29,12,31),"m")))</f>
        <v/>
      </c>
      <c r="AC71" s="19">
        <f>IF($C71="","",IF(AB71="",0,ROUND(AB71*taux_acquisition_conge+FLOOR(AB71/60,1)*majoration_anciennete_conge,1)))</f>
        <v/>
      </c>
      <c r="AD71" s="19">
        <f>IF($C71="","",VARIABLES!AW68+VARIABLES!AW321+VARIABLES!AW574+VARIABLES!AW827+VARIABLES!AW1080+VARIABLES!AW1333+VARIABLES!AW1586+VARIABLES!AW1839+VARIABLES!AW2092+VARIABLES!AW2345+VARIABLES!AW2598+VARIABLES!AW2851)</f>
        <v/>
      </c>
      <c r="AE71" s="19">
        <f>IF($C71="","",AC71-AD71)</f>
        <v/>
      </c>
      <c r="AH71" s="17" t="inlineStr">
        <is>
          <t>Manœuvre — Ordinaire</t>
        </is>
      </c>
      <c r="AI71" s="33">
        <f>IF($C71="","",IFERROR(INDEX(grille_tension_valeur,MATCH(AH71,grille_tension_label,0)),""))</f>
        <v/>
      </c>
      <c r="AJ71" s="23">
        <f>IF($C71="","",IF(AI71="",0,ROUND(smig_journalier*AI71*jours_smig_legal,0)))</f>
        <v/>
      </c>
    </row>
    <row r="72" ht="15" customHeight="1" s="15">
      <c r="B72" s="19" t="n">
        <v>58</v>
      </c>
      <c r="C72" s="17" t="n"/>
      <c r="D72" s="35" t="n"/>
      <c r="E72" s="17" t="n"/>
      <c r="F72" s="31" t="n"/>
      <c r="G72" s="19">
        <f>IF(F72="","",DATEDIF(F72,DATE(PARAMETRES!$C$29,12,31),"y"))</f>
        <v/>
      </c>
      <c r="H72" s="31" t="n"/>
      <c r="I72" s="19">
        <f>IF(H72="","",DATEDIF(H72,DATE(PARAMETRES!$C$29,12,31),"y")&amp;" an(s) "&amp;DATEDIF(H72,DATE(PARAMETRES!$C$29,12,31),"ym")&amp;" mois")</f>
        <v/>
      </c>
      <c r="J72" s="35" t="n"/>
      <c r="K72" s="17" t="n"/>
      <c r="L72" s="17" t="n"/>
      <c r="M72" s="17" t="n"/>
      <c r="N72" s="17" t="n"/>
      <c r="O72" s="17" t="n"/>
      <c r="P72" s="21" t="n"/>
      <c r="Q72" s="17" t="n"/>
      <c r="R72" s="17" t="n"/>
      <c r="S72" s="35" t="n"/>
      <c r="T72" s="17" t="n"/>
      <c r="U72" s="31" t="n"/>
      <c r="V72" s="35" t="n"/>
      <c r="W72" s="19">
        <f>IF(C72="","",DATEDIF(H72,DATE(PARAMETRES!$C$29,12,31),"y"))</f>
        <v/>
      </c>
      <c r="X72" s="17" t="inlineStr">
        <is>
          <t>Brut de base</t>
        </is>
      </c>
      <c r="Y72" s="23">
        <f>IF($C72="","",MAX(IF(X72="Brut de base",AA72,IF((AA72)&lt;=((ipr_t1_sup_mensuel/(IF(opt_cnss_deductible_ipr="Oui",1-t_cnss_pension_salarie,1)))*(1-t_cnss_pension_salarie)-(ipr_t1_sup_mensuel*ipr_taux1)),(AA72)/((1-t_cnss_pension_salarie)-(IF(opt_cnss_deductible_ipr="Oui",1-t_cnss_pension_salarie,1))*ipr_taux1),IF((AA72)&lt;=((ipr_t2_sup_mensuel/(IF(opt_cnss_deductible_ipr="Oui",1-t_cnss_pension_salarie,1)))*(1-t_cnss_pension_salarie)-((ipr_t1_sup_mensuel*ipr_taux1)+(ipr_t2_sup_mensuel-ipr_t1_sup_mensuel)*ipr_taux2)),((AA72)-ipr_t1_sup_mensuel*ipr_taux2+(ipr_t1_sup_mensuel*ipr_taux1))/((1-t_cnss_pension_salarie)-(IF(opt_cnss_deductible_ipr="Oui",1-t_cnss_pension_salarie,1))*ipr_taux2),IF((AA72)&lt;=((ipr_t3_sup_mensuel/(IF(opt_cnss_deductible_ipr="Oui",1-t_cnss_pension_salarie,1)))*(1-t_cnss_pension_salarie)-(((ipr_t1_sup_mensuel*ipr_taux1)+(ipr_t2_sup_mensuel-ipr_t1_sup_mensuel)*ipr_taux2)+(ipr_t3_sup_mensuel-ipr_t2_sup_mensuel)*ipr_taux3)),((AA72)-ipr_t2_sup_mensuel*ipr_taux3+((ipr_t1_sup_mensuel*ipr_taux1)+(ipr_t2_sup_mensuel-ipr_t1_sup_mensuel)*ipr_taux2))/((1-t_cnss_pension_salarie)-(IF(opt_cnss_deductible_ipr="Oui",1-t_cnss_pension_salarie,1))*ipr_taux3),((AA72)-ipr_t3_sup_mensuel*ipr_taux4+(((ipr_t1_sup_mensuel*ipr_taux1)+(ipr_t2_sup_mensuel-ipr_t1_sup_mensuel)*ipr_taux2)+(ipr_t3_sup_mensuel-ipr_t2_sup_mensuel)*ipr_taux3))/((1-t_cnss_pension_salarie)-(IF(opt_cnss_deductible_ipr="Oui",1-t_cnss_pension_salarie,1))*ipr_taux4))))),AJ72))</f>
        <v/>
      </c>
      <c r="Z72" s="17" t="inlineStr">
        <is>
          <t>CDF</t>
        </is>
      </c>
      <c r="AA72" s="23">
        <f>IF($C72="","",IF(Z72="USD",P72*opt_taux_change,P72))</f>
        <v/>
      </c>
      <c r="AB72" s="19">
        <f>IF($C72="","",IF(H72="","",DATEDIF(H72,DATE(PARAMETRES!$C$29,12,31),"m")))</f>
        <v/>
      </c>
      <c r="AC72" s="19">
        <f>IF($C72="","",IF(AB72="",0,ROUND(AB72*taux_acquisition_conge+FLOOR(AB72/60,1)*majoration_anciennete_conge,1)))</f>
        <v/>
      </c>
      <c r="AD72" s="19">
        <f>IF($C72="","",VARIABLES!AW69+VARIABLES!AW322+VARIABLES!AW575+VARIABLES!AW828+VARIABLES!AW1081+VARIABLES!AW1334+VARIABLES!AW1587+VARIABLES!AW1840+VARIABLES!AW2093+VARIABLES!AW2346+VARIABLES!AW2599+VARIABLES!AW2852)</f>
        <v/>
      </c>
      <c r="AE72" s="19">
        <f>IF($C72="","",AC72-AD72)</f>
        <v/>
      </c>
      <c r="AH72" s="17" t="inlineStr">
        <is>
          <t>Manœuvre — Ordinaire</t>
        </is>
      </c>
      <c r="AI72" s="33">
        <f>IF($C72="","",IFERROR(INDEX(grille_tension_valeur,MATCH(AH72,grille_tension_label,0)),""))</f>
        <v/>
      </c>
      <c r="AJ72" s="23">
        <f>IF($C72="","",IF(AI72="",0,ROUND(smig_journalier*AI72*jours_smig_legal,0)))</f>
        <v/>
      </c>
    </row>
    <row r="73" ht="15" customHeight="1" s="15">
      <c r="B73" s="19" t="n">
        <v>59</v>
      </c>
      <c r="C73" s="17" t="n"/>
      <c r="D73" s="35" t="n"/>
      <c r="E73" s="17" t="n"/>
      <c r="F73" s="31" t="n"/>
      <c r="G73" s="19">
        <f>IF(F73="","",DATEDIF(F73,DATE(PARAMETRES!$C$29,12,31),"y"))</f>
        <v/>
      </c>
      <c r="H73" s="31" t="n"/>
      <c r="I73" s="19">
        <f>IF(H73="","",DATEDIF(H73,DATE(PARAMETRES!$C$29,12,31),"y")&amp;" an(s) "&amp;DATEDIF(H73,DATE(PARAMETRES!$C$29,12,31),"ym")&amp;" mois")</f>
        <v/>
      </c>
      <c r="J73" s="35" t="n"/>
      <c r="K73" s="17" t="n"/>
      <c r="L73" s="17" t="n"/>
      <c r="M73" s="17" t="n"/>
      <c r="N73" s="17" t="n"/>
      <c r="O73" s="17" t="n"/>
      <c r="P73" s="21" t="n"/>
      <c r="Q73" s="17" t="n"/>
      <c r="R73" s="17" t="n"/>
      <c r="S73" s="35" t="n"/>
      <c r="T73" s="17" t="n"/>
      <c r="U73" s="31" t="n"/>
      <c r="V73" s="35" t="n"/>
      <c r="W73" s="19">
        <f>IF(C73="","",DATEDIF(H73,DATE(PARAMETRES!$C$29,12,31),"y"))</f>
        <v/>
      </c>
      <c r="X73" s="17" t="inlineStr">
        <is>
          <t>Brut de base</t>
        </is>
      </c>
      <c r="Y73" s="23">
        <f>IF($C73="","",MAX(IF(X73="Brut de base",AA73,IF((AA73)&lt;=((ipr_t1_sup_mensuel/(IF(opt_cnss_deductible_ipr="Oui",1-t_cnss_pension_salarie,1)))*(1-t_cnss_pension_salarie)-(ipr_t1_sup_mensuel*ipr_taux1)),(AA73)/((1-t_cnss_pension_salarie)-(IF(opt_cnss_deductible_ipr="Oui",1-t_cnss_pension_salarie,1))*ipr_taux1),IF((AA73)&lt;=((ipr_t2_sup_mensuel/(IF(opt_cnss_deductible_ipr="Oui",1-t_cnss_pension_salarie,1)))*(1-t_cnss_pension_salarie)-((ipr_t1_sup_mensuel*ipr_taux1)+(ipr_t2_sup_mensuel-ipr_t1_sup_mensuel)*ipr_taux2)),((AA73)-ipr_t1_sup_mensuel*ipr_taux2+(ipr_t1_sup_mensuel*ipr_taux1))/((1-t_cnss_pension_salarie)-(IF(opt_cnss_deductible_ipr="Oui",1-t_cnss_pension_salarie,1))*ipr_taux2),IF((AA73)&lt;=((ipr_t3_sup_mensuel/(IF(opt_cnss_deductible_ipr="Oui",1-t_cnss_pension_salarie,1)))*(1-t_cnss_pension_salarie)-(((ipr_t1_sup_mensuel*ipr_taux1)+(ipr_t2_sup_mensuel-ipr_t1_sup_mensuel)*ipr_taux2)+(ipr_t3_sup_mensuel-ipr_t2_sup_mensuel)*ipr_taux3)),((AA73)-ipr_t2_sup_mensuel*ipr_taux3+((ipr_t1_sup_mensuel*ipr_taux1)+(ipr_t2_sup_mensuel-ipr_t1_sup_mensuel)*ipr_taux2))/((1-t_cnss_pension_salarie)-(IF(opt_cnss_deductible_ipr="Oui",1-t_cnss_pension_salarie,1))*ipr_taux3),((AA73)-ipr_t3_sup_mensuel*ipr_taux4+(((ipr_t1_sup_mensuel*ipr_taux1)+(ipr_t2_sup_mensuel-ipr_t1_sup_mensuel)*ipr_taux2)+(ipr_t3_sup_mensuel-ipr_t2_sup_mensuel)*ipr_taux3))/((1-t_cnss_pension_salarie)-(IF(opt_cnss_deductible_ipr="Oui",1-t_cnss_pension_salarie,1))*ipr_taux4))))),AJ73))</f>
        <v/>
      </c>
      <c r="Z73" s="17" t="inlineStr">
        <is>
          <t>CDF</t>
        </is>
      </c>
      <c r="AA73" s="23">
        <f>IF($C73="","",IF(Z73="USD",P73*opt_taux_change,P73))</f>
        <v/>
      </c>
      <c r="AB73" s="19">
        <f>IF($C73="","",IF(H73="","",DATEDIF(H73,DATE(PARAMETRES!$C$29,12,31),"m")))</f>
        <v/>
      </c>
      <c r="AC73" s="19">
        <f>IF($C73="","",IF(AB73="",0,ROUND(AB73*taux_acquisition_conge+FLOOR(AB73/60,1)*majoration_anciennete_conge,1)))</f>
        <v/>
      </c>
      <c r="AD73" s="19">
        <f>IF($C73="","",VARIABLES!AW70+VARIABLES!AW323+VARIABLES!AW576+VARIABLES!AW829+VARIABLES!AW1082+VARIABLES!AW1335+VARIABLES!AW1588+VARIABLES!AW1841+VARIABLES!AW2094+VARIABLES!AW2347+VARIABLES!AW2600+VARIABLES!AW2853)</f>
        <v/>
      </c>
      <c r="AE73" s="19">
        <f>IF($C73="","",AC73-AD73)</f>
        <v/>
      </c>
      <c r="AH73" s="17" t="inlineStr">
        <is>
          <t>Manœuvre — Ordinaire</t>
        </is>
      </c>
      <c r="AI73" s="33">
        <f>IF($C73="","",IFERROR(INDEX(grille_tension_valeur,MATCH(AH73,grille_tension_label,0)),""))</f>
        <v/>
      </c>
      <c r="AJ73" s="23">
        <f>IF($C73="","",IF(AI73="",0,ROUND(smig_journalier*AI73*jours_smig_legal,0)))</f>
        <v/>
      </c>
    </row>
    <row r="74" ht="15" customHeight="1" s="15">
      <c r="B74" s="19" t="n">
        <v>60</v>
      </c>
      <c r="C74" s="17" t="n"/>
      <c r="D74" s="35" t="n"/>
      <c r="E74" s="17" t="n"/>
      <c r="F74" s="31" t="n"/>
      <c r="G74" s="19">
        <f>IF(F74="","",DATEDIF(F74,DATE(PARAMETRES!$C$29,12,31),"y"))</f>
        <v/>
      </c>
      <c r="H74" s="31" t="n"/>
      <c r="I74" s="19">
        <f>IF(H74="","",DATEDIF(H74,DATE(PARAMETRES!$C$29,12,31),"y")&amp;" an(s) "&amp;DATEDIF(H74,DATE(PARAMETRES!$C$29,12,31),"ym")&amp;" mois")</f>
        <v/>
      </c>
      <c r="J74" s="35" t="n"/>
      <c r="K74" s="17" t="n"/>
      <c r="L74" s="17" t="n"/>
      <c r="M74" s="17" t="n"/>
      <c r="N74" s="17" t="n"/>
      <c r="O74" s="17" t="n"/>
      <c r="P74" s="21" t="n"/>
      <c r="Q74" s="17" t="n"/>
      <c r="R74" s="17" t="n"/>
      <c r="S74" s="35" t="n"/>
      <c r="T74" s="17" t="n"/>
      <c r="U74" s="31" t="n"/>
      <c r="V74" s="35" t="n"/>
      <c r="W74" s="19">
        <f>IF(C74="","",DATEDIF(H74,DATE(PARAMETRES!$C$29,12,31),"y"))</f>
        <v/>
      </c>
      <c r="X74" s="17" t="inlineStr">
        <is>
          <t>Brut de base</t>
        </is>
      </c>
      <c r="Y74" s="23">
        <f>IF($C74="","",MAX(IF(X74="Brut de base",AA74,IF((AA74)&lt;=((ipr_t1_sup_mensuel/(IF(opt_cnss_deductible_ipr="Oui",1-t_cnss_pension_salarie,1)))*(1-t_cnss_pension_salarie)-(ipr_t1_sup_mensuel*ipr_taux1)),(AA74)/((1-t_cnss_pension_salarie)-(IF(opt_cnss_deductible_ipr="Oui",1-t_cnss_pension_salarie,1))*ipr_taux1),IF((AA74)&lt;=((ipr_t2_sup_mensuel/(IF(opt_cnss_deductible_ipr="Oui",1-t_cnss_pension_salarie,1)))*(1-t_cnss_pension_salarie)-((ipr_t1_sup_mensuel*ipr_taux1)+(ipr_t2_sup_mensuel-ipr_t1_sup_mensuel)*ipr_taux2)),((AA74)-ipr_t1_sup_mensuel*ipr_taux2+(ipr_t1_sup_mensuel*ipr_taux1))/((1-t_cnss_pension_salarie)-(IF(opt_cnss_deductible_ipr="Oui",1-t_cnss_pension_salarie,1))*ipr_taux2),IF((AA74)&lt;=((ipr_t3_sup_mensuel/(IF(opt_cnss_deductible_ipr="Oui",1-t_cnss_pension_salarie,1)))*(1-t_cnss_pension_salarie)-(((ipr_t1_sup_mensuel*ipr_taux1)+(ipr_t2_sup_mensuel-ipr_t1_sup_mensuel)*ipr_taux2)+(ipr_t3_sup_mensuel-ipr_t2_sup_mensuel)*ipr_taux3)),((AA74)-ipr_t2_sup_mensuel*ipr_taux3+((ipr_t1_sup_mensuel*ipr_taux1)+(ipr_t2_sup_mensuel-ipr_t1_sup_mensuel)*ipr_taux2))/((1-t_cnss_pension_salarie)-(IF(opt_cnss_deductible_ipr="Oui",1-t_cnss_pension_salarie,1))*ipr_taux3),((AA74)-ipr_t3_sup_mensuel*ipr_taux4+(((ipr_t1_sup_mensuel*ipr_taux1)+(ipr_t2_sup_mensuel-ipr_t1_sup_mensuel)*ipr_taux2)+(ipr_t3_sup_mensuel-ipr_t2_sup_mensuel)*ipr_taux3))/((1-t_cnss_pension_salarie)-(IF(opt_cnss_deductible_ipr="Oui",1-t_cnss_pension_salarie,1))*ipr_taux4))))),AJ74))</f>
        <v/>
      </c>
      <c r="Z74" s="17" t="inlineStr">
        <is>
          <t>CDF</t>
        </is>
      </c>
      <c r="AA74" s="23">
        <f>IF($C74="","",IF(Z74="USD",P74*opt_taux_change,P74))</f>
        <v/>
      </c>
      <c r="AB74" s="19">
        <f>IF($C74="","",IF(H74="","",DATEDIF(H74,DATE(PARAMETRES!$C$29,12,31),"m")))</f>
        <v/>
      </c>
      <c r="AC74" s="19">
        <f>IF($C74="","",IF(AB74="",0,ROUND(AB74*taux_acquisition_conge+FLOOR(AB74/60,1)*majoration_anciennete_conge,1)))</f>
        <v/>
      </c>
      <c r="AD74" s="19">
        <f>IF($C74="","",VARIABLES!AW71+VARIABLES!AW324+VARIABLES!AW577+VARIABLES!AW830+VARIABLES!AW1083+VARIABLES!AW1336+VARIABLES!AW1589+VARIABLES!AW1842+VARIABLES!AW2095+VARIABLES!AW2348+VARIABLES!AW2601+VARIABLES!AW2854)</f>
        <v/>
      </c>
      <c r="AE74" s="19">
        <f>IF($C74="","",AC74-AD74)</f>
        <v/>
      </c>
      <c r="AH74" s="17" t="inlineStr">
        <is>
          <t>Manœuvre — Ordinaire</t>
        </is>
      </c>
      <c r="AI74" s="33">
        <f>IF($C74="","",IFERROR(INDEX(grille_tension_valeur,MATCH(AH74,grille_tension_label,0)),""))</f>
        <v/>
      </c>
      <c r="AJ74" s="23">
        <f>IF($C74="","",IF(AI74="",0,ROUND(smig_journalier*AI74*jours_smig_legal,0)))</f>
        <v/>
      </c>
    </row>
    <row r="76" ht="27.75" customHeight="1" s="15">
      <c r="B76" s="6" t="inlineStr">
        <is>
          <t>ℹ  Capacité préformatée de 60 agents (lignes déjà mises en forme et prêtes à l'emploi, même vides) — principe repris de la Fiche d'Imputation Lobii Group : ajouter un agent = remplir la première ligne libre, aucune formule à recopier. Au-delà de 60 agents, dupliquer la dernière ligne vers le bas en conservant ses formules (colonnes Âge et Ancienneté).</t>
        </is>
      </c>
    </row>
    <row r="78" ht="60" customHeight="1" s="15">
      <c r="B78" s="5" t="inlineStr">
        <is>
          <t>ℹ  Modes "Net salaire seul" et "Net tout compris" : le montant négocié (colonne P) est la cible de SALAIRE DE BASE net (hors allocation familiale, logement, réduction IPR pour charge de famille), inversée par le barème IPR sans tenir compte de la réduction familiale. Le NET final réellement perçu par l'agent (visible dans BULLETIN/JOURNAL) sera légèrement supérieur à cette cible, puisque l'allocation familiale, la contre-valeur logement et la réduction familiale s'ajoutent ensuite normalement au calcul. Écart typique observé : de l'ordre de 1 à 2 % du montant négocié, croissant avec le nombre d'enfants à charge.</t>
        </is>
      </c>
    </row>
  </sheetData>
  <mergeCells count="9">
    <mergeCell ref="A2:V2"/>
    <mergeCell ref="B11:D11"/>
    <mergeCell ref="A10:V10"/>
    <mergeCell ref="B78:L78"/>
    <mergeCell ref="A1:V1"/>
    <mergeCell ref="B76:V76"/>
    <mergeCell ref="B12:D12"/>
    <mergeCell ref="B8:V8"/>
    <mergeCell ref="B4:V4"/>
  </mergeCells>
  <dataValidations count="186">
    <dataValidation sqref="E15:E74" showDropDown="0" showInputMessage="0" showErrorMessage="0" allowBlank="1" type="list">
      <formula1>"M,F"</formula1>
      <formula2>0</formula2>
    </dataValidation>
    <dataValidation sqref="L15:L74" showDropDown="0" showInputMessage="0" showErrorMessage="0" allowBlank="1" type="list">
      <formula1>"CDI,CDD,Journalier,Stage"</formula1>
      <formula2>0</formula2>
    </dataValidation>
    <dataValidation sqref="M15:M74" showDropDown="0" showInputMessage="0" showErrorMessage="0" allowBlank="1" type="list">
      <formula1>"5j,6j"</formula1>
      <formula2>0</formula2>
    </dataValidation>
    <dataValidation sqref="N15:N74" showDropDown="0" showInputMessage="0" showErrorMessage="0" allowBlank="1" type="list">
      <formula1>"Célibataire,Marié(e),Veuf/Veuve,Divorcé(e)"</formula1>
      <formula2>0</formula2>
    </dataValidation>
    <dataValidation sqref="R15:R74" showDropDown="0" showInputMessage="0" showErrorMessage="0" allowBlank="1" type="list">
      <formula1>"Espèces,Virement bancaire,Mobile Money"</formula1>
      <formula2>0</formula2>
    </dataValidation>
    <dataValidation sqref="T15:T74" showDropDown="0" showInputMessage="0" showErrorMessage="0" allowBlank="1" type="list">
      <formula1>"Actif,Suspendu,Sorti"</formula1>
      <formula2>0</formula2>
    </dataValidation>
    <dataValidation sqref="X15" showDropDown="0" showInputMessage="0" showErrorMessage="0" allowBlank="1" type="list">
      <formula1>"Brut de base,Net salaire seul,Net tout compris"</formula1>
      <formula2>0</formula2>
    </dataValidation>
    <dataValidation sqref="X16" showDropDown="0" showInputMessage="0" showErrorMessage="0" allowBlank="1" type="list">
      <formula1>"Brut de base,Net salaire seul,Net tout compris"</formula1>
      <formula2>0</formula2>
    </dataValidation>
    <dataValidation sqref="X17" showDropDown="0" showInputMessage="0" showErrorMessage="0" allowBlank="1" type="list">
      <formula1>"Brut de base,Net salaire seul,Net tout compris"</formula1>
      <formula2>0</formula2>
    </dataValidation>
    <dataValidation sqref="X18" showDropDown="0" showInputMessage="0" showErrorMessage="0" allowBlank="1" type="list">
      <formula1>"Brut de base,Net salaire seul,Net tout compris"</formula1>
      <formula2>0</formula2>
    </dataValidation>
    <dataValidation sqref="X19" showDropDown="0" showInputMessage="0" showErrorMessage="0" allowBlank="1" type="list">
      <formula1>"Brut de base,Net salaire seul,Net tout compris"</formula1>
      <formula2>0</formula2>
    </dataValidation>
    <dataValidation sqref="X20" showDropDown="0" showInputMessage="0" showErrorMessage="0" allowBlank="1" type="list">
      <formula1>"Brut de base,Net salaire seul,Net tout compris"</formula1>
      <formula2>0</formula2>
    </dataValidation>
    <dataValidation sqref="X21" showDropDown="0" showInputMessage="0" showErrorMessage="0" allowBlank="1" type="list">
      <formula1>"Brut de base,Net salaire seul,Net tout compris"</formula1>
      <formula2>0</formula2>
    </dataValidation>
    <dataValidation sqref="X22" showDropDown="0" showInputMessage="0" showErrorMessage="0" allowBlank="1" type="list">
      <formula1>"Brut de base,Net salaire seul,Net tout compris"</formula1>
      <formula2>0</formula2>
    </dataValidation>
    <dataValidation sqref="X23" showDropDown="0" showInputMessage="0" showErrorMessage="0" allowBlank="1" type="list">
      <formula1>"Brut de base,Net salaire seul,Net tout compris"</formula1>
      <formula2>0</formula2>
    </dataValidation>
    <dataValidation sqref="X24" showDropDown="0" showInputMessage="0" showErrorMessage="0" allowBlank="1" type="list">
      <formula1>"Brut de base,Net salaire seul,Net tout compris"</formula1>
      <formula2>0</formula2>
    </dataValidation>
    <dataValidation sqref="X25" showDropDown="0" showInputMessage="0" showErrorMessage="0" allowBlank="1" type="list">
      <formula1>"Brut de base,Net salaire seul,Net tout compris"</formula1>
      <formula2>0</formula2>
    </dataValidation>
    <dataValidation sqref="X26" showDropDown="0" showInputMessage="0" showErrorMessage="0" allowBlank="1" type="list">
      <formula1>"Brut de base,Net salaire seul,Net tout compris"</formula1>
      <formula2>0</formula2>
    </dataValidation>
    <dataValidation sqref="X27" showDropDown="0" showInputMessage="0" showErrorMessage="0" allowBlank="1" type="list">
      <formula1>"Brut de base,Net salaire seul,Net tout compris"</formula1>
      <formula2>0</formula2>
    </dataValidation>
    <dataValidation sqref="X28" showDropDown="0" showInputMessage="0" showErrorMessage="0" allowBlank="1" type="list">
      <formula1>"Brut de base,Net salaire seul,Net tout compris"</formula1>
      <formula2>0</formula2>
    </dataValidation>
    <dataValidation sqref="X29" showDropDown="0" showInputMessage="0" showErrorMessage="0" allowBlank="1" type="list">
      <formula1>"Brut de base,Net salaire seul,Net tout compris"</formula1>
      <formula2>0</formula2>
    </dataValidation>
    <dataValidation sqref="X30" showDropDown="0" showInputMessage="0" showErrorMessage="0" allowBlank="1" type="list">
      <formula1>"Brut de base,Net salaire seul,Net tout compris"</formula1>
      <formula2>0</formula2>
    </dataValidation>
    <dataValidation sqref="X31" showDropDown="0" showInputMessage="0" showErrorMessage="0" allowBlank="1" type="list">
      <formula1>"Brut de base,Net salaire seul,Net tout compris"</formula1>
      <formula2>0</formula2>
    </dataValidation>
    <dataValidation sqref="X32" showDropDown="0" showInputMessage="0" showErrorMessage="0" allowBlank="1" type="list">
      <formula1>"Brut de base,Net salaire seul,Net tout compris"</formula1>
      <formula2>0</formula2>
    </dataValidation>
    <dataValidation sqref="X33" showDropDown="0" showInputMessage="0" showErrorMessage="0" allowBlank="1" type="list">
      <formula1>"Brut de base,Net salaire seul,Net tout compris"</formula1>
      <formula2>0</formula2>
    </dataValidation>
    <dataValidation sqref="X34" showDropDown="0" showInputMessage="0" showErrorMessage="0" allowBlank="1" type="list">
      <formula1>"Brut de base,Net salaire seul,Net tout compris"</formula1>
      <formula2>0</formula2>
    </dataValidation>
    <dataValidation sqref="X35" showDropDown="0" showInputMessage="0" showErrorMessage="0" allowBlank="1" type="list">
      <formula1>"Brut de base,Net salaire seul,Net tout compris"</formula1>
      <formula2>0</formula2>
    </dataValidation>
    <dataValidation sqref="X36" showDropDown="0" showInputMessage="0" showErrorMessage="0" allowBlank="1" type="list">
      <formula1>"Brut de base,Net salaire seul,Net tout compris"</formula1>
      <formula2>0</formula2>
    </dataValidation>
    <dataValidation sqref="X37" showDropDown="0" showInputMessage="0" showErrorMessage="0" allowBlank="1" type="list">
      <formula1>"Brut de base,Net salaire seul,Net tout compris"</formula1>
      <formula2>0</formula2>
    </dataValidation>
    <dataValidation sqref="X38" showDropDown="0" showInputMessage="0" showErrorMessage="0" allowBlank="1" type="list">
      <formula1>"Brut de base,Net salaire seul,Net tout compris"</formula1>
      <formula2>0</formula2>
    </dataValidation>
    <dataValidation sqref="X39" showDropDown="0" showInputMessage="0" showErrorMessage="0" allowBlank="1" type="list">
      <formula1>"Brut de base,Net salaire seul,Net tout compris"</formula1>
      <formula2>0</formula2>
    </dataValidation>
    <dataValidation sqref="X40" showDropDown="0" showInputMessage="0" showErrorMessage="0" allowBlank="1" type="list">
      <formula1>"Brut de base,Net salaire seul,Net tout compris"</formula1>
      <formula2>0</formula2>
    </dataValidation>
    <dataValidation sqref="X41" showDropDown="0" showInputMessage="0" showErrorMessage="0" allowBlank="1" type="list">
      <formula1>"Brut de base,Net salaire seul,Net tout compris"</formula1>
      <formula2>0</formula2>
    </dataValidation>
    <dataValidation sqref="X42" showDropDown="0" showInputMessage="0" showErrorMessage="0" allowBlank="1" type="list">
      <formula1>"Brut de base,Net salaire seul,Net tout compris"</formula1>
      <formula2>0</formula2>
    </dataValidation>
    <dataValidation sqref="X43" showDropDown="0" showInputMessage="0" showErrorMessage="0" allowBlank="1" type="list">
      <formula1>"Brut de base,Net salaire seul,Net tout compris"</formula1>
      <formula2>0</formula2>
    </dataValidation>
    <dataValidation sqref="X44" showDropDown="0" showInputMessage="0" showErrorMessage="0" allowBlank="1" type="list">
      <formula1>"Brut de base,Net salaire seul,Net tout compris"</formula1>
      <formula2>0</formula2>
    </dataValidation>
    <dataValidation sqref="X45" showDropDown="0" showInputMessage="0" showErrorMessage="0" allowBlank="1" type="list">
      <formula1>"Brut de base,Net salaire seul,Net tout compris"</formula1>
      <formula2>0</formula2>
    </dataValidation>
    <dataValidation sqref="X46" showDropDown="0" showInputMessage="0" showErrorMessage="0" allowBlank="1" type="list">
      <formula1>"Brut de base,Net salaire seul,Net tout compris"</formula1>
      <formula2>0</formula2>
    </dataValidation>
    <dataValidation sqref="X47" showDropDown="0" showInputMessage="0" showErrorMessage="0" allowBlank="1" type="list">
      <formula1>"Brut de base,Net salaire seul,Net tout compris"</formula1>
      <formula2>0</formula2>
    </dataValidation>
    <dataValidation sqref="X48" showDropDown="0" showInputMessage="0" showErrorMessage="0" allowBlank="1" type="list">
      <formula1>"Brut de base,Net salaire seul,Net tout compris"</formula1>
      <formula2>0</formula2>
    </dataValidation>
    <dataValidation sqref="X49" showDropDown="0" showInputMessage="0" showErrorMessage="0" allowBlank="1" type="list">
      <formula1>"Brut de base,Net salaire seul,Net tout compris"</formula1>
      <formula2>0</formula2>
    </dataValidation>
    <dataValidation sqref="X50" showDropDown="0" showInputMessage="0" showErrorMessage="0" allowBlank="1" type="list">
      <formula1>"Brut de base,Net salaire seul,Net tout compris"</formula1>
      <formula2>0</formula2>
    </dataValidation>
    <dataValidation sqref="X51" showDropDown="0" showInputMessage="0" showErrorMessage="0" allowBlank="1" type="list">
      <formula1>"Brut de base,Net salaire seul,Net tout compris"</formula1>
      <formula2>0</formula2>
    </dataValidation>
    <dataValidation sqref="X52" showDropDown="0" showInputMessage="0" showErrorMessage="0" allowBlank="1" type="list">
      <formula1>"Brut de base,Net salaire seul,Net tout compris"</formula1>
      <formula2>0</formula2>
    </dataValidation>
    <dataValidation sqref="X53" showDropDown="0" showInputMessage="0" showErrorMessage="0" allowBlank="1" type="list">
      <formula1>"Brut de base,Net salaire seul,Net tout compris"</formula1>
      <formula2>0</formula2>
    </dataValidation>
    <dataValidation sqref="X54" showDropDown="0" showInputMessage="0" showErrorMessage="0" allowBlank="1" type="list">
      <formula1>"Brut de base,Net salaire seul,Net tout compris"</formula1>
      <formula2>0</formula2>
    </dataValidation>
    <dataValidation sqref="X55" showDropDown="0" showInputMessage="0" showErrorMessage="0" allowBlank="1" type="list">
      <formula1>"Brut de base,Net salaire seul,Net tout compris"</formula1>
      <formula2>0</formula2>
    </dataValidation>
    <dataValidation sqref="X56" showDropDown="0" showInputMessage="0" showErrorMessage="0" allowBlank="1" type="list">
      <formula1>"Brut de base,Net salaire seul,Net tout compris"</formula1>
      <formula2>0</formula2>
    </dataValidation>
    <dataValidation sqref="X57" showDropDown="0" showInputMessage="0" showErrorMessage="0" allowBlank="1" type="list">
      <formula1>"Brut de base,Net salaire seul,Net tout compris"</formula1>
      <formula2>0</formula2>
    </dataValidation>
    <dataValidation sqref="X58" showDropDown="0" showInputMessage="0" showErrorMessage="0" allowBlank="1" type="list">
      <formula1>"Brut de base,Net salaire seul,Net tout compris"</formula1>
      <formula2>0</formula2>
    </dataValidation>
    <dataValidation sqref="X59" showDropDown="0" showInputMessage="0" showErrorMessage="0" allowBlank="1" type="list">
      <formula1>"Brut de base,Net salaire seul,Net tout compris"</formula1>
      <formula2>0</formula2>
    </dataValidation>
    <dataValidation sqref="X60" showDropDown="0" showInputMessage="0" showErrorMessage="0" allowBlank="1" type="list">
      <formula1>"Brut de base,Net salaire seul,Net tout compris"</formula1>
      <formula2>0</formula2>
    </dataValidation>
    <dataValidation sqref="X61" showDropDown="0" showInputMessage="0" showErrorMessage="0" allowBlank="1" type="list">
      <formula1>"Brut de base,Net salaire seul,Net tout compris"</formula1>
      <formula2>0</formula2>
    </dataValidation>
    <dataValidation sqref="X62" showDropDown="0" showInputMessage="0" showErrorMessage="0" allowBlank="1" type="list">
      <formula1>"Brut de base,Net salaire seul,Net tout compris"</formula1>
      <formula2>0</formula2>
    </dataValidation>
    <dataValidation sqref="X63" showDropDown="0" showInputMessage="0" showErrorMessage="0" allowBlank="1" type="list">
      <formula1>"Brut de base,Net salaire seul,Net tout compris"</formula1>
      <formula2>0</formula2>
    </dataValidation>
    <dataValidation sqref="X64" showDropDown="0" showInputMessage="0" showErrorMessage="0" allowBlank="1" type="list">
      <formula1>"Brut de base,Net salaire seul,Net tout compris"</formula1>
      <formula2>0</formula2>
    </dataValidation>
    <dataValidation sqref="X65" showDropDown="0" showInputMessage="0" showErrorMessage="0" allowBlank="1" type="list">
      <formula1>"Brut de base,Net salaire seul,Net tout compris"</formula1>
      <formula2>0</formula2>
    </dataValidation>
    <dataValidation sqref="X66" showDropDown="0" showInputMessage="0" showErrorMessage="0" allowBlank="1" type="list">
      <formula1>"Brut de base,Net salaire seul,Net tout compris"</formula1>
      <formula2>0</formula2>
    </dataValidation>
    <dataValidation sqref="X67" showDropDown="0" showInputMessage="0" showErrorMessage="0" allowBlank="1" type="list">
      <formula1>"Brut de base,Net salaire seul,Net tout compris"</formula1>
      <formula2>0</formula2>
    </dataValidation>
    <dataValidation sqref="X68" showDropDown="0" showInputMessage="0" showErrorMessage="0" allowBlank="1" type="list">
      <formula1>"Brut de base,Net salaire seul,Net tout compris"</formula1>
      <formula2>0</formula2>
    </dataValidation>
    <dataValidation sqref="X69" showDropDown="0" showInputMessage="0" showErrorMessage="0" allowBlank="1" type="list">
      <formula1>"Brut de base,Net salaire seul,Net tout compris"</formula1>
      <formula2>0</formula2>
    </dataValidation>
    <dataValidation sqref="X70" showDropDown="0" showInputMessage="0" showErrorMessage="0" allowBlank="1" type="list">
      <formula1>"Brut de base,Net salaire seul,Net tout compris"</formula1>
      <formula2>0</formula2>
    </dataValidation>
    <dataValidation sqref="X71" showDropDown="0" showInputMessage="0" showErrorMessage="0" allowBlank="1" type="list">
      <formula1>"Brut de base,Net salaire seul,Net tout compris"</formula1>
      <formula2>0</formula2>
    </dataValidation>
    <dataValidation sqref="X72" showDropDown="0" showInputMessage="0" showErrorMessage="0" allowBlank="1" type="list">
      <formula1>"Brut de base,Net salaire seul,Net tout compris"</formula1>
      <formula2>0</formula2>
    </dataValidation>
    <dataValidation sqref="X73" showDropDown="0" showInputMessage="0" showErrorMessage="0" allowBlank="1" type="list">
      <formula1>"Brut de base,Net salaire seul,Net tout compris"</formula1>
      <formula2>0</formula2>
    </dataValidation>
    <dataValidation sqref="X74" showDropDown="0" showInputMessage="0" showErrorMessage="0" allowBlank="1" type="list">
      <formula1>"Brut de base,Net salaire seul,Net tout compris"</formula1>
      <formula2>0</formula2>
    </dataValidation>
    <dataValidation sqref="Z15" showDropDown="0" showInputMessage="0" showErrorMessage="0" allowBlank="1" type="list">
      <formula1>"CDF,USD"</formula1>
      <formula2>0</formula2>
    </dataValidation>
    <dataValidation sqref="Z16" showDropDown="0" showInputMessage="0" showErrorMessage="0" allowBlank="1" type="list">
      <formula1>"CDF,USD"</formula1>
      <formula2>0</formula2>
    </dataValidation>
    <dataValidation sqref="Z17" showDropDown="0" showInputMessage="0" showErrorMessage="0" allowBlank="1" type="list">
      <formula1>"CDF,USD"</formula1>
      <formula2>0</formula2>
    </dataValidation>
    <dataValidation sqref="Z18" showDropDown="0" showInputMessage="0" showErrorMessage="0" allowBlank="1" type="list">
      <formula1>"CDF,USD"</formula1>
      <formula2>0</formula2>
    </dataValidation>
    <dataValidation sqref="Z19" showDropDown="0" showInputMessage="0" showErrorMessage="0" allowBlank="1" type="list">
      <formula1>"CDF,USD"</formula1>
      <formula2>0</formula2>
    </dataValidation>
    <dataValidation sqref="Z20" showDropDown="0" showInputMessage="0" showErrorMessage="0" allowBlank="1" type="list">
      <formula1>"CDF,USD"</formula1>
      <formula2>0</formula2>
    </dataValidation>
    <dataValidation sqref="Z21" showDropDown="0" showInputMessage="0" showErrorMessage="0" allowBlank="1" type="list">
      <formula1>"CDF,USD"</formula1>
      <formula2>0</formula2>
    </dataValidation>
    <dataValidation sqref="Z22" showDropDown="0" showInputMessage="0" showErrorMessage="0" allowBlank="1" type="list">
      <formula1>"CDF,USD"</formula1>
      <formula2>0</formula2>
    </dataValidation>
    <dataValidation sqref="Z23" showDropDown="0" showInputMessage="0" showErrorMessage="0" allowBlank="1" type="list">
      <formula1>"CDF,USD"</formula1>
      <formula2>0</formula2>
    </dataValidation>
    <dataValidation sqref="Z24" showDropDown="0" showInputMessage="0" showErrorMessage="0" allowBlank="1" type="list">
      <formula1>"CDF,USD"</formula1>
      <formula2>0</formula2>
    </dataValidation>
    <dataValidation sqref="Z25" showDropDown="0" showInputMessage="0" showErrorMessage="0" allowBlank="1" type="list">
      <formula1>"CDF,USD"</formula1>
      <formula2>0</formula2>
    </dataValidation>
    <dataValidation sqref="Z26" showDropDown="0" showInputMessage="0" showErrorMessage="0" allowBlank="1" type="list">
      <formula1>"CDF,USD"</formula1>
      <formula2>0</formula2>
    </dataValidation>
    <dataValidation sqref="Z27" showDropDown="0" showInputMessage="0" showErrorMessage="0" allowBlank="1" type="list">
      <formula1>"CDF,USD"</formula1>
      <formula2>0</formula2>
    </dataValidation>
    <dataValidation sqref="Z28" showDropDown="0" showInputMessage="0" showErrorMessage="0" allowBlank="1" type="list">
      <formula1>"CDF,USD"</formula1>
      <formula2>0</formula2>
    </dataValidation>
    <dataValidation sqref="Z29" showDropDown="0" showInputMessage="0" showErrorMessage="0" allowBlank="1" type="list">
      <formula1>"CDF,USD"</formula1>
      <formula2>0</formula2>
    </dataValidation>
    <dataValidation sqref="Z30" showDropDown="0" showInputMessage="0" showErrorMessage="0" allowBlank="1" type="list">
      <formula1>"CDF,USD"</formula1>
      <formula2>0</formula2>
    </dataValidation>
    <dataValidation sqref="Z31" showDropDown="0" showInputMessage="0" showErrorMessage="0" allowBlank="1" type="list">
      <formula1>"CDF,USD"</formula1>
      <formula2>0</formula2>
    </dataValidation>
    <dataValidation sqref="Z32" showDropDown="0" showInputMessage="0" showErrorMessage="0" allowBlank="1" type="list">
      <formula1>"CDF,USD"</formula1>
      <formula2>0</formula2>
    </dataValidation>
    <dataValidation sqref="Z33" showDropDown="0" showInputMessage="0" showErrorMessage="0" allowBlank="1" type="list">
      <formula1>"CDF,USD"</formula1>
      <formula2>0</formula2>
    </dataValidation>
    <dataValidation sqref="Z34" showDropDown="0" showInputMessage="0" showErrorMessage="0" allowBlank="1" type="list">
      <formula1>"CDF,USD"</formula1>
      <formula2>0</formula2>
    </dataValidation>
    <dataValidation sqref="Z35" showDropDown="0" showInputMessage="0" showErrorMessage="0" allowBlank="1" type="list">
      <formula1>"CDF,USD"</formula1>
      <formula2>0</formula2>
    </dataValidation>
    <dataValidation sqref="Z36" showDropDown="0" showInputMessage="0" showErrorMessage="0" allowBlank="1" type="list">
      <formula1>"CDF,USD"</formula1>
      <formula2>0</formula2>
    </dataValidation>
    <dataValidation sqref="Z37" showDropDown="0" showInputMessage="0" showErrorMessage="0" allowBlank="1" type="list">
      <formula1>"CDF,USD"</formula1>
      <formula2>0</formula2>
    </dataValidation>
    <dataValidation sqref="Z38" showDropDown="0" showInputMessage="0" showErrorMessage="0" allowBlank="1" type="list">
      <formula1>"CDF,USD"</formula1>
      <formula2>0</formula2>
    </dataValidation>
    <dataValidation sqref="Z39" showDropDown="0" showInputMessage="0" showErrorMessage="0" allowBlank="1" type="list">
      <formula1>"CDF,USD"</formula1>
      <formula2>0</formula2>
    </dataValidation>
    <dataValidation sqref="Z40" showDropDown="0" showInputMessage="0" showErrorMessage="0" allowBlank="1" type="list">
      <formula1>"CDF,USD"</formula1>
      <formula2>0</formula2>
    </dataValidation>
    <dataValidation sqref="Z41" showDropDown="0" showInputMessage="0" showErrorMessage="0" allowBlank="1" type="list">
      <formula1>"CDF,USD"</formula1>
      <formula2>0</formula2>
    </dataValidation>
    <dataValidation sqref="Z42" showDropDown="0" showInputMessage="0" showErrorMessage="0" allowBlank="1" type="list">
      <formula1>"CDF,USD"</formula1>
      <formula2>0</formula2>
    </dataValidation>
    <dataValidation sqref="Z43" showDropDown="0" showInputMessage="0" showErrorMessage="0" allowBlank="1" type="list">
      <formula1>"CDF,USD"</formula1>
      <formula2>0</formula2>
    </dataValidation>
    <dataValidation sqref="Z44" showDropDown="0" showInputMessage="0" showErrorMessage="0" allowBlank="1" type="list">
      <formula1>"CDF,USD"</formula1>
      <formula2>0</formula2>
    </dataValidation>
    <dataValidation sqref="Z45" showDropDown="0" showInputMessage="0" showErrorMessage="0" allowBlank="1" type="list">
      <formula1>"CDF,USD"</formula1>
      <formula2>0</formula2>
    </dataValidation>
    <dataValidation sqref="Z46" showDropDown="0" showInputMessage="0" showErrorMessage="0" allowBlank="1" type="list">
      <formula1>"CDF,USD"</formula1>
      <formula2>0</formula2>
    </dataValidation>
    <dataValidation sqref="Z47" showDropDown="0" showInputMessage="0" showErrorMessage="0" allowBlank="1" type="list">
      <formula1>"CDF,USD"</formula1>
      <formula2>0</formula2>
    </dataValidation>
    <dataValidation sqref="Z48" showDropDown="0" showInputMessage="0" showErrorMessage="0" allowBlank="1" type="list">
      <formula1>"CDF,USD"</formula1>
      <formula2>0</formula2>
    </dataValidation>
    <dataValidation sqref="Z49" showDropDown="0" showInputMessage="0" showErrorMessage="0" allowBlank="1" type="list">
      <formula1>"CDF,USD"</formula1>
      <formula2>0</formula2>
    </dataValidation>
    <dataValidation sqref="Z50" showDropDown="0" showInputMessage="0" showErrorMessage="0" allowBlank="1" type="list">
      <formula1>"CDF,USD"</formula1>
      <formula2>0</formula2>
    </dataValidation>
    <dataValidation sqref="Z51" showDropDown="0" showInputMessage="0" showErrorMessage="0" allowBlank="1" type="list">
      <formula1>"CDF,USD"</formula1>
      <formula2>0</formula2>
    </dataValidation>
    <dataValidation sqref="Z52" showDropDown="0" showInputMessage="0" showErrorMessage="0" allowBlank="1" type="list">
      <formula1>"CDF,USD"</formula1>
      <formula2>0</formula2>
    </dataValidation>
    <dataValidation sqref="Z53" showDropDown="0" showInputMessage="0" showErrorMessage="0" allowBlank="1" type="list">
      <formula1>"CDF,USD"</formula1>
      <formula2>0</formula2>
    </dataValidation>
    <dataValidation sqref="Z54" showDropDown="0" showInputMessage="0" showErrorMessage="0" allowBlank="1" type="list">
      <formula1>"CDF,USD"</formula1>
      <formula2>0</formula2>
    </dataValidation>
    <dataValidation sqref="Z55" showDropDown="0" showInputMessage="0" showErrorMessage="0" allowBlank="1" type="list">
      <formula1>"CDF,USD"</formula1>
      <formula2>0</formula2>
    </dataValidation>
    <dataValidation sqref="Z56" showDropDown="0" showInputMessage="0" showErrorMessage="0" allowBlank="1" type="list">
      <formula1>"CDF,USD"</formula1>
      <formula2>0</formula2>
    </dataValidation>
    <dataValidation sqref="Z57" showDropDown="0" showInputMessage="0" showErrorMessage="0" allowBlank="1" type="list">
      <formula1>"CDF,USD"</formula1>
      <formula2>0</formula2>
    </dataValidation>
    <dataValidation sqref="Z58" showDropDown="0" showInputMessage="0" showErrorMessage="0" allowBlank="1" type="list">
      <formula1>"CDF,USD"</formula1>
      <formula2>0</formula2>
    </dataValidation>
    <dataValidation sqref="Z59" showDropDown="0" showInputMessage="0" showErrorMessage="0" allowBlank="1" type="list">
      <formula1>"CDF,USD"</formula1>
      <formula2>0</formula2>
    </dataValidation>
    <dataValidation sqref="Z60" showDropDown="0" showInputMessage="0" showErrorMessage="0" allowBlank="1" type="list">
      <formula1>"CDF,USD"</formula1>
      <formula2>0</formula2>
    </dataValidation>
    <dataValidation sqref="Z61" showDropDown="0" showInputMessage="0" showErrorMessage="0" allowBlank="1" type="list">
      <formula1>"CDF,USD"</formula1>
      <formula2>0</formula2>
    </dataValidation>
    <dataValidation sqref="Z62" showDropDown="0" showInputMessage="0" showErrorMessage="0" allowBlank="1" type="list">
      <formula1>"CDF,USD"</formula1>
      <formula2>0</formula2>
    </dataValidation>
    <dataValidation sqref="Z63" showDropDown="0" showInputMessage="0" showErrorMessage="0" allowBlank="1" type="list">
      <formula1>"CDF,USD"</formula1>
      <formula2>0</formula2>
    </dataValidation>
    <dataValidation sqref="Z64" showDropDown="0" showInputMessage="0" showErrorMessage="0" allowBlank="1" type="list">
      <formula1>"CDF,USD"</formula1>
      <formula2>0</formula2>
    </dataValidation>
    <dataValidation sqref="Z65" showDropDown="0" showInputMessage="0" showErrorMessage="0" allowBlank="1" type="list">
      <formula1>"CDF,USD"</formula1>
      <formula2>0</formula2>
    </dataValidation>
    <dataValidation sqref="Z66" showDropDown="0" showInputMessage="0" showErrorMessage="0" allowBlank="1" type="list">
      <formula1>"CDF,USD"</formula1>
      <formula2>0</formula2>
    </dataValidation>
    <dataValidation sqref="Z67" showDropDown="0" showInputMessage="0" showErrorMessage="0" allowBlank="1" type="list">
      <formula1>"CDF,USD"</formula1>
      <formula2>0</formula2>
    </dataValidation>
    <dataValidation sqref="Z68" showDropDown="0" showInputMessage="0" showErrorMessage="0" allowBlank="1" type="list">
      <formula1>"CDF,USD"</formula1>
      <formula2>0</formula2>
    </dataValidation>
    <dataValidation sqref="Z69" showDropDown="0" showInputMessage="0" showErrorMessage="0" allowBlank="1" type="list">
      <formula1>"CDF,USD"</formula1>
      <formula2>0</formula2>
    </dataValidation>
    <dataValidation sqref="Z70" showDropDown="0" showInputMessage="0" showErrorMessage="0" allowBlank="1" type="list">
      <formula1>"CDF,USD"</formula1>
      <formula2>0</formula2>
    </dataValidation>
    <dataValidation sqref="Z71" showDropDown="0" showInputMessage="0" showErrorMessage="0" allowBlank="1" type="list">
      <formula1>"CDF,USD"</formula1>
      <formula2>0</formula2>
    </dataValidation>
    <dataValidation sqref="Z72" showDropDown="0" showInputMessage="0" showErrorMessage="0" allowBlank="1" type="list">
      <formula1>"CDF,USD"</formula1>
      <formula2>0</formula2>
    </dataValidation>
    <dataValidation sqref="Z73" showDropDown="0" showInputMessage="0" showErrorMessage="0" allowBlank="1" type="list">
      <formula1>"CDF,USD"</formula1>
      <formula2>0</formula2>
    </dataValidation>
    <dataValidation sqref="Z74" showDropDown="0" showInputMessage="0" showErrorMessage="0" allowBlank="1" type="list">
      <formula1>"CDF,USD"</formula1>
      <formula2>0</formula2>
    </dataValidation>
    <dataValidation sqref="AH15" showDropDown="0" showInputMessage="0" showErrorMessage="0" allowBlank="1" type="list">
      <formula1>grille_tension_label</formula1>
      <formula2>0</formula2>
    </dataValidation>
    <dataValidation sqref="AH16" showDropDown="0" showInputMessage="0" showErrorMessage="0" allowBlank="1" type="list">
      <formula1>grille_tension_label</formula1>
      <formula2>0</formula2>
    </dataValidation>
    <dataValidation sqref="AH17" showDropDown="0" showInputMessage="0" showErrorMessage="0" allowBlank="1" type="list">
      <formula1>grille_tension_label</formula1>
      <formula2>0</formula2>
    </dataValidation>
    <dataValidation sqref="AH18" showDropDown="0" showInputMessage="0" showErrorMessage="0" allowBlank="1" type="list">
      <formula1>grille_tension_label</formula1>
      <formula2>0</formula2>
    </dataValidation>
    <dataValidation sqref="AH19" showDropDown="0" showInputMessage="0" showErrorMessage="0" allowBlank="1" type="list">
      <formula1>grille_tension_label</formula1>
      <formula2>0</formula2>
    </dataValidation>
    <dataValidation sqref="AH20" showDropDown="0" showInputMessage="0" showErrorMessage="0" allowBlank="1" type="list">
      <formula1>grille_tension_label</formula1>
      <formula2>0</formula2>
    </dataValidation>
    <dataValidation sqref="AH21" showDropDown="0" showInputMessage="0" showErrorMessage="0" allowBlank="1" type="list">
      <formula1>grille_tension_label</formula1>
      <formula2>0</formula2>
    </dataValidation>
    <dataValidation sqref="AH22" showDropDown="0" showInputMessage="0" showErrorMessage="0" allowBlank="1" type="list">
      <formula1>grille_tension_label</formula1>
      <formula2>0</formula2>
    </dataValidation>
    <dataValidation sqref="AH23" showDropDown="0" showInputMessage="0" showErrorMessage="0" allowBlank="1" type="list">
      <formula1>grille_tension_label</formula1>
      <formula2>0</formula2>
    </dataValidation>
    <dataValidation sqref="AH24" showDropDown="0" showInputMessage="0" showErrorMessage="0" allowBlank="1" type="list">
      <formula1>grille_tension_label</formula1>
      <formula2>0</formula2>
    </dataValidation>
    <dataValidation sqref="AH25" showDropDown="0" showInputMessage="0" showErrorMessage="0" allowBlank="1" type="list">
      <formula1>grille_tension_label</formula1>
      <formula2>0</formula2>
    </dataValidation>
    <dataValidation sqref="AH26" showDropDown="0" showInputMessage="0" showErrorMessage="0" allowBlank="1" type="list">
      <formula1>grille_tension_label</formula1>
      <formula2>0</formula2>
    </dataValidation>
    <dataValidation sqref="AH27" showDropDown="0" showInputMessage="0" showErrorMessage="0" allowBlank="1" type="list">
      <formula1>grille_tension_label</formula1>
      <formula2>0</formula2>
    </dataValidation>
    <dataValidation sqref="AH28" showDropDown="0" showInputMessage="0" showErrorMessage="0" allowBlank="1" type="list">
      <formula1>grille_tension_label</formula1>
      <formula2>0</formula2>
    </dataValidation>
    <dataValidation sqref="AH29" showDropDown="0" showInputMessage="0" showErrorMessage="0" allowBlank="1" type="list">
      <formula1>grille_tension_label</formula1>
      <formula2>0</formula2>
    </dataValidation>
    <dataValidation sqref="AH30" showDropDown="0" showInputMessage="0" showErrorMessage="0" allowBlank="1" type="list">
      <formula1>grille_tension_label</formula1>
      <formula2>0</formula2>
    </dataValidation>
    <dataValidation sqref="AH31" showDropDown="0" showInputMessage="0" showErrorMessage="0" allowBlank="1" type="list">
      <formula1>grille_tension_label</formula1>
      <formula2>0</formula2>
    </dataValidation>
    <dataValidation sqref="AH32" showDropDown="0" showInputMessage="0" showErrorMessage="0" allowBlank="1" type="list">
      <formula1>grille_tension_label</formula1>
      <formula2>0</formula2>
    </dataValidation>
    <dataValidation sqref="AH33" showDropDown="0" showInputMessage="0" showErrorMessage="0" allowBlank="1" type="list">
      <formula1>grille_tension_label</formula1>
      <formula2>0</formula2>
    </dataValidation>
    <dataValidation sqref="AH34" showDropDown="0" showInputMessage="0" showErrorMessage="0" allowBlank="1" type="list">
      <formula1>grille_tension_label</formula1>
      <formula2>0</formula2>
    </dataValidation>
    <dataValidation sqref="AH35" showDropDown="0" showInputMessage="0" showErrorMessage="0" allowBlank="1" type="list">
      <formula1>grille_tension_label</formula1>
      <formula2>0</formula2>
    </dataValidation>
    <dataValidation sqref="AH36" showDropDown="0" showInputMessage="0" showErrorMessage="0" allowBlank="1" type="list">
      <formula1>grille_tension_label</formula1>
      <formula2>0</formula2>
    </dataValidation>
    <dataValidation sqref="AH37" showDropDown="0" showInputMessage="0" showErrorMessage="0" allowBlank="1" type="list">
      <formula1>grille_tension_label</formula1>
      <formula2>0</formula2>
    </dataValidation>
    <dataValidation sqref="AH38" showDropDown="0" showInputMessage="0" showErrorMessage="0" allowBlank="1" type="list">
      <formula1>grille_tension_label</formula1>
      <formula2>0</formula2>
    </dataValidation>
    <dataValidation sqref="AH39" showDropDown="0" showInputMessage="0" showErrorMessage="0" allowBlank="1" type="list">
      <formula1>grille_tension_label</formula1>
      <formula2>0</formula2>
    </dataValidation>
    <dataValidation sqref="AH40" showDropDown="0" showInputMessage="0" showErrorMessage="0" allowBlank="1" type="list">
      <formula1>grille_tension_label</formula1>
      <formula2>0</formula2>
    </dataValidation>
    <dataValidation sqref="AH41" showDropDown="0" showInputMessage="0" showErrorMessage="0" allowBlank="1" type="list">
      <formula1>grille_tension_label</formula1>
      <formula2>0</formula2>
    </dataValidation>
    <dataValidation sqref="AH42" showDropDown="0" showInputMessage="0" showErrorMessage="0" allowBlank="1" type="list">
      <formula1>grille_tension_label</formula1>
      <formula2>0</formula2>
    </dataValidation>
    <dataValidation sqref="AH43" showDropDown="0" showInputMessage="0" showErrorMessage="0" allowBlank="1" type="list">
      <formula1>grille_tension_label</formula1>
      <formula2>0</formula2>
    </dataValidation>
    <dataValidation sqref="AH44" showDropDown="0" showInputMessage="0" showErrorMessage="0" allowBlank="1" type="list">
      <formula1>grille_tension_label</formula1>
      <formula2>0</formula2>
    </dataValidation>
    <dataValidation sqref="AH45" showDropDown="0" showInputMessage="0" showErrorMessage="0" allowBlank="1" type="list">
      <formula1>grille_tension_label</formula1>
      <formula2>0</formula2>
    </dataValidation>
    <dataValidation sqref="AH46" showDropDown="0" showInputMessage="0" showErrorMessage="0" allowBlank="1" type="list">
      <formula1>grille_tension_label</formula1>
      <formula2>0</formula2>
    </dataValidation>
    <dataValidation sqref="AH47" showDropDown="0" showInputMessage="0" showErrorMessage="0" allowBlank="1" type="list">
      <formula1>grille_tension_label</formula1>
      <formula2>0</formula2>
    </dataValidation>
    <dataValidation sqref="AH48" showDropDown="0" showInputMessage="0" showErrorMessage="0" allowBlank="1" type="list">
      <formula1>grille_tension_label</formula1>
      <formula2>0</formula2>
    </dataValidation>
    <dataValidation sqref="AH49" showDropDown="0" showInputMessage="0" showErrorMessage="0" allowBlank="1" type="list">
      <formula1>grille_tension_label</formula1>
      <formula2>0</formula2>
    </dataValidation>
    <dataValidation sqref="AH50" showDropDown="0" showInputMessage="0" showErrorMessage="0" allowBlank="1" type="list">
      <formula1>grille_tension_label</formula1>
      <formula2>0</formula2>
    </dataValidation>
    <dataValidation sqref="AH51" showDropDown="0" showInputMessage="0" showErrorMessage="0" allowBlank="1" type="list">
      <formula1>grille_tension_label</formula1>
      <formula2>0</formula2>
    </dataValidation>
    <dataValidation sqref="AH52" showDropDown="0" showInputMessage="0" showErrorMessage="0" allowBlank="1" type="list">
      <formula1>grille_tension_label</formula1>
      <formula2>0</formula2>
    </dataValidation>
    <dataValidation sqref="AH53" showDropDown="0" showInputMessage="0" showErrorMessage="0" allowBlank="1" type="list">
      <formula1>grille_tension_label</formula1>
      <formula2>0</formula2>
    </dataValidation>
    <dataValidation sqref="AH54" showDropDown="0" showInputMessage="0" showErrorMessage="0" allowBlank="1" type="list">
      <formula1>grille_tension_label</formula1>
      <formula2>0</formula2>
    </dataValidation>
    <dataValidation sqref="AH55" showDropDown="0" showInputMessage="0" showErrorMessage="0" allowBlank="1" type="list">
      <formula1>grille_tension_label</formula1>
      <formula2>0</formula2>
    </dataValidation>
    <dataValidation sqref="AH56" showDropDown="0" showInputMessage="0" showErrorMessage="0" allowBlank="1" type="list">
      <formula1>grille_tension_label</formula1>
      <formula2>0</formula2>
    </dataValidation>
    <dataValidation sqref="AH57" showDropDown="0" showInputMessage="0" showErrorMessage="0" allowBlank="1" type="list">
      <formula1>grille_tension_label</formula1>
      <formula2>0</formula2>
    </dataValidation>
    <dataValidation sqref="AH58" showDropDown="0" showInputMessage="0" showErrorMessage="0" allowBlank="1" type="list">
      <formula1>grille_tension_label</formula1>
      <formula2>0</formula2>
    </dataValidation>
    <dataValidation sqref="AH59" showDropDown="0" showInputMessage="0" showErrorMessage="0" allowBlank="1" type="list">
      <formula1>grille_tension_label</formula1>
      <formula2>0</formula2>
    </dataValidation>
    <dataValidation sqref="AH60" showDropDown="0" showInputMessage="0" showErrorMessage="0" allowBlank="1" type="list">
      <formula1>grille_tension_label</formula1>
      <formula2>0</formula2>
    </dataValidation>
    <dataValidation sqref="AH61" showDropDown="0" showInputMessage="0" showErrorMessage="0" allowBlank="1" type="list">
      <formula1>grille_tension_label</formula1>
      <formula2>0</formula2>
    </dataValidation>
    <dataValidation sqref="AH62" showDropDown="0" showInputMessage="0" showErrorMessage="0" allowBlank="1" type="list">
      <formula1>grille_tension_label</formula1>
      <formula2>0</formula2>
    </dataValidation>
    <dataValidation sqref="AH63" showDropDown="0" showInputMessage="0" showErrorMessage="0" allowBlank="1" type="list">
      <formula1>grille_tension_label</formula1>
      <formula2>0</formula2>
    </dataValidation>
    <dataValidation sqref="AH64" showDropDown="0" showInputMessage="0" showErrorMessage="0" allowBlank="1" type="list">
      <formula1>grille_tension_label</formula1>
      <formula2>0</formula2>
    </dataValidation>
    <dataValidation sqref="AH65" showDropDown="0" showInputMessage="0" showErrorMessage="0" allowBlank="1" type="list">
      <formula1>grille_tension_label</formula1>
      <formula2>0</formula2>
    </dataValidation>
    <dataValidation sqref="AH66" showDropDown="0" showInputMessage="0" showErrorMessage="0" allowBlank="1" type="list">
      <formula1>grille_tension_label</formula1>
      <formula2>0</formula2>
    </dataValidation>
    <dataValidation sqref="AH67" showDropDown="0" showInputMessage="0" showErrorMessage="0" allowBlank="1" type="list">
      <formula1>grille_tension_label</formula1>
      <formula2>0</formula2>
    </dataValidation>
    <dataValidation sqref="AH68" showDropDown="0" showInputMessage="0" showErrorMessage="0" allowBlank="1" type="list">
      <formula1>grille_tension_label</formula1>
      <formula2>0</formula2>
    </dataValidation>
    <dataValidation sqref="AH69" showDropDown="0" showInputMessage="0" showErrorMessage="0" allowBlank="1" type="list">
      <formula1>grille_tension_label</formula1>
      <formula2>0</formula2>
    </dataValidation>
    <dataValidation sqref="AH70" showDropDown="0" showInputMessage="0" showErrorMessage="0" allowBlank="1" type="list">
      <formula1>grille_tension_label</formula1>
      <formula2>0</formula2>
    </dataValidation>
    <dataValidation sqref="AH71" showDropDown="0" showInputMessage="0" showErrorMessage="0" allowBlank="1" type="list">
      <formula1>grille_tension_label</formula1>
      <formula2>0</formula2>
    </dataValidation>
    <dataValidation sqref="AH72" showDropDown="0" showInputMessage="0" showErrorMessage="0" allowBlank="1" type="list">
      <formula1>grille_tension_label</formula1>
      <formula2>0</formula2>
    </dataValidation>
    <dataValidation sqref="AH73" showDropDown="0" showInputMessage="0" showErrorMessage="0" allowBlank="1" type="list">
      <formula1>grille_tension_label</formula1>
      <formula2>0</formula2>
    </dataValidation>
    <dataValidation sqref="AH74" showDropDown="0" showInputMessage="0" showErrorMessage="0" allowBlank="1" type="list">
      <formula1>grille_tension_label</formula1>
      <formula2>0</formula2>
    </dataValidation>
  </dataValidations>
  <pageMargins left="0.75" right="0.75" top="1" bottom="1"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A1:AY3042"/>
  <sheetViews>
    <sheetView showGridLines="0" zoomScaleNormal="100" workbookViewId="0">
      <pane xSplit="4" ySplit="4" topLeftCell="E5" activePane="bottomRight" state="frozen"/>
      <selection pane="topRight" activeCell="E1" sqref="E1"/>
      <selection pane="bottomLeft" activeCell="A5" sqref="A5"/>
      <selection pane="bottomRight" activeCell="Q12" sqref="Q12"/>
    </sheetView>
  </sheetViews>
  <sheetFormatPr baseColWidth="10" defaultColWidth="8.6640625" defaultRowHeight="14.4" outlineLevelRow="1"/>
  <cols>
    <col width="4" customWidth="1" style="15" min="1" max="1"/>
    <col width="6" customWidth="1" style="15" min="2" max="2"/>
    <col width="11" customWidth="1" style="15" min="3" max="3"/>
    <col width="16" customWidth="1" style="15" min="4" max="4"/>
    <col width="8" customWidth="1" style="15" min="5" max="5"/>
    <col width="10" customWidth="1" style="15" min="6" max="6"/>
    <col width="7" customWidth="1" style="15" min="7" max="7"/>
    <col width="9" customWidth="1" style="15" min="8" max="8"/>
    <col width="12" customWidth="1" style="15" min="9" max="9"/>
    <col width="9" customWidth="1" style="15" min="10" max="10"/>
    <col width="14" customWidth="1" style="15" min="11" max="11"/>
    <col width="13" customWidth="1" style="15" min="12" max="12"/>
    <col width="3.21875" customWidth="1" style="15" min="13" max="50"/>
    <col width="10" customWidth="1" style="15" min="51" max="51"/>
  </cols>
  <sheetData>
    <row r="1" ht="30" customHeight="1" s="15">
      <c r="A1" s="14" t="inlineStr">
        <is>
          <t>VARIABLES — ÉLÉMENTS MENSUELS DE PAIE</t>
        </is>
      </c>
    </row>
    <row r="2" ht="18" customHeight="1" s="15">
      <c r="A2" s="13" t="inlineStr">
        <is>
          <t>Morning SARL — Pointage journalier réel (P/D/A/F) — jours réels et absences calculés automatiquement</t>
        </is>
      </c>
    </row>
    <row r="4" ht="18" customHeight="1" s="15">
      <c r="A4" s="1" t="inlineStr">
        <is>
          <t>LÉGENDE</t>
        </is>
      </c>
    </row>
    <row r="5" ht="15" customHeight="1" s="15">
      <c r="B5" s="10" t="inlineStr">
        <is>
          <t>P=Présent (1j) · D=Demi-journée (0,5j) · A=Absence (0j) · F=Férié payé (1j) · C=Congé payé (1j) · R=Repos travaillé (jour normalement chômé, +majoration) · Jaune = à saisir</t>
        </is>
      </c>
    </row>
    <row r="6" ht="15" customHeight="1" s="15">
      <c r="B6" s="10" t="inlineStr">
        <is>
          <t>Jours prévus/réels/absence, heures sup montant : calculés automatiquement, ne pas modifier</t>
        </is>
      </c>
    </row>
    <row r="8" ht="19.5" customHeight="1" s="15">
      <c r="B8" s="71">
        <f>"  JANVIER " &amp; PARAMETRES!$C$29</f>
        <v/>
      </c>
    </row>
    <row r="9" hidden="1" ht="15" customHeight="1" s="15">
      <c r="B9" s="36" t="inlineStr">
        <is>
          <t>Jour sem. (technique)</t>
        </is>
      </c>
      <c r="O9" s="37">
        <f>IF(1&gt;DAY(EOMONTH(DATE(PARAMETRES!$C$29,1,1),0)),"",WEEKDAY(DATE(PARAMETRES!$C$29,1,1),2))</f>
        <v/>
      </c>
      <c r="P9" s="37">
        <f>IF(2&gt;DAY(EOMONTH(DATE(PARAMETRES!$C$29,1,1),0)),"",WEEKDAY(DATE(PARAMETRES!$C$29,1,2),2))</f>
        <v/>
      </c>
      <c r="Q9" s="37">
        <f>IF(3&gt;DAY(EOMONTH(DATE(PARAMETRES!$C$29,1,1),0)),"",WEEKDAY(DATE(PARAMETRES!$C$29,1,3),2))</f>
        <v/>
      </c>
      <c r="R9" s="37">
        <f>IF(4&gt;DAY(EOMONTH(DATE(PARAMETRES!$C$29,1,1),0)),"",WEEKDAY(DATE(PARAMETRES!$C$29,1,4),2))</f>
        <v/>
      </c>
      <c r="S9" s="37">
        <f>IF(5&gt;DAY(EOMONTH(DATE(PARAMETRES!$C$29,1,1),0)),"",WEEKDAY(DATE(PARAMETRES!$C$29,1,5),2))</f>
        <v/>
      </c>
      <c r="T9" s="37">
        <f>IF(6&gt;DAY(EOMONTH(DATE(PARAMETRES!$C$29,1,1),0)),"",WEEKDAY(DATE(PARAMETRES!$C$29,1,6),2))</f>
        <v/>
      </c>
      <c r="U9" s="37">
        <f>IF(7&gt;DAY(EOMONTH(DATE(PARAMETRES!$C$29,1,1),0)),"",WEEKDAY(DATE(PARAMETRES!$C$29,1,7),2))</f>
        <v/>
      </c>
      <c r="V9" s="37">
        <f>IF(8&gt;DAY(EOMONTH(DATE(PARAMETRES!$C$29,1,1),0)),"",WEEKDAY(DATE(PARAMETRES!$C$29,1,8),2))</f>
        <v/>
      </c>
      <c r="W9" s="37">
        <f>IF(9&gt;DAY(EOMONTH(DATE(PARAMETRES!$C$29,1,1),0)),"",WEEKDAY(DATE(PARAMETRES!$C$29,1,9),2))</f>
        <v/>
      </c>
      <c r="X9" s="37">
        <f>IF(10&gt;DAY(EOMONTH(DATE(PARAMETRES!$C$29,1,1),0)),"",WEEKDAY(DATE(PARAMETRES!$C$29,1,10),2))</f>
        <v/>
      </c>
      <c r="Y9" s="37">
        <f>IF(11&gt;DAY(EOMONTH(DATE(PARAMETRES!$C$29,1,1),0)),"",WEEKDAY(DATE(PARAMETRES!$C$29,1,11),2))</f>
        <v/>
      </c>
      <c r="Z9" s="37">
        <f>IF(12&gt;DAY(EOMONTH(DATE(PARAMETRES!$C$29,1,1),0)),"",WEEKDAY(DATE(PARAMETRES!$C$29,1,12),2))</f>
        <v/>
      </c>
      <c r="AA9" s="37">
        <f>IF(13&gt;DAY(EOMONTH(DATE(PARAMETRES!$C$29,1,1),0)),"",WEEKDAY(DATE(PARAMETRES!$C$29,1,13),2))</f>
        <v/>
      </c>
      <c r="AB9" s="37">
        <f>IF(14&gt;DAY(EOMONTH(DATE(PARAMETRES!$C$29,1,1),0)),"",WEEKDAY(DATE(PARAMETRES!$C$29,1,14),2))</f>
        <v/>
      </c>
      <c r="AC9" s="37">
        <f>IF(15&gt;DAY(EOMONTH(DATE(PARAMETRES!$C$29,1,1),0)),"",WEEKDAY(DATE(PARAMETRES!$C$29,1,15),2))</f>
        <v/>
      </c>
      <c r="AD9" s="37">
        <f>IF(16&gt;DAY(EOMONTH(DATE(PARAMETRES!$C$29,1,1),0)),"",WEEKDAY(DATE(PARAMETRES!$C$29,1,16),2))</f>
        <v/>
      </c>
      <c r="AE9" s="37">
        <f>IF(17&gt;DAY(EOMONTH(DATE(PARAMETRES!$C$29,1,1),0)),"",WEEKDAY(DATE(PARAMETRES!$C$29,1,17),2))</f>
        <v/>
      </c>
      <c r="AF9" s="37">
        <f>IF(18&gt;DAY(EOMONTH(DATE(PARAMETRES!$C$29,1,1),0)),"",WEEKDAY(DATE(PARAMETRES!$C$29,1,18),2))</f>
        <v/>
      </c>
      <c r="AG9" s="37">
        <f>IF(19&gt;DAY(EOMONTH(DATE(PARAMETRES!$C$29,1,1),0)),"",WEEKDAY(DATE(PARAMETRES!$C$29,1,19),2))</f>
        <v/>
      </c>
      <c r="AH9" s="37">
        <f>IF(20&gt;DAY(EOMONTH(DATE(PARAMETRES!$C$29,1,1),0)),"",WEEKDAY(DATE(PARAMETRES!$C$29,1,20),2))</f>
        <v/>
      </c>
      <c r="AI9" s="37">
        <f>IF(21&gt;DAY(EOMONTH(DATE(PARAMETRES!$C$29,1,1),0)),"",WEEKDAY(DATE(PARAMETRES!$C$29,1,21),2))</f>
        <v/>
      </c>
      <c r="AJ9" s="37">
        <f>IF(22&gt;DAY(EOMONTH(DATE(PARAMETRES!$C$29,1,1),0)),"",WEEKDAY(DATE(PARAMETRES!$C$29,1,22),2))</f>
        <v/>
      </c>
      <c r="AK9" s="37">
        <f>IF(23&gt;DAY(EOMONTH(DATE(PARAMETRES!$C$29,1,1),0)),"",WEEKDAY(DATE(PARAMETRES!$C$29,1,23),2))</f>
        <v/>
      </c>
      <c r="AL9" s="37">
        <f>IF(24&gt;DAY(EOMONTH(DATE(PARAMETRES!$C$29,1,1),0)),"",WEEKDAY(DATE(PARAMETRES!$C$29,1,24),2))</f>
        <v/>
      </c>
      <c r="AM9" s="37">
        <f>IF(25&gt;DAY(EOMONTH(DATE(PARAMETRES!$C$29,1,1),0)),"",WEEKDAY(DATE(PARAMETRES!$C$29,1,25),2))</f>
        <v/>
      </c>
      <c r="AN9" s="37">
        <f>IF(26&gt;DAY(EOMONTH(DATE(PARAMETRES!$C$29,1,1),0)),"",WEEKDAY(DATE(PARAMETRES!$C$29,1,26),2))</f>
        <v/>
      </c>
      <c r="AO9" s="37">
        <f>IF(27&gt;DAY(EOMONTH(DATE(PARAMETRES!$C$29,1,1),0)),"",WEEKDAY(DATE(PARAMETRES!$C$29,1,27),2))</f>
        <v/>
      </c>
      <c r="AP9" s="37">
        <f>IF(28&gt;DAY(EOMONTH(DATE(PARAMETRES!$C$29,1,1),0)),"",WEEKDAY(DATE(PARAMETRES!$C$29,1,28),2))</f>
        <v/>
      </c>
      <c r="AQ9" s="37">
        <f>IF(29&gt;DAY(EOMONTH(DATE(PARAMETRES!$C$29,1,1),0)),"",WEEKDAY(DATE(PARAMETRES!$C$29,1,29),2))</f>
        <v/>
      </c>
      <c r="AR9" s="37">
        <f>IF(30&gt;DAY(EOMONTH(DATE(PARAMETRES!$C$29,1,1),0)),"",WEEKDAY(DATE(PARAMETRES!$C$29,1,30),2))</f>
        <v/>
      </c>
      <c r="AS9" s="37">
        <f>IF(31&gt;DAY(EOMONTH(DATE(PARAMETRES!$C$29,1,1),0)),"",WEEKDAY(DATE(PARAMETRES!$C$29,1,31),2))</f>
        <v/>
      </c>
    </row>
    <row r="10" ht="15" customHeight="1" s="15">
      <c r="B10" s="38" t="inlineStr">
        <is>
          <t>Jour</t>
        </is>
      </c>
      <c r="O10" s="39">
        <f>IF(O9="","",CHOOSE(O9,"L","M","M","J","V","S","D"))</f>
        <v/>
      </c>
      <c r="P10" s="39">
        <f>IF(P9="","",CHOOSE(P9,"L","M","M","J","V","S","D"))</f>
        <v/>
      </c>
      <c r="Q10" s="39">
        <f>IF(Q9="","",CHOOSE(Q9,"L","M","M","J","V","S","D"))</f>
        <v/>
      </c>
      <c r="R10" s="39">
        <f>IF(R9="","",CHOOSE(R9,"L","M","M","J","V","S","D"))</f>
        <v/>
      </c>
      <c r="S10" s="39">
        <f>IF(S9="","",CHOOSE(S9,"L","M","M","J","V","S","D"))</f>
        <v/>
      </c>
      <c r="T10" s="39">
        <f>IF(T9="","",CHOOSE(T9,"L","M","M","J","V","S","D"))</f>
        <v/>
      </c>
      <c r="U10" s="39">
        <f>IF(U9="","",CHOOSE(U9,"L","M","M","J","V","S","D"))</f>
        <v/>
      </c>
      <c r="V10" s="39">
        <f>IF(V9="","",CHOOSE(V9,"L","M","M","J","V","S","D"))</f>
        <v/>
      </c>
      <c r="W10" s="39">
        <f>IF(W9="","",CHOOSE(W9,"L","M","M","J","V","S","D"))</f>
        <v/>
      </c>
      <c r="X10" s="39">
        <f>IF(X9="","",CHOOSE(X9,"L","M","M","J","V","S","D"))</f>
        <v/>
      </c>
      <c r="Y10" s="39">
        <f>IF(Y9="","",CHOOSE(Y9,"L","M","M","J","V","S","D"))</f>
        <v/>
      </c>
      <c r="Z10" s="39">
        <f>IF(Z9="","",CHOOSE(Z9,"L","M","M","J","V","S","D"))</f>
        <v/>
      </c>
      <c r="AA10" s="39">
        <f>IF(AA9="","",CHOOSE(AA9,"L","M","M","J","V","S","D"))</f>
        <v/>
      </c>
      <c r="AB10" s="39">
        <f>IF(AB9="","",CHOOSE(AB9,"L","M","M","J","V","S","D"))</f>
        <v/>
      </c>
      <c r="AC10" s="39">
        <f>IF(AC9="","",CHOOSE(AC9,"L","M","M","J","V","S","D"))</f>
        <v/>
      </c>
      <c r="AD10" s="39">
        <f>IF(AD9="","",CHOOSE(AD9,"L","M","M","J","V","S","D"))</f>
        <v/>
      </c>
      <c r="AE10" s="39">
        <f>IF(AE9="","",CHOOSE(AE9,"L","M","M","J","V","S","D"))</f>
        <v/>
      </c>
      <c r="AF10" s="39">
        <f>IF(AF9="","",CHOOSE(AF9,"L","M","M","J","V","S","D"))</f>
        <v/>
      </c>
      <c r="AG10" s="39">
        <f>IF(AG9="","",CHOOSE(AG9,"L","M","M","J","V","S","D"))</f>
        <v/>
      </c>
      <c r="AH10" s="39">
        <f>IF(AH9="","",CHOOSE(AH9,"L","M","M","J","V","S","D"))</f>
        <v/>
      </c>
      <c r="AI10" s="39">
        <f>IF(AI9="","",CHOOSE(AI9,"L","M","M","J","V","S","D"))</f>
        <v/>
      </c>
      <c r="AJ10" s="39">
        <f>IF(AJ9="","",CHOOSE(AJ9,"L","M","M","J","V","S","D"))</f>
        <v/>
      </c>
      <c r="AK10" s="39">
        <f>IF(AK9="","",CHOOSE(AK9,"L","M","M","J","V","S","D"))</f>
        <v/>
      </c>
      <c r="AL10" s="39">
        <f>IF(AL9="","",CHOOSE(AL9,"L","M","M","J","V","S","D"))</f>
        <v/>
      </c>
      <c r="AM10" s="39">
        <f>IF(AM9="","",CHOOSE(AM9,"L","M","M","J","V","S","D"))</f>
        <v/>
      </c>
      <c r="AN10" s="39">
        <f>IF(AN9="","",CHOOSE(AN9,"L","M","M","J","V","S","D"))</f>
        <v/>
      </c>
      <c r="AO10" s="39">
        <f>IF(AO9="","",CHOOSE(AO9,"L","M","M","J","V","S","D"))</f>
        <v/>
      </c>
      <c r="AP10" s="39">
        <f>IF(AP9="","",CHOOSE(AP9,"L","M","M","J","V","S","D"))</f>
        <v/>
      </c>
      <c r="AQ10" s="39">
        <f>IF(AQ9="","",CHOOSE(AQ9,"L","M","M","J","V","S","D"))</f>
        <v/>
      </c>
      <c r="AR10" s="39">
        <f>IF(AR9="","",CHOOSE(AR9,"L","M","M","J","V","S","D"))</f>
        <v/>
      </c>
      <c r="AS10" s="39">
        <f>IF(AS9="","",CHOOSE(AS9,"L","M","M","J","V","S","D"))</f>
        <v/>
      </c>
    </row>
    <row r="11" ht="24" customHeight="1" s="15">
      <c r="B11" s="40" t="inlineStr">
        <is>
          <t>Mois</t>
        </is>
      </c>
      <c r="C11" s="40" t="inlineStr">
        <is>
          <t>Matricule</t>
        </is>
      </c>
      <c r="D11" s="40" t="inlineStr">
        <is>
          <t>Nom complet</t>
        </is>
      </c>
      <c r="E11" s="40" t="inlineStr">
        <is>
          <t>Heures
sup.</t>
        </is>
      </c>
      <c r="F11" s="40" t="inlineStr">
        <is>
          <t>Primes
(CDF)</t>
        </is>
      </c>
      <c r="G11" s="40" t="inlineStr">
        <is>
          <t>Jours
abs.</t>
        </is>
      </c>
      <c r="H11" s="40" t="inlineStr">
        <is>
          <t>Avance
(CDF)</t>
        </is>
      </c>
      <c r="I11" s="40" t="inlineStr">
        <is>
          <t>Contrôle
auto.</t>
        </is>
      </c>
      <c r="J11" s="40" t="inlineStr">
        <is>
          <t>Retenues
(CDF)</t>
        </is>
      </c>
      <c r="K11" s="40" t="inlineStr">
        <is>
          <t>Motif</t>
        </is>
      </c>
      <c r="L11" s="40" t="inlineStr">
        <is>
          <t>Observ.</t>
        </is>
      </c>
      <c r="M11" s="40" t="inlineStr">
        <is>
          <t>Jours
prévus</t>
        </is>
      </c>
      <c r="N11" s="40" t="inlineStr">
        <is>
          <t>Jours
réels</t>
        </is>
      </c>
      <c r="O11" s="40" t="n">
        <v>1</v>
      </c>
      <c r="P11" s="40" t="n">
        <v>2</v>
      </c>
      <c r="Q11" s="40" t="n">
        <v>3</v>
      </c>
      <c r="R11" s="40" t="n">
        <v>4</v>
      </c>
      <c r="S11" s="40" t="n">
        <v>5</v>
      </c>
      <c r="T11" s="40" t="n">
        <v>6</v>
      </c>
      <c r="U11" s="40" t="n">
        <v>7</v>
      </c>
      <c r="V11" s="40" t="n">
        <v>8</v>
      </c>
      <c r="W11" s="40" t="n">
        <v>9</v>
      </c>
      <c r="X11" s="40" t="n">
        <v>10</v>
      </c>
      <c r="Y11" s="40" t="n">
        <v>11</v>
      </c>
      <c r="Z11" s="40" t="n">
        <v>12</v>
      </c>
      <c r="AA11" s="40" t="n">
        <v>13</v>
      </c>
      <c r="AB11" s="40" t="n">
        <v>14</v>
      </c>
      <c r="AC11" s="40" t="n">
        <v>15</v>
      </c>
      <c r="AD11" s="40" t="n">
        <v>16</v>
      </c>
      <c r="AE11" s="40" t="n">
        <v>17</v>
      </c>
      <c r="AF11" s="40" t="n">
        <v>18</v>
      </c>
      <c r="AG11" s="40" t="n">
        <v>19</v>
      </c>
      <c r="AH11" s="40" t="n">
        <v>20</v>
      </c>
      <c r="AI11" s="40" t="n">
        <v>21</v>
      </c>
      <c r="AJ11" s="40" t="n">
        <v>22</v>
      </c>
      <c r="AK11" s="40" t="n">
        <v>23</v>
      </c>
      <c r="AL11" s="40" t="n">
        <v>24</v>
      </c>
      <c r="AM11" s="40" t="n">
        <v>25</v>
      </c>
      <c r="AN11" s="40" t="n">
        <v>26</v>
      </c>
      <c r="AO11" s="40" t="n">
        <v>27</v>
      </c>
      <c r="AP11" s="40" t="n">
        <v>28</v>
      </c>
      <c r="AQ11" s="40" t="n">
        <v>29</v>
      </c>
      <c r="AR11" s="40" t="n">
        <v>30</v>
      </c>
      <c r="AS11" s="40" t="n">
        <v>31</v>
      </c>
      <c r="AY11" s="40" t="inlineStr">
        <is>
          <t>Heures
nuit</t>
        </is>
      </c>
    </row>
    <row r="12" outlineLevel="1" ht="15" customHeight="1" s="15">
      <c r="B12" s="41" t="n">
        <v>1</v>
      </c>
      <c r="C12" s="42">
        <f>IF(EMPLOYES!C15="","",EMPLOYES!C15)</f>
        <v/>
      </c>
      <c r="D12" s="43">
        <f>IF(EMPLOYES!C15="","",EMPLOYES!D15)</f>
        <v/>
      </c>
      <c r="E12" s="44" t="n"/>
      <c r="F12" s="42" t="n"/>
      <c r="G12" s="41">
        <f>IF($C12="",0,MAX(0,$M12-$N12))</f>
        <v/>
      </c>
      <c r="H12" s="45" t="n"/>
      <c r="I12" s="41">
        <f>IF($C12="","",IF(H12="","OK",IF(H12&gt;EMPLOYES!P15,"⚠ Avance &gt; salaire",IF(H12&gt;EMPLOYES!P15*PARAMETRES!$C$218,"⚠ Avance élevée","OK"))))</f>
        <v/>
      </c>
      <c r="J12" s="45" t="n"/>
      <c r="K12" s="46" t="n"/>
      <c r="L12" s="46" t="n"/>
      <c r="M12" s="41">
        <f>IF($C12="","",SUMPRODUCT((PARAMETRES!$B$38:$B$157=PARAMETRES!$C$29)*(PARAMETRES!$C$38:$C$157=1)*(IF(EMPLOYES!M15="5j",PARAMETRES!$I$38:$I$157,PARAMETRES!$H$38:$H$157))))</f>
        <v/>
      </c>
      <c r="N12" s="41">
        <f>IF($C12="","",SUMPRODUCT((O12:AS12="P")+(O12:AS12="F")+(O12:AS12="C")+0.5*(O12:AS12="D"),(1-((O9:AS9=6)*(EMPLOYES!M15="5j")))))</f>
        <v/>
      </c>
      <c r="O12" s="46" t="n"/>
      <c r="P12" s="46" t="n"/>
      <c r="Q12" s="46" t="n"/>
      <c r="R12" s="46" t="n"/>
      <c r="S12" s="46" t="n"/>
      <c r="T12" s="46" t="n"/>
      <c r="U12" s="46" t="n"/>
      <c r="V12" s="46" t="n"/>
      <c r="W12" s="46" t="n"/>
      <c r="X12" s="46" t="n"/>
      <c r="Y12" s="46" t="n"/>
      <c r="Z12" s="46" t="n"/>
      <c r="AA12" s="46" t="n"/>
      <c r="AB12" s="46" t="n"/>
      <c r="AC12" s="46" t="n"/>
      <c r="AD12" s="46" t="n"/>
      <c r="AE12" s="46" t="n"/>
      <c r="AF12" s="46" t="n"/>
      <c r="AG12" s="46" t="n"/>
      <c r="AH12" s="46" t="n"/>
      <c r="AI12" s="46" t="n"/>
      <c r="AJ12" s="46" t="n"/>
      <c r="AK12" s="46" t="n"/>
      <c r="AL12" s="46" t="n"/>
      <c r="AM12" s="46" t="n"/>
      <c r="AN12" s="46" t="n"/>
      <c r="AO12" s="46" t="n"/>
      <c r="AP12" s="46" t="n"/>
      <c r="AQ12" s="46" t="n"/>
      <c r="AR12" s="46" t="n"/>
      <c r="AS12" s="46" t="n"/>
      <c r="AV12" s="36">
        <f>IF($C12="","",EMPLOYES!M15)</f>
        <v/>
      </c>
      <c r="AW12" s="36">
        <f>IF($C12="",0,SUMPRODUCT(--(O12:AS12="C")))</f>
        <v/>
      </c>
      <c r="AX12" s="36">
        <f>IF($C12="",0,SUMPRODUCT(--(O12:AS12="R")))</f>
        <v/>
      </c>
      <c r="AY12" s="44" t="n"/>
    </row>
    <row r="13" outlineLevel="1" ht="15" customHeight="1" s="15">
      <c r="B13" s="41" t="n">
        <v>1</v>
      </c>
      <c r="C13" s="42">
        <f>IF(EMPLOYES!C16="","",EMPLOYES!C16)</f>
        <v/>
      </c>
      <c r="D13" s="43">
        <f>IF(EMPLOYES!C16="","",EMPLOYES!D16)</f>
        <v/>
      </c>
      <c r="E13" s="44" t="n"/>
      <c r="F13" s="42" t="n"/>
      <c r="G13" s="41">
        <f>IF($C13="",0,MAX(0,$M13-$N13))</f>
        <v/>
      </c>
      <c r="H13" s="45" t="n"/>
      <c r="I13" s="41">
        <f>IF($C13="","",IF(H13="","OK",IF(H13&gt;EMPLOYES!P16,"⚠ Avance &gt; salaire",IF(H13&gt;EMPLOYES!P16*PARAMETRES!$C$218,"⚠ Avance élevée","OK"))))</f>
        <v/>
      </c>
      <c r="J13" s="45" t="n"/>
      <c r="K13" s="46" t="n"/>
      <c r="L13" s="46" t="n"/>
      <c r="M13" s="41">
        <f>IF($C13="","",SUMPRODUCT((PARAMETRES!$B$38:$B$157=PARAMETRES!$C$29)*(PARAMETRES!$C$38:$C$157=1)*(IF(EMPLOYES!M16="5j",PARAMETRES!$I$38:$I$157,PARAMETRES!$H$38:$H$157))))</f>
        <v/>
      </c>
      <c r="N13" s="41">
        <f>IF($C13="","",SUMPRODUCT((O13:AS13="P")+(O13:AS13="F")+(O13:AS13="C")+0.5*(O13:AS13="D"),(1-((O9:AS9=6)*(EMPLOYES!M16="5j")))))</f>
        <v/>
      </c>
      <c r="O13" s="46" t="n"/>
      <c r="P13" s="46" t="n"/>
      <c r="Q13" s="46" t="n"/>
      <c r="R13" s="46" t="n"/>
      <c r="S13" s="46" t="n"/>
      <c r="T13" s="46" t="n"/>
      <c r="U13" s="46" t="n"/>
      <c r="V13" s="46" t="n"/>
      <c r="W13" s="46" t="n"/>
      <c r="X13" s="46" t="n"/>
      <c r="Y13" s="46" t="n"/>
      <c r="Z13" s="46" t="n"/>
      <c r="AA13" s="46" t="n"/>
      <c r="AB13" s="46" t="n"/>
      <c r="AC13" s="46" t="n"/>
      <c r="AD13" s="46" t="n"/>
      <c r="AE13" s="46" t="n"/>
      <c r="AF13" s="46" t="n"/>
      <c r="AG13" s="46" t="n"/>
      <c r="AH13" s="46" t="n"/>
      <c r="AI13" s="46" t="n"/>
      <c r="AJ13" s="46" t="n"/>
      <c r="AK13" s="46" t="n"/>
      <c r="AL13" s="46" t="n"/>
      <c r="AM13" s="46" t="n"/>
      <c r="AN13" s="46" t="n"/>
      <c r="AO13" s="46" t="n"/>
      <c r="AP13" s="46" t="n"/>
      <c r="AQ13" s="46" t="n"/>
      <c r="AR13" s="46" t="n"/>
      <c r="AS13" s="46" t="n"/>
      <c r="AV13" s="36">
        <f>IF($C13="","",EMPLOYES!M16)</f>
        <v/>
      </c>
      <c r="AW13" s="36">
        <f>IF($C13="",0,SUMPRODUCT(--(O13:AS13="C")))</f>
        <v/>
      </c>
      <c r="AX13" s="36">
        <f>IF($C13="",0,SUMPRODUCT(--(O13:AS13="R")))</f>
        <v/>
      </c>
      <c r="AY13" s="44" t="n"/>
    </row>
    <row r="14" outlineLevel="1" ht="15" customHeight="1" s="15">
      <c r="B14" s="41" t="n">
        <v>1</v>
      </c>
      <c r="C14" s="42">
        <f>IF(EMPLOYES!C17="","",EMPLOYES!C17)</f>
        <v/>
      </c>
      <c r="D14" s="43">
        <f>IF(EMPLOYES!C17="","",EMPLOYES!D17)</f>
        <v/>
      </c>
      <c r="E14" s="44" t="n"/>
      <c r="F14" s="42" t="n"/>
      <c r="G14" s="41">
        <f>IF($C14="",0,MAX(0,$M14-$N14))</f>
        <v/>
      </c>
      <c r="H14" s="45" t="n"/>
      <c r="I14" s="41">
        <f>IF($C14="","",IF(H14="","OK",IF(H14&gt;EMPLOYES!P17,"⚠ Avance &gt; salaire",IF(H14&gt;EMPLOYES!P17*PARAMETRES!$C$218,"⚠ Avance élevée","OK"))))</f>
        <v/>
      </c>
      <c r="J14" s="45" t="n"/>
      <c r="K14" s="46" t="n"/>
      <c r="L14" s="46" t="n"/>
      <c r="M14" s="41">
        <f>IF($C14="","",SUMPRODUCT((PARAMETRES!$B$38:$B$157=PARAMETRES!$C$29)*(PARAMETRES!$C$38:$C$157=1)*(IF(EMPLOYES!M17="5j",PARAMETRES!$I$38:$I$157,PARAMETRES!$H$38:$H$157))))</f>
        <v/>
      </c>
      <c r="N14" s="41">
        <f>IF($C14="","",SUMPRODUCT((O14:AS14="P")+(O14:AS14="F")+(O14:AS14="C")+0.5*(O14:AS14="D"),(1-((O9:AS9=6)*(EMPLOYES!M17="5j")))))</f>
        <v/>
      </c>
      <c r="O14" s="46" t="n"/>
      <c r="P14" s="46" t="n"/>
      <c r="Q14" s="46" t="n"/>
      <c r="R14" s="46" t="n"/>
      <c r="S14" s="46" t="n"/>
      <c r="T14" s="46" t="n"/>
      <c r="U14" s="46" t="n"/>
      <c r="V14" s="46" t="n"/>
      <c r="W14" s="46" t="n"/>
      <c r="X14" s="46" t="n"/>
      <c r="Y14" s="46" t="n"/>
      <c r="Z14" s="46" t="n"/>
      <c r="AA14" s="46" t="n"/>
      <c r="AB14" s="46" t="n"/>
      <c r="AC14" s="46" t="n"/>
      <c r="AD14" s="46" t="n"/>
      <c r="AE14" s="46" t="n"/>
      <c r="AF14" s="46" t="n"/>
      <c r="AG14" s="46" t="n"/>
      <c r="AH14" s="46" t="n"/>
      <c r="AI14" s="46" t="n"/>
      <c r="AJ14" s="46" t="n"/>
      <c r="AK14" s="46" t="n"/>
      <c r="AL14" s="46" t="n"/>
      <c r="AM14" s="46" t="n"/>
      <c r="AN14" s="46" t="n"/>
      <c r="AO14" s="46" t="n"/>
      <c r="AP14" s="46" t="n"/>
      <c r="AQ14" s="46" t="n"/>
      <c r="AR14" s="46" t="n"/>
      <c r="AS14" s="46" t="n"/>
      <c r="AV14" s="36">
        <f>IF($C14="","",EMPLOYES!M17)</f>
        <v/>
      </c>
      <c r="AW14" s="36">
        <f>IF($C14="",0,SUMPRODUCT(--(O14:AS14="C")))</f>
        <v/>
      </c>
      <c r="AX14" s="36">
        <f>IF($C14="",0,SUMPRODUCT(--(O14:AS14="R")))</f>
        <v/>
      </c>
      <c r="AY14" s="44" t="n"/>
    </row>
    <row r="15" outlineLevel="1" ht="15" customHeight="1" s="15">
      <c r="B15" s="41" t="n">
        <v>1</v>
      </c>
      <c r="C15" s="42">
        <f>IF(EMPLOYES!C18="","",EMPLOYES!C18)</f>
        <v/>
      </c>
      <c r="D15" s="43">
        <f>IF(EMPLOYES!C18="","",EMPLOYES!D18)</f>
        <v/>
      </c>
      <c r="E15" s="44" t="n"/>
      <c r="F15" s="42" t="n"/>
      <c r="G15" s="41">
        <f>IF($C15="",0,MAX(0,$M15-$N15))</f>
        <v/>
      </c>
      <c r="H15" s="45" t="n"/>
      <c r="I15" s="41">
        <f>IF($C15="","",IF(H15="","OK",IF(H15&gt;EMPLOYES!P18,"⚠ Avance &gt; salaire",IF(H15&gt;EMPLOYES!P18*PARAMETRES!$C$218,"⚠ Avance élevée","OK"))))</f>
        <v/>
      </c>
      <c r="J15" s="45" t="n"/>
      <c r="K15" s="46" t="n"/>
      <c r="L15" s="46" t="n"/>
      <c r="M15" s="41">
        <f>IF($C15="","",SUMPRODUCT((PARAMETRES!$B$38:$B$157=PARAMETRES!$C$29)*(PARAMETRES!$C$38:$C$157=1)*(IF(EMPLOYES!M18="5j",PARAMETRES!$I$38:$I$157,PARAMETRES!$H$38:$H$157))))</f>
        <v/>
      </c>
      <c r="N15" s="41">
        <f>IF($C15="","",SUMPRODUCT((O15:AS15="P")+(O15:AS15="F")+(O15:AS15="C")+0.5*(O15:AS15="D"),(1-((O9:AS9=6)*(EMPLOYES!M18="5j")))))</f>
        <v/>
      </c>
      <c r="O15" s="46" t="n"/>
      <c r="P15" s="46" t="n"/>
      <c r="Q15" s="46" t="n"/>
      <c r="R15" s="46" t="n"/>
      <c r="S15" s="46" t="n"/>
      <c r="T15" s="46" t="n"/>
      <c r="U15" s="46" t="n"/>
      <c r="V15" s="46" t="n"/>
      <c r="W15" s="46" t="n"/>
      <c r="X15" s="46" t="n"/>
      <c r="Y15" s="46" t="n"/>
      <c r="Z15" s="46" t="n"/>
      <c r="AA15" s="46" t="n"/>
      <c r="AB15" s="46" t="n"/>
      <c r="AC15" s="46" t="n"/>
      <c r="AD15" s="46" t="n"/>
      <c r="AE15" s="46" t="n"/>
      <c r="AF15" s="46" t="n"/>
      <c r="AG15" s="46" t="n"/>
      <c r="AH15" s="46" t="n"/>
      <c r="AI15" s="46" t="n"/>
      <c r="AJ15" s="46" t="n"/>
      <c r="AK15" s="46" t="n"/>
      <c r="AL15" s="46" t="n"/>
      <c r="AM15" s="46" t="n"/>
      <c r="AN15" s="46" t="n"/>
      <c r="AO15" s="46" t="n"/>
      <c r="AP15" s="46" t="n"/>
      <c r="AQ15" s="46" t="n"/>
      <c r="AR15" s="46" t="n"/>
      <c r="AS15" s="46" t="n"/>
      <c r="AV15" s="36">
        <f>IF($C15="","",EMPLOYES!M18)</f>
        <v/>
      </c>
      <c r="AW15" s="36">
        <f>IF($C15="",0,SUMPRODUCT(--(O15:AS15="C")))</f>
        <v/>
      </c>
      <c r="AX15" s="36">
        <f>IF($C15="",0,SUMPRODUCT(--(O15:AS15="R")))</f>
        <v/>
      </c>
      <c r="AY15" s="44" t="n"/>
    </row>
    <row r="16" outlineLevel="1" ht="15" customHeight="1" s="15">
      <c r="B16" s="41" t="n">
        <v>1</v>
      </c>
      <c r="C16" s="42">
        <f>IF(EMPLOYES!C19="","",EMPLOYES!C19)</f>
        <v/>
      </c>
      <c r="D16" s="43">
        <f>IF(EMPLOYES!C19="","",EMPLOYES!D19)</f>
        <v/>
      </c>
      <c r="E16" s="44" t="n"/>
      <c r="F16" s="42" t="n"/>
      <c r="G16" s="41">
        <f>IF($C16="",0,MAX(0,$M16-$N16))</f>
        <v/>
      </c>
      <c r="H16" s="45" t="n"/>
      <c r="I16" s="41">
        <f>IF($C16="","",IF(H16="","OK",IF(H16&gt;EMPLOYES!P19,"⚠ Avance &gt; salaire",IF(H16&gt;EMPLOYES!P19*PARAMETRES!$C$218,"⚠ Avance élevée","OK"))))</f>
        <v/>
      </c>
      <c r="J16" s="45" t="n"/>
      <c r="K16" s="46" t="n"/>
      <c r="L16" s="46" t="n"/>
      <c r="M16" s="41">
        <f>IF($C16="","",SUMPRODUCT((PARAMETRES!$B$38:$B$157=PARAMETRES!$C$29)*(PARAMETRES!$C$38:$C$157=1)*(IF(EMPLOYES!M19="5j",PARAMETRES!$I$38:$I$157,PARAMETRES!$H$38:$H$157))))</f>
        <v/>
      </c>
      <c r="N16" s="41">
        <f>IF($C16="","",SUMPRODUCT((O16:AS16="P")+(O16:AS16="F")+(O16:AS16="C")+0.5*(O16:AS16="D"),(1-((O9:AS9=6)*(EMPLOYES!M19="5j")))))</f>
        <v/>
      </c>
      <c r="O16" s="46" t="n"/>
      <c r="P16" s="46" t="n"/>
      <c r="Q16" s="46" t="n"/>
      <c r="R16" s="46" t="n"/>
      <c r="S16" s="46" t="n"/>
      <c r="T16" s="46" t="n"/>
      <c r="U16" s="46" t="n"/>
      <c r="V16" s="46" t="n"/>
      <c r="W16" s="46" t="n"/>
      <c r="X16" s="46" t="n"/>
      <c r="Y16" s="46" t="n"/>
      <c r="Z16" s="46" t="n"/>
      <c r="AA16" s="46" t="n"/>
      <c r="AB16" s="46" t="n"/>
      <c r="AC16" s="46" t="n"/>
      <c r="AD16" s="46" t="n"/>
      <c r="AE16" s="46" t="n"/>
      <c r="AF16" s="46" t="n"/>
      <c r="AG16" s="46" t="n"/>
      <c r="AH16" s="46" t="n"/>
      <c r="AI16" s="46" t="n"/>
      <c r="AJ16" s="46" t="n"/>
      <c r="AK16" s="46" t="n"/>
      <c r="AL16" s="46" t="n"/>
      <c r="AM16" s="46" t="n"/>
      <c r="AN16" s="46" t="n"/>
      <c r="AO16" s="46" t="n"/>
      <c r="AP16" s="46" t="n"/>
      <c r="AQ16" s="46" t="n"/>
      <c r="AR16" s="46" t="n"/>
      <c r="AS16" s="46" t="n"/>
      <c r="AV16" s="36">
        <f>IF($C16="","",EMPLOYES!M19)</f>
        <v/>
      </c>
      <c r="AW16" s="36">
        <f>IF($C16="",0,SUMPRODUCT(--(O16:AS16="C")))</f>
        <v/>
      </c>
      <c r="AX16" s="36">
        <f>IF($C16="",0,SUMPRODUCT(--(O16:AS16="R")))</f>
        <v/>
      </c>
      <c r="AY16" s="44" t="n"/>
    </row>
    <row r="17" outlineLevel="1" ht="15" customHeight="1" s="15">
      <c r="B17" s="41" t="n">
        <v>1</v>
      </c>
      <c r="C17" s="42">
        <f>IF(EMPLOYES!C20="","",EMPLOYES!C20)</f>
        <v/>
      </c>
      <c r="D17" s="43">
        <f>IF(EMPLOYES!C20="","",EMPLOYES!D20)</f>
        <v/>
      </c>
      <c r="E17" s="44" t="n"/>
      <c r="F17" s="42" t="n"/>
      <c r="G17" s="41">
        <f>IF($C17="",0,MAX(0,$M17-$N17))</f>
        <v/>
      </c>
      <c r="H17" s="45" t="n"/>
      <c r="I17" s="41">
        <f>IF($C17="","",IF(H17="","OK",IF(H17&gt;EMPLOYES!P20,"⚠ Avance &gt; salaire",IF(H17&gt;EMPLOYES!P20*PARAMETRES!$C$218,"⚠ Avance élevée","OK"))))</f>
        <v/>
      </c>
      <c r="J17" s="45" t="n"/>
      <c r="K17" s="46" t="n"/>
      <c r="L17" s="46" t="n"/>
      <c r="M17" s="41">
        <f>IF($C17="","",SUMPRODUCT((PARAMETRES!$B$38:$B$157=PARAMETRES!$C$29)*(PARAMETRES!$C$38:$C$157=1)*(IF(EMPLOYES!M20="5j",PARAMETRES!$I$38:$I$157,PARAMETRES!$H$38:$H$157))))</f>
        <v/>
      </c>
      <c r="N17" s="41">
        <f>IF($C17="","",SUMPRODUCT((O17:AS17="P")+(O17:AS17="F")+(O17:AS17="C")+0.5*(O17:AS17="D"),(1-((O9:AS9=6)*(EMPLOYES!M20="5j")))))</f>
        <v/>
      </c>
      <c r="O17" s="46" t="n"/>
      <c r="P17" s="46" t="n"/>
      <c r="Q17" s="46" t="n"/>
      <c r="R17" s="46" t="n"/>
      <c r="S17" s="46" t="n"/>
      <c r="T17" s="46" t="n"/>
      <c r="U17" s="46" t="n"/>
      <c r="V17" s="46" t="n"/>
      <c r="W17" s="46" t="n"/>
      <c r="X17" s="46" t="n"/>
      <c r="Y17" s="46" t="n"/>
      <c r="Z17" s="46" t="n"/>
      <c r="AA17" s="46" t="n"/>
      <c r="AB17" s="46" t="n"/>
      <c r="AC17" s="46" t="n"/>
      <c r="AD17" s="46" t="n"/>
      <c r="AE17" s="46" t="n"/>
      <c r="AF17" s="46" t="n"/>
      <c r="AG17" s="46" t="n"/>
      <c r="AH17" s="46" t="n"/>
      <c r="AI17" s="46" t="n"/>
      <c r="AJ17" s="46" t="n"/>
      <c r="AK17" s="46" t="n"/>
      <c r="AL17" s="46" t="n"/>
      <c r="AM17" s="46" t="n"/>
      <c r="AN17" s="46" t="n"/>
      <c r="AO17" s="46" t="n"/>
      <c r="AP17" s="46" t="n"/>
      <c r="AQ17" s="46" t="n"/>
      <c r="AR17" s="46" t="n"/>
      <c r="AS17" s="46" t="n"/>
      <c r="AV17" s="36">
        <f>IF($C17="","",EMPLOYES!M20)</f>
        <v/>
      </c>
      <c r="AW17" s="36">
        <f>IF($C17="",0,SUMPRODUCT(--(O17:AS17="C")))</f>
        <v/>
      </c>
      <c r="AX17" s="36">
        <f>IF($C17="",0,SUMPRODUCT(--(O17:AS17="R")))</f>
        <v/>
      </c>
      <c r="AY17" s="44" t="n"/>
    </row>
    <row r="18" outlineLevel="1" ht="15" customHeight="1" s="15">
      <c r="B18" s="41" t="n">
        <v>1</v>
      </c>
      <c r="C18" s="42">
        <f>IF(EMPLOYES!C21="","",EMPLOYES!C21)</f>
        <v/>
      </c>
      <c r="D18" s="43">
        <f>IF(EMPLOYES!C21="","",EMPLOYES!D21)</f>
        <v/>
      </c>
      <c r="E18" s="44" t="n"/>
      <c r="F18" s="42" t="n"/>
      <c r="G18" s="41">
        <f>IF($C18="",0,MAX(0,$M18-$N18))</f>
        <v/>
      </c>
      <c r="H18" s="45" t="n"/>
      <c r="I18" s="41">
        <f>IF($C18="","",IF(H18="","OK",IF(H18&gt;EMPLOYES!P21,"⚠ Avance &gt; salaire",IF(H18&gt;EMPLOYES!P21*PARAMETRES!$C$218,"⚠ Avance élevée","OK"))))</f>
        <v/>
      </c>
      <c r="J18" s="45" t="n"/>
      <c r="K18" s="46" t="n"/>
      <c r="L18" s="46" t="n"/>
      <c r="M18" s="41">
        <f>IF($C18="","",SUMPRODUCT((PARAMETRES!$B$38:$B$157=PARAMETRES!$C$29)*(PARAMETRES!$C$38:$C$157=1)*(IF(EMPLOYES!M21="5j",PARAMETRES!$I$38:$I$157,PARAMETRES!$H$38:$H$157))))</f>
        <v/>
      </c>
      <c r="N18" s="41">
        <f>IF($C18="","",SUMPRODUCT((O18:AS18="P")+(O18:AS18="F")+(O18:AS18="C")+0.5*(O18:AS18="D"),(1-((O9:AS9=6)*(EMPLOYES!M21="5j")))))</f>
        <v/>
      </c>
      <c r="O18" s="46" t="n"/>
      <c r="P18" s="46" t="n"/>
      <c r="Q18" s="46" t="n"/>
      <c r="R18" s="46" t="n"/>
      <c r="S18" s="46" t="n"/>
      <c r="T18" s="46" t="n"/>
      <c r="U18" s="46" t="n"/>
      <c r="V18" s="46" t="n"/>
      <c r="W18" s="46" t="n"/>
      <c r="X18" s="46" t="n"/>
      <c r="Y18" s="46" t="n"/>
      <c r="Z18" s="46" t="n"/>
      <c r="AA18" s="46" t="n"/>
      <c r="AB18" s="46" t="n"/>
      <c r="AC18" s="46" t="n"/>
      <c r="AD18" s="46" t="n"/>
      <c r="AE18" s="46" t="n"/>
      <c r="AF18" s="46" t="n"/>
      <c r="AG18" s="46" t="n"/>
      <c r="AH18" s="46" t="n"/>
      <c r="AI18" s="46" t="n"/>
      <c r="AJ18" s="46" t="n"/>
      <c r="AK18" s="46" t="n"/>
      <c r="AL18" s="46" t="n"/>
      <c r="AM18" s="46" t="n"/>
      <c r="AN18" s="46" t="n"/>
      <c r="AO18" s="46" t="n"/>
      <c r="AP18" s="46" t="n"/>
      <c r="AQ18" s="46" t="n"/>
      <c r="AR18" s="46" t="n"/>
      <c r="AS18" s="46" t="n"/>
      <c r="AV18" s="36">
        <f>IF($C18="","",EMPLOYES!M21)</f>
        <v/>
      </c>
      <c r="AW18" s="36">
        <f>IF($C18="",0,SUMPRODUCT(--(O18:AS18="C")))</f>
        <v/>
      </c>
      <c r="AX18" s="36">
        <f>IF($C18="",0,SUMPRODUCT(--(O18:AS18="R")))</f>
        <v/>
      </c>
      <c r="AY18" s="44" t="n"/>
    </row>
    <row r="19" outlineLevel="1" ht="15" customHeight="1" s="15">
      <c r="B19" s="41" t="n">
        <v>1</v>
      </c>
      <c r="C19" s="42">
        <f>IF(EMPLOYES!C22="","",EMPLOYES!C22)</f>
        <v/>
      </c>
      <c r="D19" s="43">
        <f>IF(EMPLOYES!C22="","",EMPLOYES!D22)</f>
        <v/>
      </c>
      <c r="E19" s="44" t="n"/>
      <c r="F19" s="42" t="n"/>
      <c r="G19" s="41">
        <f>IF($C19="",0,MAX(0,$M19-$N19))</f>
        <v/>
      </c>
      <c r="H19" s="45" t="n"/>
      <c r="I19" s="41">
        <f>IF($C19="","",IF(H19="","OK",IF(H19&gt;EMPLOYES!P22,"⚠ Avance &gt; salaire",IF(H19&gt;EMPLOYES!P22*PARAMETRES!$C$218,"⚠ Avance élevée","OK"))))</f>
        <v/>
      </c>
      <c r="J19" s="45" t="n"/>
      <c r="K19" s="46" t="n"/>
      <c r="L19" s="46" t="n"/>
      <c r="M19" s="41">
        <f>IF($C19="","",SUMPRODUCT((PARAMETRES!$B$38:$B$157=PARAMETRES!$C$29)*(PARAMETRES!$C$38:$C$157=1)*(IF(EMPLOYES!M22="5j",PARAMETRES!$I$38:$I$157,PARAMETRES!$H$38:$H$157))))</f>
        <v/>
      </c>
      <c r="N19" s="41">
        <f>IF($C19="","",SUMPRODUCT((O19:AS19="P")+(O19:AS19="F")+(O19:AS19="C")+0.5*(O19:AS19="D"),(1-((O9:AS9=6)*(EMPLOYES!M22="5j")))))</f>
        <v/>
      </c>
      <c r="O19" s="46" t="n"/>
      <c r="P19" s="46" t="n"/>
      <c r="Q19" s="46" t="n"/>
      <c r="R19" s="46" t="n"/>
      <c r="S19" s="46" t="n"/>
      <c r="T19" s="46" t="n"/>
      <c r="U19" s="46" t="n"/>
      <c r="V19" s="46" t="n"/>
      <c r="W19" s="46" t="n"/>
      <c r="X19" s="46" t="n"/>
      <c r="Y19" s="46" t="n"/>
      <c r="Z19" s="46" t="n"/>
      <c r="AA19" s="46" t="n"/>
      <c r="AB19" s="46" t="n"/>
      <c r="AC19" s="46" t="n"/>
      <c r="AD19" s="46" t="n"/>
      <c r="AE19" s="46" t="n"/>
      <c r="AF19" s="46" t="n"/>
      <c r="AG19" s="46" t="n"/>
      <c r="AH19" s="46" t="n"/>
      <c r="AI19" s="46" t="n"/>
      <c r="AJ19" s="46" t="n"/>
      <c r="AK19" s="46" t="n"/>
      <c r="AL19" s="46" t="n"/>
      <c r="AM19" s="46" t="n"/>
      <c r="AN19" s="46" t="n"/>
      <c r="AO19" s="46" t="n"/>
      <c r="AP19" s="46" t="n"/>
      <c r="AQ19" s="46" t="n"/>
      <c r="AR19" s="46" t="n"/>
      <c r="AS19" s="46" t="n"/>
      <c r="AV19" s="36">
        <f>IF($C19="","",EMPLOYES!M22)</f>
        <v/>
      </c>
      <c r="AW19" s="36">
        <f>IF($C19="",0,SUMPRODUCT(--(O19:AS19="C")))</f>
        <v/>
      </c>
      <c r="AX19" s="36">
        <f>IF($C19="",0,SUMPRODUCT(--(O19:AS19="R")))</f>
        <v/>
      </c>
      <c r="AY19" s="44" t="n"/>
    </row>
    <row r="20" outlineLevel="1" ht="15" customHeight="1" s="15">
      <c r="B20" s="41" t="n">
        <v>1</v>
      </c>
      <c r="C20" s="42">
        <f>IF(EMPLOYES!C23="","",EMPLOYES!C23)</f>
        <v/>
      </c>
      <c r="D20" s="43">
        <f>IF(EMPLOYES!C23="","",EMPLOYES!D23)</f>
        <v/>
      </c>
      <c r="E20" s="44" t="n"/>
      <c r="F20" s="42" t="n"/>
      <c r="G20" s="41">
        <f>IF($C20="",0,MAX(0,$M20-$N20))</f>
        <v/>
      </c>
      <c r="H20" s="45" t="n"/>
      <c r="I20" s="41">
        <f>IF($C20="","",IF(H20="","OK",IF(H20&gt;EMPLOYES!P23,"⚠ Avance &gt; salaire",IF(H20&gt;EMPLOYES!P23*PARAMETRES!$C$218,"⚠ Avance élevée","OK"))))</f>
        <v/>
      </c>
      <c r="J20" s="45" t="n"/>
      <c r="K20" s="46" t="n"/>
      <c r="L20" s="46" t="n"/>
      <c r="M20" s="41">
        <f>IF($C20="","",SUMPRODUCT((PARAMETRES!$B$38:$B$157=PARAMETRES!$C$29)*(PARAMETRES!$C$38:$C$157=1)*(IF(EMPLOYES!M23="5j",PARAMETRES!$I$38:$I$157,PARAMETRES!$H$38:$H$157))))</f>
        <v/>
      </c>
      <c r="N20" s="41">
        <f>IF($C20="","",SUMPRODUCT((O20:AS20="P")+(O20:AS20="F")+(O20:AS20="C")+0.5*(O20:AS20="D"),(1-((O9:AS9=6)*(EMPLOYES!M23="5j")))))</f>
        <v/>
      </c>
      <c r="O20" s="46" t="n"/>
      <c r="P20" s="46" t="n"/>
      <c r="Q20" s="46" t="n"/>
      <c r="R20" s="46" t="n"/>
      <c r="S20" s="46" t="n"/>
      <c r="T20" s="46" t="n"/>
      <c r="U20" s="46" t="n"/>
      <c r="V20" s="46" t="n"/>
      <c r="W20" s="46" t="n"/>
      <c r="X20" s="46" t="n"/>
      <c r="Y20" s="46" t="n"/>
      <c r="Z20" s="46" t="n"/>
      <c r="AA20" s="46" t="n"/>
      <c r="AB20" s="46" t="n"/>
      <c r="AC20" s="46" t="n"/>
      <c r="AD20" s="46" t="n"/>
      <c r="AE20" s="46" t="n"/>
      <c r="AF20" s="46" t="n"/>
      <c r="AG20" s="46" t="n"/>
      <c r="AH20" s="46" t="n"/>
      <c r="AI20" s="46" t="n"/>
      <c r="AJ20" s="46" t="n"/>
      <c r="AK20" s="46" t="n"/>
      <c r="AL20" s="46" t="n"/>
      <c r="AM20" s="46" t="n"/>
      <c r="AN20" s="46" t="n"/>
      <c r="AO20" s="46" t="n"/>
      <c r="AP20" s="46" t="n"/>
      <c r="AQ20" s="46" t="n"/>
      <c r="AR20" s="46" t="n"/>
      <c r="AS20" s="46" t="n"/>
      <c r="AV20" s="36">
        <f>IF($C20="","",EMPLOYES!M23)</f>
        <v/>
      </c>
      <c r="AW20" s="36">
        <f>IF($C20="",0,SUMPRODUCT(--(O20:AS20="C")))</f>
        <v/>
      </c>
      <c r="AX20" s="36">
        <f>IF($C20="",0,SUMPRODUCT(--(O20:AS20="R")))</f>
        <v/>
      </c>
      <c r="AY20" s="44" t="n"/>
    </row>
    <row r="21" outlineLevel="1" ht="15" customHeight="1" s="15">
      <c r="B21" s="41" t="n">
        <v>1</v>
      </c>
      <c r="C21" s="42">
        <f>IF(EMPLOYES!C24="","",EMPLOYES!C24)</f>
        <v/>
      </c>
      <c r="D21" s="43">
        <f>IF(EMPLOYES!C24="","",EMPLOYES!D24)</f>
        <v/>
      </c>
      <c r="E21" s="44" t="n"/>
      <c r="F21" s="42" t="n"/>
      <c r="G21" s="41">
        <f>IF($C21="",0,MAX(0,$M21-$N21))</f>
        <v/>
      </c>
      <c r="H21" s="45" t="n"/>
      <c r="I21" s="41">
        <f>IF($C21="","",IF(H21="","OK",IF(H21&gt;EMPLOYES!P24,"⚠ Avance &gt; salaire",IF(H21&gt;EMPLOYES!P24*PARAMETRES!$C$218,"⚠ Avance élevée","OK"))))</f>
        <v/>
      </c>
      <c r="J21" s="45" t="n"/>
      <c r="K21" s="46" t="n"/>
      <c r="L21" s="46" t="n"/>
      <c r="M21" s="41">
        <f>IF($C21="","",SUMPRODUCT((PARAMETRES!$B$38:$B$157=PARAMETRES!$C$29)*(PARAMETRES!$C$38:$C$157=1)*(IF(EMPLOYES!M24="5j",PARAMETRES!$I$38:$I$157,PARAMETRES!$H$38:$H$157))))</f>
        <v/>
      </c>
      <c r="N21" s="41">
        <f>IF($C21="","",SUMPRODUCT((O21:AS21="P")+(O21:AS21="F")+(O21:AS21="C")+0.5*(O21:AS21="D"),(1-((O9:AS9=6)*(EMPLOYES!M24="5j")))))</f>
        <v/>
      </c>
      <c r="O21" s="46" t="n"/>
      <c r="P21" s="46" t="n"/>
      <c r="Q21" s="46" t="n"/>
      <c r="R21" s="46" t="n"/>
      <c r="S21" s="46" t="n"/>
      <c r="T21" s="46" t="n"/>
      <c r="U21" s="46" t="n"/>
      <c r="V21" s="46" t="n"/>
      <c r="W21" s="46" t="n"/>
      <c r="X21" s="46" t="n"/>
      <c r="Y21" s="46" t="n"/>
      <c r="Z21" s="46" t="n"/>
      <c r="AA21" s="46" t="n"/>
      <c r="AB21" s="46" t="n"/>
      <c r="AC21" s="46" t="n"/>
      <c r="AD21" s="46" t="n"/>
      <c r="AE21" s="46" t="n"/>
      <c r="AF21" s="46" t="n"/>
      <c r="AG21" s="46" t="n"/>
      <c r="AH21" s="46" t="n"/>
      <c r="AI21" s="46" t="n"/>
      <c r="AJ21" s="46" t="n"/>
      <c r="AK21" s="46" t="n"/>
      <c r="AL21" s="46" t="n"/>
      <c r="AM21" s="46" t="n"/>
      <c r="AN21" s="46" t="n"/>
      <c r="AO21" s="46" t="n"/>
      <c r="AP21" s="46" t="n"/>
      <c r="AQ21" s="46" t="n"/>
      <c r="AR21" s="46" t="n"/>
      <c r="AS21" s="46" t="n"/>
      <c r="AV21" s="36">
        <f>IF($C21="","",EMPLOYES!M24)</f>
        <v/>
      </c>
      <c r="AW21" s="36">
        <f>IF($C21="",0,SUMPRODUCT(--(O21:AS21="C")))</f>
        <v/>
      </c>
      <c r="AX21" s="36">
        <f>IF($C21="",0,SUMPRODUCT(--(O21:AS21="R")))</f>
        <v/>
      </c>
      <c r="AY21" s="44" t="n"/>
    </row>
    <row r="22" outlineLevel="1" ht="15" customHeight="1" s="15">
      <c r="B22" s="41" t="n">
        <v>1</v>
      </c>
      <c r="C22" s="42">
        <f>IF(EMPLOYES!C25="","",EMPLOYES!C25)</f>
        <v/>
      </c>
      <c r="D22" s="43">
        <f>IF(EMPLOYES!C25="","",EMPLOYES!D25)</f>
        <v/>
      </c>
      <c r="E22" s="44" t="n"/>
      <c r="F22" s="42" t="n"/>
      <c r="G22" s="41">
        <f>IF($C22="",0,MAX(0,$M22-$N22))</f>
        <v/>
      </c>
      <c r="H22" s="45" t="n"/>
      <c r="I22" s="41">
        <f>IF($C22="","",IF(H22="","OK",IF(H22&gt;EMPLOYES!P25,"⚠ Avance &gt; salaire",IF(H22&gt;EMPLOYES!P25*PARAMETRES!$C$218,"⚠ Avance élevée","OK"))))</f>
        <v/>
      </c>
      <c r="J22" s="45" t="n"/>
      <c r="K22" s="46" t="n"/>
      <c r="L22" s="46" t="n"/>
      <c r="M22" s="41">
        <f>IF($C22="","",SUMPRODUCT((PARAMETRES!$B$38:$B$157=PARAMETRES!$C$29)*(PARAMETRES!$C$38:$C$157=1)*(IF(EMPLOYES!M25="5j",PARAMETRES!$I$38:$I$157,PARAMETRES!$H$38:$H$157))))</f>
        <v/>
      </c>
      <c r="N22" s="41">
        <f>IF($C22="","",SUMPRODUCT((O22:AS22="P")+(O22:AS22="F")+(O22:AS22="C")+0.5*(O22:AS22="D"),(1-((O9:AS9=6)*(EMPLOYES!M25="5j")))))</f>
        <v/>
      </c>
      <c r="O22" s="46" t="n"/>
      <c r="P22" s="46" t="n"/>
      <c r="Q22" s="46" t="n"/>
      <c r="R22" s="46" t="n"/>
      <c r="S22" s="46" t="n"/>
      <c r="T22" s="46" t="n"/>
      <c r="U22" s="46" t="n"/>
      <c r="V22" s="46" t="n"/>
      <c r="W22" s="46" t="n"/>
      <c r="X22" s="46" t="n"/>
      <c r="Y22" s="46" t="n"/>
      <c r="Z22" s="46" t="n"/>
      <c r="AA22" s="46" t="n"/>
      <c r="AB22" s="46" t="n"/>
      <c r="AC22" s="46" t="n"/>
      <c r="AD22" s="46" t="n"/>
      <c r="AE22" s="46" t="n"/>
      <c r="AF22" s="46" t="n"/>
      <c r="AG22" s="46" t="n"/>
      <c r="AH22" s="46" t="n"/>
      <c r="AI22" s="46" t="n"/>
      <c r="AJ22" s="46" t="n"/>
      <c r="AK22" s="46" t="n"/>
      <c r="AL22" s="46" t="n"/>
      <c r="AM22" s="46" t="n"/>
      <c r="AN22" s="46" t="n"/>
      <c r="AO22" s="46" t="n"/>
      <c r="AP22" s="46" t="n"/>
      <c r="AQ22" s="46" t="n"/>
      <c r="AR22" s="46" t="n"/>
      <c r="AS22" s="46" t="n"/>
      <c r="AV22" s="36">
        <f>IF($C22="","",EMPLOYES!M25)</f>
        <v/>
      </c>
      <c r="AW22" s="36">
        <f>IF($C22="",0,SUMPRODUCT(--(O22:AS22="C")))</f>
        <v/>
      </c>
      <c r="AX22" s="36">
        <f>IF($C22="",0,SUMPRODUCT(--(O22:AS22="R")))</f>
        <v/>
      </c>
      <c r="AY22" s="44" t="n"/>
    </row>
    <row r="23" outlineLevel="1" ht="15" customHeight="1" s="15">
      <c r="B23" s="41" t="n">
        <v>1</v>
      </c>
      <c r="C23" s="42">
        <f>IF(EMPLOYES!C26="","",EMPLOYES!C26)</f>
        <v/>
      </c>
      <c r="D23" s="43">
        <f>IF(EMPLOYES!C26="","",EMPLOYES!D26)</f>
        <v/>
      </c>
      <c r="E23" s="44" t="n"/>
      <c r="F23" s="42" t="n"/>
      <c r="G23" s="41">
        <f>IF($C23="",0,MAX(0,$M23-$N23))</f>
        <v/>
      </c>
      <c r="H23" s="45" t="n"/>
      <c r="I23" s="41">
        <f>IF($C23="","",IF(H23="","OK",IF(H23&gt;EMPLOYES!P26,"⚠ Avance &gt; salaire",IF(H23&gt;EMPLOYES!P26*PARAMETRES!$C$218,"⚠ Avance élevée","OK"))))</f>
        <v/>
      </c>
      <c r="J23" s="45" t="n"/>
      <c r="K23" s="46" t="n"/>
      <c r="L23" s="46" t="n"/>
      <c r="M23" s="41">
        <f>IF($C23="","",SUMPRODUCT((PARAMETRES!$B$38:$B$157=PARAMETRES!$C$29)*(PARAMETRES!$C$38:$C$157=1)*(IF(EMPLOYES!M26="5j",PARAMETRES!$I$38:$I$157,PARAMETRES!$H$38:$H$157))))</f>
        <v/>
      </c>
      <c r="N23" s="41">
        <f>IF($C23="","",SUMPRODUCT((O23:AS23="P")+(O23:AS23="F")+(O23:AS23="C")+0.5*(O23:AS23="D"),(1-((O9:AS9=6)*(EMPLOYES!M26="5j")))))</f>
        <v/>
      </c>
      <c r="O23" s="46" t="n"/>
      <c r="P23" s="46" t="n"/>
      <c r="Q23" s="46" t="n"/>
      <c r="R23" s="46" t="n"/>
      <c r="S23" s="46" t="n"/>
      <c r="T23" s="46" t="n"/>
      <c r="U23" s="46" t="n"/>
      <c r="V23" s="46" t="n"/>
      <c r="W23" s="46" t="n"/>
      <c r="X23" s="46" t="n"/>
      <c r="Y23" s="46" t="n"/>
      <c r="Z23" s="46" t="n"/>
      <c r="AA23" s="46" t="n"/>
      <c r="AB23" s="46" t="n"/>
      <c r="AC23" s="46" t="n"/>
      <c r="AD23" s="46" t="n"/>
      <c r="AE23" s="46" t="n"/>
      <c r="AF23" s="46" t="n"/>
      <c r="AG23" s="46" t="n"/>
      <c r="AH23" s="46" t="n"/>
      <c r="AI23" s="46" t="n"/>
      <c r="AJ23" s="46" t="n"/>
      <c r="AK23" s="46" t="n"/>
      <c r="AL23" s="46" t="n"/>
      <c r="AM23" s="46" t="n"/>
      <c r="AN23" s="46" t="n"/>
      <c r="AO23" s="46" t="n"/>
      <c r="AP23" s="46" t="n"/>
      <c r="AQ23" s="46" t="n"/>
      <c r="AR23" s="46" t="n"/>
      <c r="AS23" s="46" t="n"/>
      <c r="AV23" s="36">
        <f>IF($C23="","",EMPLOYES!M26)</f>
        <v/>
      </c>
      <c r="AW23" s="36">
        <f>IF($C23="",0,SUMPRODUCT(--(O23:AS23="C")))</f>
        <v/>
      </c>
      <c r="AX23" s="36">
        <f>IF($C23="",0,SUMPRODUCT(--(O23:AS23="R")))</f>
        <v/>
      </c>
      <c r="AY23" s="44" t="n"/>
    </row>
    <row r="24" outlineLevel="1" ht="15" customHeight="1" s="15">
      <c r="B24" s="41" t="n">
        <v>1</v>
      </c>
      <c r="C24" s="42">
        <f>IF(EMPLOYES!C27="","",EMPLOYES!C27)</f>
        <v/>
      </c>
      <c r="D24" s="43">
        <f>IF(EMPLOYES!C27="","",EMPLOYES!D27)</f>
        <v/>
      </c>
      <c r="E24" s="44" t="n"/>
      <c r="F24" s="42" t="n"/>
      <c r="G24" s="41">
        <f>IF($C24="",0,MAX(0,$M24-$N24))</f>
        <v/>
      </c>
      <c r="H24" s="45" t="n"/>
      <c r="I24" s="41">
        <f>IF($C24="","",IF(H24="","OK",IF(H24&gt;EMPLOYES!P27,"⚠ Avance &gt; salaire",IF(H24&gt;EMPLOYES!P27*PARAMETRES!$C$218,"⚠ Avance élevée","OK"))))</f>
        <v/>
      </c>
      <c r="J24" s="45" t="n"/>
      <c r="K24" s="46" t="n"/>
      <c r="L24" s="46" t="n"/>
      <c r="M24" s="41">
        <f>IF($C24="","",SUMPRODUCT((PARAMETRES!$B$38:$B$157=PARAMETRES!$C$29)*(PARAMETRES!$C$38:$C$157=1)*(IF(EMPLOYES!M27="5j",PARAMETRES!$I$38:$I$157,PARAMETRES!$H$38:$H$157))))</f>
        <v/>
      </c>
      <c r="N24" s="41">
        <f>IF($C24="","",SUMPRODUCT((O24:AS24="P")+(O24:AS24="F")+(O24:AS24="C")+0.5*(O24:AS24="D"),(1-((O9:AS9=6)*(EMPLOYES!M27="5j")))))</f>
        <v/>
      </c>
      <c r="O24" s="46" t="n"/>
      <c r="P24" s="46" t="n"/>
      <c r="Q24" s="46" t="n"/>
      <c r="R24" s="46" t="n"/>
      <c r="S24" s="46" t="n"/>
      <c r="T24" s="46" t="n"/>
      <c r="U24" s="46" t="n"/>
      <c r="V24" s="46" t="n"/>
      <c r="W24" s="46" t="n"/>
      <c r="X24" s="46" t="n"/>
      <c r="Y24" s="46" t="n"/>
      <c r="Z24" s="46" t="n"/>
      <c r="AA24" s="46" t="n"/>
      <c r="AB24" s="46" t="n"/>
      <c r="AC24" s="46" t="n"/>
      <c r="AD24" s="46" t="n"/>
      <c r="AE24" s="46" t="n"/>
      <c r="AF24" s="46" t="n"/>
      <c r="AG24" s="46" t="n"/>
      <c r="AH24" s="46" t="n"/>
      <c r="AI24" s="46" t="n"/>
      <c r="AJ24" s="46" t="n"/>
      <c r="AK24" s="46" t="n"/>
      <c r="AL24" s="46" t="n"/>
      <c r="AM24" s="46" t="n"/>
      <c r="AN24" s="46" t="n"/>
      <c r="AO24" s="46" t="n"/>
      <c r="AP24" s="46" t="n"/>
      <c r="AQ24" s="46" t="n"/>
      <c r="AR24" s="46" t="n"/>
      <c r="AS24" s="46" t="n"/>
      <c r="AV24" s="36">
        <f>IF($C24="","",EMPLOYES!M27)</f>
        <v/>
      </c>
      <c r="AW24" s="36">
        <f>IF($C24="",0,SUMPRODUCT(--(O24:AS24="C")))</f>
        <v/>
      </c>
      <c r="AX24" s="36">
        <f>IF($C24="",0,SUMPRODUCT(--(O24:AS24="R")))</f>
        <v/>
      </c>
      <c r="AY24" s="44" t="n"/>
    </row>
    <row r="25" outlineLevel="1" ht="15" customHeight="1" s="15">
      <c r="B25" s="41" t="n">
        <v>1</v>
      </c>
      <c r="C25" s="42">
        <f>IF(EMPLOYES!C28="","",EMPLOYES!C28)</f>
        <v/>
      </c>
      <c r="D25" s="43">
        <f>IF(EMPLOYES!C28="","",EMPLOYES!D28)</f>
        <v/>
      </c>
      <c r="E25" s="44" t="n"/>
      <c r="F25" s="42" t="n"/>
      <c r="G25" s="41">
        <f>IF($C25="",0,MAX(0,$M25-$N25))</f>
        <v/>
      </c>
      <c r="H25" s="45" t="n"/>
      <c r="I25" s="41">
        <f>IF($C25="","",IF(H25="","OK",IF(H25&gt;EMPLOYES!P28,"⚠ Avance &gt; salaire",IF(H25&gt;EMPLOYES!P28*PARAMETRES!$C$218,"⚠ Avance élevée","OK"))))</f>
        <v/>
      </c>
      <c r="J25" s="45" t="n"/>
      <c r="K25" s="46" t="n"/>
      <c r="L25" s="46" t="n"/>
      <c r="M25" s="41">
        <f>IF($C25="","",SUMPRODUCT((PARAMETRES!$B$38:$B$157=PARAMETRES!$C$29)*(PARAMETRES!$C$38:$C$157=1)*(IF(EMPLOYES!M28="5j",PARAMETRES!$I$38:$I$157,PARAMETRES!$H$38:$H$157))))</f>
        <v/>
      </c>
      <c r="N25" s="41">
        <f>IF($C25="","",SUMPRODUCT((O25:AS25="P")+(O25:AS25="F")+(O25:AS25="C")+0.5*(O25:AS25="D"),(1-((O9:AS9=6)*(EMPLOYES!M28="5j")))))</f>
        <v/>
      </c>
      <c r="O25" s="46" t="n"/>
      <c r="P25" s="46" t="n"/>
      <c r="Q25" s="46" t="n"/>
      <c r="R25" s="46" t="n"/>
      <c r="S25" s="46" t="n"/>
      <c r="T25" s="46" t="n"/>
      <c r="U25" s="46" t="n"/>
      <c r="V25" s="46" t="n"/>
      <c r="W25" s="46" t="n"/>
      <c r="X25" s="46" t="n"/>
      <c r="Y25" s="46" t="n"/>
      <c r="Z25" s="46" t="n"/>
      <c r="AA25" s="46" t="n"/>
      <c r="AB25" s="46" t="n"/>
      <c r="AC25" s="46" t="n"/>
      <c r="AD25" s="46" t="n"/>
      <c r="AE25" s="46" t="n"/>
      <c r="AF25" s="46" t="n"/>
      <c r="AG25" s="46" t="n"/>
      <c r="AH25" s="46" t="n"/>
      <c r="AI25" s="46" t="n"/>
      <c r="AJ25" s="46" t="n"/>
      <c r="AK25" s="46" t="n"/>
      <c r="AL25" s="46" t="n"/>
      <c r="AM25" s="46" t="n"/>
      <c r="AN25" s="46" t="n"/>
      <c r="AO25" s="46" t="n"/>
      <c r="AP25" s="46" t="n"/>
      <c r="AQ25" s="46" t="n"/>
      <c r="AR25" s="46" t="n"/>
      <c r="AS25" s="46" t="n"/>
      <c r="AV25" s="36">
        <f>IF($C25="","",EMPLOYES!M28)</f>
        <v/>
      </c>
      <c r="AW25" s="36">
        <f>IF($C25="",0,SUMPRODUCT(--(O25:AS25="C")))</f>
        <v/>
      </c>
      <c r="AX25" s="36">
        <f>IF($C25="",0,SUMPRODUCT(--(O25:AS25="R")))</f>
        <v/>
      </c>
      <c r="AY25" s="44" t="n"/>
    </row>
    <row r="26" outlineLevel="1" ht="15" customHeight="1" s="15">
      <c r="B26" s="41" t="n">
        <v>1</v>
      </c>
      <c r="C26" s="42">
        <f>IF(EMPLOYES!C29="","",EMPLOYES!C29)</f>
        <v/>
      </c>
      <c r="D26" s="43">
        <f>IF(EMPLOYES!C29="","",EMPLOYES!D29)</f>
        <v/>
      </c>
      <c r="E26" s="44" t="n"/>
      <c r="F26" s="42" t="n"/>
      <c r="G26" s="41">
        <f>IF($C26="",0,MAX(0,$M26-$N26))</f>
        <v/>
      </c>
      <c r="H26" s="45" t="n"/>
      <c r="I26" s="41">
        <f>IF($C26="","",IF(H26="","OK",IF(H26&gt;EMPLOYES!P29,"⚠ Avance &gt; salaire",IF(H26&gt;EMPLOYES!P29*PARAMETRES!$C$218,"⚠ Avance élevée","OK"))))</f>
        <v/>
      </c>
      <c r="J26" s="45" t="n"/>
      <c r="K26" s="46" t="n"/>
      <c r="L26" s="46" t="n"/>
      <c r="M26" s="41">
        <f>IF($C26="","",SUMPRODUCT((PARAMETRES!$B$38:$B$157=PARAMETRES!$C$29)*(PARAMETRES!$C$38:$C$157=1)*(IF(EMPLOYES!M29="5j",PARAMETRES!$I$38:$I$157,PARAMETRES!$H$38:$H$157))))</f>
        <v/>
      </c>
      <c r="N26" s="41">
        <f>IF($C26="","",SUMPRODUCT((O26:AS26="P")+(O26:AS26="F")+(O26:AS26="C")+0.5*(O26:AS26="D"),(1-((O9:AS9=6)*(EMPLOYES!M29="5j")))))</f>
        <v/>
      </c>
      <c r="O26" s="46" t="n"/>
      <c r="P26" s="46" t="n"/>
      <c r="Q26" s="46" t="n"/>
      <c r="R26" s="46" t="n"/>
      <c r="S26" s="46" t="n"/>
      <c r="T26" s="46" t="n"/>
      <c r="U26" s="46" t="n"/>
      <c r="V26" s="46" t="n"/>
      <c r="W26" s="46" t="n"/>
      <c r="X26" s="46" t="n"/>
      <c r="Y26" s="46" t="n"/>
      <c r="Z26" s="46" t="n"/>
      <c r="AA26" s="46" t="n"/>
      <c r="AB26" s="46" t="n"/>
      <c r="AC26" s="46" t="n"/>
      <c r="AD26" s="46" t="n"/>
      <c r="AE26" s="46" t="n"/>
      <c r="AF26" s="46" t="n"/>
      <c r="AG26" s="46" t="n"/>
      <c r="AH26" s="46" t="n"/>
      <c r="AI26" s="46" t="n"/>
      <c r="AJ26" s="46" t="n"/>
      <c r="AK26" s="46" t="n"/>
      <c r="AL26" s="46" t="n"/>
      <c r="AM26" s="46" t="n"/>
      <c r="AN26" s="46" t="n"/>
      <c r="AO26" s="46" t="n"/>
      <c r="AP26" s="46" t="n"/>
      <c r="AQ26" s="46" t="n"/>
      <c r="AR26" s="46" t="n"/>
      <c r="AS26" s="46" t="n"/>
      <c r="AV26" s="36">
        <f>IF($C26="","",EMPLOYES!M29)</f>
        <v/>
      </c>
      <c r="AW26" s="36">
        <f>IF($C26="",0,SUMPRODUCT(--(O26:AS26="C")))</f>
        <v/>
      </c>
      <c r="AX26" s="36">
        <f>IF($C26="",0,SUMPRODUCT(--(O26:AS26="R")))</f>
        <v/>
      </c>
      <c r="AY26" s="44" t="n"/>
    </row>
    <row r="27" outlineLevel="1" ht="15" customHeight="1" s="15">
      <c r="B27" s="41" t="n">
        <v>1</v>
      </c>
      <c r="C27" s="42">
        <f>IF(EMPLOYES!C30="","",EMPLOYES!C30)</f>
        <v/>
      </c>
      <c r="D27" s="43">
        <f>IF(EMPLOYES!C30="","",EMPLOYES!D30)</f>
        <v/>
      </c>
      <c r="E27" s="44" t="n"/>
      <c r="F27" s="42" t="n"/>
      <c r="G27" s="41">
        <f>IF($C27="",0,MAX(0,$M27-$N27))</f>
        <v/>
      </c>
      <c r="H27" s="45" t="n"/>
      <c r="I27" s="41">
        <f>IF($C27="","",IF(H27="","OK",IF(H27&gt;EMPLOYES!P30,"⚠ Avance &gt; salaire",IF(H27&gt;EMPLOYES!P30*PARAMETRES!$C$218,"⚠ Avance élevée","OK"))))</f>
        <v/>
      </c>
      <c r="J27" s="45" t="n"/>
      <c r="K27" s="46" t="n"/>
      <c r="L27" s="46" t="n"/>
      <c r="M27" s="41">
        <f>IF($C27="","",SUMPRODUCT((PARAMETRES!$B$38:$B$157=PARAMETRES!$C$29)*(PARAMETRES!$C$38:$C$157=1)*(IF(EMPLOYES!M30="5j",PARAMETRES!$I$38:$I$157,PARAMETRES!$H$38:$H$157))))</f>
        <v/>
      </c>
      <c r="N27" s="41">
        <f>IF($C27="","",SUMPRODUCT((O27:AS27="P")+(O27:AS27="F")+(O27:AS27="C")+0.5*(O27:AS27="D"),(1-((O9:AS9=6)*(EMPLOYES!M30="5j")))))</f>
        <v/>
      </c>
      <c r="O27" s="46" t="n"/>
      <c r="P27" s="46" t="n"/>
      <c r="Q27" s="46" t="n"/>
      <c r="R27" s="46" t="n"/>
      <c r="S27" s="46" t="n"/>
      <c r="T27" s="46" t="n"/>
      <c r="U27" s="46" t="n"/>
      <c r="V27" s="46" t="n"/>
      <c r="W27" s="46" t="n"/>
      <c r="X27" s="46" t="n"/>
      <c r="Y27" s="46" t="n"/>
      <c r="Z27" s="46" t="n"/>
      <c r="AA27" s="46" t="n"/>
      <c r="AB27" s="46" t="n"/>
      <c r="AC27" s="46" t="n"/>
      <c r="AD27" s="46" t="n"/>
      <c r="AE27" s="46" t="n"/>
      <c r="AF27" s="46" t="n"/>
      <c r="AG27" s="46" t="n"/>
      <c r="AH27" s="46" t="n"/>
      <c r="AI27" s="46" t="n"/>
      <c r="AJ27" s="46" t="n"/>
      <c r="AK27" s="46" t="n"/>
      <c r="AL27" s="46" t="n"/>
      <c r="AM27" s="46" t="n"/>
      <c r="AN27" s="46" t="n"/>
      <c r="AO27" s="46" t="n"/>
      <c r="AP27" s="46" t="n"/>
      <c r="AQ27" s="46" t="n"/>
      <c r="AR27" s="46" t="n"/>
      <c r="AS27" s="46" t="n"/>
      <c r="AV27" s="36">
        <f>IF($C27="","",EMPLOYES!M30)</f>
        <v/>
      </c>
      <c r="AW27" s="36">
        <f>IF($C27="",0,SUMPRODUCT(--(O27:AS27="C")))</f>
        <v/>
      </c>
      <c r="AX27" s="36">
        <f>IF($C27="",0,SUMPRODUCT(--(O27:AS27="R")))</f>
        <v/>
      </c>
      <c r="AY27" s="44" t="n"/>
    </row>
    <row r="28" outlineLevel="1" ht="15" customHeight="1" s="15">
      <c r="B28" s="41" t="n">
        <v>1</v>
      </c>
      <c r="C28" s="42">
        <f>IF(EMPLOYES!C31="","",EMPLOYES!C31)</f>
        <v/>
      </c>
      <c r="D28" s="43">
        <f>IF(EMPLOYES!C31="","",EMPLOYES!D31)</f>
        <v/>
      </c>
      <c r="E28" s="44" t="n"/>
      <c r="F28" s="42" t="n"/>
      <c r="G28" s="41">
        <f>IF($C28="",0,MAX(0,$M28-$N28))</f>
        <v/>
      </c>
      <c r="H28" s="45" t="n"/>
      <c r="I28" s="41">
        <f>IF($C28="","",IF(H28="","OK",IF(H28&gt;EMPLOYES!P31,"⚠ Avance &gt; salaire",IF(H28&gt;EMPLOYES!P31*PARAMETRES!$C$218,"⚠ Avance élevée","OK"))))</f>
        <v/>
      </c>
      <c r="J28" s="45" t="n"/>
      <c r="K28" s="46" t="n"/>
      <c r="L28" s="46" t="n"/>
      <c r="M28" s="41">
        <f>IF($C28="","",SUMPRODUCT((PARAMETRES!$B$38:$B$157=PARAMETRES!$C$29)*(PARAMETRES!$C$38:$C$157=1)*(IF(EMPLOYES!M31="5j",PARAMETRES!$I$38:$I$157,PARAMETRES!$H$38:$H$157))))</f>
        <v/>
      </c>
      <c r="N28" s="41">
        <f>IF($C28="","",SUMPRODUCT((O28:AS28="P")+(O28:AS28="F")+(O28:AS28="C")+0.5*(O28:AS28="D"),(1-((O9:AS9=6)*(EMPLOYES!M31="5j")))))</f>
        <v/>
      </c>
      <c r="O28" s="46" t="n"/>
      <c r="P28" s="46" t="n"/>
      <c r="Q28" s="46" t="n"/>
      <c r="R28" s="46" t="n"/>
      <c r="S28" s="46" t="n"/>
      <c r="T28" s="46" t="n"/>
      <c r="U28" s="46" t="n"/>
      <c r="V28" s="46" t="n"/>
      <c r="W28" s="46" t="n"/>
      <c r="X28" s="46" t="n"/>
      <c r="Y28" s="46" t="n"/>
      <c r="Z28" s="46" t="n"/>
      <c r="AA28" s="46" t="n"/>
      <c r="AB28" s="46" t="n"/>
      <c r="AC28" s="46" t="n"/>
      <c r="AD28" s="46" t="n"/>
      <c r="AE28" s="46" t="n"/>
      <c r="AF28" s="46" t="n"/>
      <c r="AG28" s="46" t="n"/>
      <c r="AH28" s="46" t="n"/>
      <c r="AI28" s="46" t="n"/>
      <c r="AJ28" s="46" t="n"/>
      <c r="AK28" s="46" t="n"/>
      <c r="AL28" s="46" t="n"/>
      <c r="AM28" s="46" t="n"/>
      <c r="AN28" s="46" t="n"/>
      <c r="AO28" s="46" t="n"/>
      <c r="AP28" s="46" t="n"/>
      <c r="AQ28" s="46" t="n"/>
      <c r="AR28" s="46" t="n"/>
      <c r="AS28" s="46" t="n"/>
      <c r="AV28" s="36">
        <f>IF($C28="","",EMPLOYES!M31)</f>
        <v/>
      </c>
      <c r="AW28" s="36">
        <f>IF($C28="",0,SUMPRODUCT(--(O28:AS28="C")))</f>
        <v/>
      </c>
      <c r="AX28" s="36">
        <f>IF($C28="",0,SUMPRODUCT(--(O28:AS28="R")))</f>
        <v/>
      </c>
      <c r="AY28" s="44" t="n"/>
    </row>
    <row r="29" outlineLevel="1" ht="15" customHeight="1" s="15">
      <c r="B29" s="41" t="n">
        <v>1</v>
      </c>
      <c r="C29" s="42">
        <f>IF(EMPLOYES!C32="","",EMPLOYES!C32)</f>
        <v/>
      </c>
      <c r="D29" s="43">
        <f>IF(EMPLOYES!C32="","",EMPLOYES!D32)</f>
        <v/>
      </c>
      <c r="E29" s="44" t="n"/>
      <c r="F29" s="42" t="n"/>
      <c r="G29" s="41">
        <f>IF($C29="",0,MAX(0,$M29-$N29))</f>
        <v/>
      </c>
      <c r="H29" s="45" t="n"/>
      <c r="I29" s="41">
        <f>IF($C29="","",IF(H29="","OK",IF(H29&gt;EMPLOYES!P32,"⚠ Avance &gt; salaire",IF(H29&gt;EMPLOYES!P32*PARAMETRES!$C$218,"⚠ Avance élevée","OK"))))</f>
        <v/>
      </c>
      <c r="J29" s="45" t="n"/>
      <c r="K29" s="46" t="n"/>
      <c r="L29" s="46" t="n"/>
      <c r="M29" s="41">
        <f>IF($C29="","",SUMPRODUCT((PARAMETRES!$B$38:$B$157=PARAMETRES!$C$29)*(PARAMETRES!$C$38:$C$157=1)*(IF(EMPLOYES!M32="5j",PARAMETRES!$I$38:$I$157,PARAMETRES!$H$38:$H$157))))</f>
        <v/>
      </c>
      <c r="N29" s="41">
        <f>IF($C29="","",SUMPRODUCT((O29:AS29="P")+(O29:AS29="F")+(O29:AS29="C")+0.5*(O29:AS29="D"),(1-((O9:AS9=6)*(EMPLOYES!M32="5j")))))</f>
        <v/>
      </c>
      <c r="O29" s="46" t="n"/>
      <c r="P29" s="46" t="n"/>
      <c r="Q29" s="46" t="n"/>
      <c r="R29" s="46" t="n"/>
      <c r="S29" s="46" t="n"/>
      <c r="T29" s="46" t="n"/>
      <c r="U29" s="46" t="n"/>
      <c r="V29" s="46" t="n"/>
      <c r="W29" s="46" t="n"/>
      <c r="X29" s="46" t="n"/>
      <c r="Y29" s="46" t="n"/>
      <c r="Z29" s="46" t="n"/>
      <c r="AA29" s="46" t="n"/>
      <c r="AB29" s="46" t="n"/>
      <c r="AC29" s="46" t="n"/>
      <c r="AD29" s="46" t="n"/>
      <c r="AE29" s="46" t="n"/>
      <c r="AF29" s="46" t="n"/>
      <c r="AG29" s="46" t="n"/>
      <c r="AH29" s="46" t="n"/>
      <c r="AI29" s="46" t="n"/>
      <c r="AJ29" s="46" t="n"/>
      <c r="AK29" s="46" t="n"/>
      <c r="AL29" s="46" t="n"/>
      <c r="AM29" s="46" t="n"/>
      <c r="AN29" s="46" t="n"/>
      <c r="AO29" s="46" t="n"/>
      <c r="AP29" s="46" t="n"/>
      <c r="AQ29" s="46" t="n"/>
      <c r="AR29" s="46" t="n"/>
      <c r="AS29" s="46" t="n"/>
      <c r="AV29" s="36">
        <f>IF($C29="","",EMPLOYES!M32)</f>
        <v/>
      </c>
      <c r="AW29" s="36">
        <f>IF($C29="",0,SUMPRODUCT(--(O29:AS29="C")))</f>
        <v/>
      </c>
      <c r="AX29" s="36">
        <f>IF($C29="",0,SUMPRODUCT(--(O29:AS29="R")))</f>
        <v/>
      </c>
      <c r="AY29" s="44" t="n"/>
    </row>
    <row r="30" outlineLevel="1" ht="15" customHeight="1" s="15">
      <c r="B30" s="41" t="n">
        <v>1</v>
      </c>
      <c r="C30" s="42">
        <f>IF(EMPLOYES!C33="","",EMPLOYES!C33)</f>
        <v/>
      </c>
      <c r="D30" s="43">
        <f>IF(EMPLOYES!C33="","",EMPLOYES!D33)</f>
        <v/>
      </c>
      <c r="E30" s="44" t="n"/>
      <c r="F30" s="42" t="n"/>
      <c r="G30" s="41">
        <f>IF($C30="",0,MAX(0,$M30-$N30))</f>
        <v/>
      </c>
      <c r="H30" s="45" t="n"/>
      <c r="I30" s="41">
        <f>IF($C30="","",IF(H30="","OK",IF(H30&gt;EMPLOYES!P33,"⚠ Avance &gt; salaire",IF(H30&gt;EMPLOYES!P33*PARAMETRES!$C$218,"⚠ Avance élevée","OK"))))</f>
        <v/>
      </c>
      <c r="J30" s="45" t="n"/>
      <c r="K30" s="46" t="n"/>
      <c r="L30" s="46" t="n"/>
      <c r="M30" s="41">
        <f>IF($C30="","",SUMPRODUCT((PARAMETRES!$B$38:$B$157=PARAMETRES!$C$29)*(PARAMETRES!$C$38:$C$157=1)*(IF(EMPLOYES!M33="5j",PARAMETRES!$I$38:$I$157,PARAMETRES!$H$38:$H$157))))</f>
        <v/>
      </c>
      <c r="N30" s="41">
        <f>IF($C30="","",SUMPRODUCT((O30:AS30="P")+(O30:AS30="F")+(O30:AS30="C")+0.5*(O30:AS30="D"),(1-((O9:AS9=6)*(EMPLOYES!M33="5j")))))</f>
        <v/>
      </c>
      <c r="O30" s="46" t="n"/>
      <c r="P30" s="46" t="n"/>
      <c r="Q30" s="46" t="n"/>
      <c r="R30" s="46" t="n"/>
      <c r="S30" s="46" t="n"/>
      <c r="T30" s="46" t="n"/>
      <c r="U30" s="46" t="n"/>
      <c r="V30" s="46" t="n"/>
      <c r="W30" s="46" t="n"/>
      <c r="X30" s="46" t="n"/>
      <c r="Y30" s="46" t="n"/>
      <c r="Z30" s="46" t="n"/>
      <c r="AA30" s="46" t="n"/>
      <c r="AB30" s="46" t="n"/>
      <c r="AC30" s="46" t="n"/>
      <c r="AD30" s="46" t="n"/>
      <c r="AE30" s="46" t="n"/>
      <c r="AF30" s="46" t="n"/>
      <c r="AG30" s="46" t="n"/>
      <c r="AH30" s="46" t="n"/>
      <c r="AI30" s="46" t="n"/>
      <c r="AJ30" s="46" t="n"/>
      <c r="AK30" s="46" t="n"/>
      <c r="AL30" s="46" t="n"/>
      <c r="AM30" s="46" t="n"/>
      <c r="AN30" s="46" t="n"/>
      <c r="AO30" s="46" t="n"/>
      <c r="AP30" s="46" t="n"/>
      <c r="AQ30" s="46" t="n"/>
      <c r="AR30" s="46" t="n"/>
      <c r="AS30" s="46" t="n"/>
      <c r="AV30" s="36">
        <f>IF($C30="","",EMPLOYES!M33)</f>
        <v/>
      </c>
      <c r="AW30" s="36">
        <f>IF($C30="",0,SUMPRODUCT(--(O30:AS30="C")))</f>
        <v/>
      </c>
      <c r="AX30" s="36">
        <f>IF($C30="",0,SUMPRODUCT(--(O30:AS30="R")))</f>
        <v/>
      </c>
      <c r="AY30" s="44" t="n"/>
    </row>
    <row r="31" outlineLevel="1" ht="15" customHeight="1" s="15">
      <c r="B31" s="41" t="n">
        <v>1</v>
      </c>
      <c r="C31" s="42">
        <f>IF(EMPLOYES!C34="","",EMPLOYES!C34)</f>
        <v/>
      </c>
      <c r="D31" s="43">
        <f>IF(EMPLOYES!C34="","",EMPLOYES!D34)</f>
        <v/>
      </c>
      <c r="E31" s="44" t="n"/>
      <c r="F31" s="42" t="n"/>
      <c r="G31" s="41">
        <f>IF($C31="",0,MAX(0,$M31-$N31))</f>
        <v/>
      </c>
      <c r="H31" s="45" t="n"/>
      <c r="I31" s="41">
        <f>IF($C31="","",IF(H31="","OK",IF(H31&gt;EMPLOYES!P34,"⚠ Avance &gt; salaire",IF(H31&gt;EMPLOYES!P34*PARAMETRES!$C$218,"⚠ Avance élevée","OK"))))</f>
        <v/>
      </c>
      <c r="J31" s="45" t="n"/>
      <c r="K31" s="46" t="n"/>
      <c r="L31" s="46" t="n"/>
      <c r="M31" s="41">
        <f>IF($C31="","",SUMPRODUCT((PARAMETRES!$B$38:$B$157=PARAMETRES!$C$29)*(PARAMETRES!$C$38:$C$157=1)*(IF(EMPLOYES!M34="5j",PARAMETRES!$I$38:$I$157,PARAMETRES!$H$38:$H$157))))</f>
        <v/>
      </c>
      <c r="N31" s="41">
        <f>IF($C31="","",SUMPRODUCT((O31:AS31="P")+(O31:AS31="F")+(O31:AS31="C")+0.5*(O31:AS31="D"),(1-((O9:AS9=6)*(EMPLOYES!M34="5j")))))</f>
        <v/>
      </c>
      <c r="O31" s="46" t="n"/>
      <c r="P31" s="46" t="n"/>
      <c r="Q31" s="46" t="n"/>
      <c r="R31" s="46" t="n"/>
      <c r="S31" s="46" t="n"/>
      <c r="T31" s="46" t="n"/>
      <c r="U31" s="46" t="n"/>
      <c r="V31" s="46" t="n"/>
      <c r="W31" s="46" t="n"/>
      <c r="X31" s="46" t="n"/>
      <c r="Y31" s="46" t="n"/>
      <c r="Z31" s="46" t="n"/>
      <c r="AA31" s="46" t="n"/>
      <c r="AB31" s="46" t="n"/>
      <c r="AC31" s="46" t="n"/>
      <c r="AD31" s="46" t="n"/>
      <c r="AE31" s="46" t="n"/>
      <c r="AF31" s="46" t="n"/>
      <c r="AG31" s="46" t="n"/>
      <c r="AH31" s="46" t="n"/>
      <c r="AI31" s="46" t="n"/>
      <c r="AJ31" s="46" t="n"/>
      <c r="AK31" s="46" t="n"/>
      <c r="AL31" s="46" t="n"/>
      <c r="AM31" s="46" t="n"/>
      <c r="AN31" s="46" t="n"/>
      <c r="AO31" s="46" t="n"/>
      <c r="AP31" s="46" t="n"/>
      <c r="AQ31" s="46" t="n"/>
      <c r="AR31" s="46" t="n"/>
      <c r="AS31" s="46" t="n"/>
      <c r="AV31" s="36">
        <f>IF($C31="","",EMPLOYES!M34)</f>
        <v/>
      </c>
      <c r="AW31" s="36">
        <f>IF($C31="",0,SUMPRODUCT(--(O31:AS31="C")))</f>
        <v/>
      </c>
      <c r="AX31" s="36">
        <f>IF($C31="",0,SUMPRODUCT(--(O31:AS31="R")))</f>
        <v/>
      </c>
      <c r="AY31" s="44" t="n"/>
    </row>
    <row r="32" outlineLevel="1" ht="15" customHeight="1" s="15">
      <c r="B32" s="41" t="n">
        <v>1</v>
      </c>
      <c r="C32" s="42">
        <f>IF(EMPLOYES!C35="","",EMPLOYES!C35)</f>
        <v/>
      </c>
      <c r="D32" s="43">
        <f>IF(EMPLOYES!C35="","",EMPLOYES!D35)</f>
        <v/>
      </c>
      <c r="E32" s="44" t="n"/>
      <c r="F32" s="42" t="n"/>
      <c r="G32" s="41">
        <f>IF($C32="",0,MAX(0,$M32-$N32))</f>
        <v/>
      </c>
      <c r="H32" s="45" t="n"/>
      <c r="I32" s="41">
        <f>IF($C32="","",IF(H32="","OK",IF(H32&gt;EMPLOYES!P35,"⚠ Avance &gt; salaire",IF(H32&gt;EMPLOYES!P35*PARAMETRES!$C$218,"⚠ Avance élevée","OK"))))</f>
        <v/>
      </c>
      <c r="J32" s="45" t="n"/>
      <c r="K32" s="46" t="n"/>
      <c r="L32" s="46" t="n"/>
      <c r="M32" s="41">
        <f>IF($C32="","",SUMPRODUCT((PARAMETRES!$B$38:$B$157=PARAMETRES!$C$29)*(PARAMETRES!$C$38:$C$157=1)*(IF(EMPLOYES!M35="5j",PARAMETRES!$I$38:$I$157,PARAMETRES!$H$38:$H$157))))</f>
        <v/>
      </c>
      <c r="N32" s="41">
        <f>IF($C32="","",SUMPRODUCT((O32:AS32="P")+(O32:AS32="F")+(O32:AS32="C")+0.5*(O32:AS32="D"),(1-((O9:AS9=6)*(EMPLOYES!M35="5j")))))</f>
        <v/>
      </c>
      <c r="O32" s="46" t="n"/>
      <c r="P32" s="46" t="n"/>
      <c r="Q32" s="46" t="n"/>
      <c r="R32" s="46" t="n"/>
      <c r="S32" s="46" t="n"/>
      <c r="T32" s="46" t="n"/>
      <c r="U32" s="46" t="n"/>
      <c r="V32" s="46" t="n"/>
      <c r="W32" s="46" t="n"/>
      <c r="X32" s="46" t="n"/>
      <c r="Y32" s="46" t="n"/>
      <c r="Z32" s="46" t="n"/>
      <c r="AA32" s="46" t="n"/>
      <c r="AB32" s="46" t="n"/>
      <c r="AC32" s="46" t="n"/>
      <c r="AD32" s="46" t="n"/>
      <c r="AE32" s="46" t="n"/>
      <c r="AF32" s="46" t="n"/>
      <c r="AG32" s="46" t="n"/>
      <c r="AH32" s="46" t="n"/>
      <c r="AI32" s="46" t="n"/>
      <c r="AJ32" s="46" t="n"/>
      <c r="AK32" s="46" t="n"/>
      <c r="AL32" s="46" t="n"/>
      <c r="AM32" s="46" t="n"/>
      <c r="AN32" s="46" t="n"/>
      <c r="AO32" s="46" t="n"/>
      <c r="AP32" s="46" t="n"/>
      <c r="AQ32" s="46" t="n"/>
      <c r="AR32" s="46" t="n"/>
      <c r="AS32" s="46" t="n"/>
      <c r="AV32" s="36">
        <f>IF($C32="","",EMPLOYES!M35)</f>
        <v/>
      </c>
      <c r="AW32" s="36">
        <f>IF($C32="",0,SUMPRODUCT(--(O32:AS32="C")))</f>
        <v/>
      </c>
      <c r="AX32" s="36">
        <f>IF($C32="",0,SUMPRODUCT(--(O32:AS32="R")))</f>
        <v/>
      </c>
      <c r="AY32" s="44" t="n"/>
    </row>
    <row r="33" outlineLevel="1" ht="15" customHeight="1" s="15">
      <c r="B33" s="41" t="n">
        <v>1</v>
      </c>
      <c r="C33" s="42">
        <f>IF(EMPLOYES!C36="","",EMPLOYES!C36)</f>
        <v/>
      </c>
      <c r="D33" s="43">
        <f>IF(EMPLOYES!C36="","",EMPLOYES!D36)</f>
        <v/>
      </c>
      <c r="E33" s="44" t="n"/>
      <c r="F33" s="42" t="n"/>
      <c r="G33" s="41">
        <f>IF($C33="",0,MAX(0,$M33-$N33))</f>
        <v/>
      </c>
      <c r="H33" s="45" t="n"/>
      <c r="I33" s="41">
        <f>IF($C33="","",IF(H33="","OK",IF(H33&gt;EMPLOYES!P36,"⚠ Avance &gt; salaire",IF(H33&gt;EMPLOYES!P36*PARAMETRES!$C$218,"⚠ Avance élevée","OK"))))</f>
        <v/>
      </c>
      <c r="J33" s="45" t="n"/>
      <c r="K33" s="46" t="n"/>
      <c r="L33" s="46" t="n"/>
      <c r="M33" s="41">
        <f>IF($C33="","",SUMPRODUCT((PARAMETRES!$B$38:$B$157=PARAMETRES!$C$29)*(PARAMETRES!$C$38:$C$157=1)*(IF(EMPLOYES!M36="5j",PARAMETRES!$I$38:$I$157,PARAMETRES!$H$38:$H$157))))</f>
        <v/>
      </c>
      <c r="N33" s="41">
        <f>IF($C33="","",SUMPRODUCT((O33:AS33="P")+(O33:AS33="F")+(O33:AS33="C")+0.5*(O33:AS33="D"),(1-((O9:AS9=6)*(EMPLOYES!M36="5j")))))</f>
        <v/>
      </c>
      <c r="O33" s="46" t="n"/>
      <c r="P33" s="46" t="n"/>
      <c r="Q33" s="46" t="n"/>
      <c r="R33" s="46" t="n"/>
      <c r="S33" s="46" t="n"/>
      <c r="T33" s="46" t="n"/>
      <c r="U33" s="46" t="n"/>
      <c r="V33" s="46" t="n"/>
      <c r="W33" s="46" t="n"/>
      <c r="X33" s="46" t="n"/>
      <c r="Y33" s="46" t="n"/>
      <c r="Z33" s="46" t="n"/>
      <c r="AA33" s="46" t="n"/>
      <c r="AB33" s="46" t="n"/>
      <c r="AC33" s="46" t="n"/>
      <c r="AD33" s="46" t="n"/>
      <c r="AE33" s="46" t="n"/>
      <c r="AF33" s="46" t="n"/>
      <c r="AG33" s="46" t="n"/>
      <c r="AH33" s="46" t="n"/>
      <c r="AI33" s="46" t="n"/>
      <c r="AJ33" s="46" t="n"/>
      <c r="AK33" s="46" t="n"/>
      <c r="AL33" s="46" t="n"/>
      <c r="AM33" s="46" t="n"/>
      <c r="AN33" s="46" t="n"/>
      <c r="AO33" s="46" t="n"/>
      <c r="AP33" s="46" t="n"/>
      <c r="AQ33" s="46" t="n"/>
      <c r="AR33" s="46" t="n"/>
      <c r="AS33" s="46" t="n"/>
      <c r="AV33" s="36">
        <f>IF($C33="","",EMPLOYES!M36)</f>
        <v/>
      </c>
      <c r="AW33" s="36">
        <f>IF($C33="",0,SUMPRODUCT(--(O33:AS33="C")))</f>
        <v/>
      </c>
      <c r="AX33" s="36">
        <f>IF($C33="",0,SUMPRODUCT(--(O33:AS33="R")))</f>
        <v/>
      </c>
      <c r="AY33" s="44" t="n"/>
    </row>
    <row r="34" outlineLevel="1" ht="15" customHeight="1" s="15">
      <c r="B34" s="41" t="n">
        <v>1</v>
      </c>
      <c r="C34" s="42">
        <f>IF(EMPLOYES!C37="","",EMPLOYES!C37)</f>
        <v/>
      </c>
      <c r="D34" s="43">
        <f>IF(EMPLOYES!C37="","",EMPLOYES!D37)</f>
        <v/>
      </c>
      <c r="E34" s="44" t="n"/>
      <c r="F34" s="42" t="n"/>
      <c r="G34" s="41">
        <f>IF($C34="",0,MAX(0,$M34-$N34))</f>
        <v/>
      </c>
      <c r="H34" s="45" t="n"/>
      <c r="I34" s="41">
        <f>IF($C34="","",IF(H34="","OK",IF(H34&gt;EMPLOYES!P37,"⚠ Avance &gt; salaire",IF(H34&gt;EMPLOYES!P37*PARAMETRES!$C$218,"⚠ Avance élevée","OK"))))</f>
        <v/>
      </c>
      <c r="J34" s="45" t="n"/>
      <c r="K34" s="46" t="n"/>
      <c r="L34" s="46" t="n"/>
      <c r="M34" s="41">
        <f>IF($C34="","",SUMPRODUCT((PARAMETRES!$B$38:$B$157=PARAMETRES!$C$29)*(PARAMETRES!$C$38:$C$157=1)*(IF(EMPLOYES!M37="5j",PARAMETRES!$I$38:$I$157,PARAMETRES!$H$38:$H$157))))</f>
        <v/>
      </c>
      <c r="N34" s="41">
        <f>IF($C34="","",SUMPRODUCT((O34:AS34="P")+(O34:AS34="F")+(O34:AS34="C")+0.5*(O34:AS34="D"),(1-((O9:AS9=6)*(EMPLOYES!M37="5j")))))</f>
        <v/>
      </c>
      <c r="O34" s="46" t="n"/>
      <c r="P34" s="46" t="n"/>
      <c r="Q34" s="46" t="n"/>
      <c r="R34" s="46" t="n"/>
      <c r="S34" s="46" t="n"/>
      <c r="T34" s="46" t="n"/>
      <c r="U34" s="46" t="n"/>
      <c r="V34" s="46" t="n"/>
      <c r="W34" s="46" t="n"/>
      <c r="X34" s="46" t="n"/>
      <c r="Y34" s="46" t="n"/>
      <c r="Z34" s="46" t="n"/>
      <c r="AA34" s="46" t="n"/>
      <c r="AB34" s="46" t="n"/>
      <c r="AC34" s="46" t="n"/>
      <c r="AD34" s="46" t="n"/>
      <c r="AE34" s="46" t="n"/>
      <c r="AF34" s="46" t="n"/>
      <c r="AG34" s="46" t="n"/>
      <c r="AH34" s="46" t="n"/>
      <c r="AI34" s="46" t="n"/>
      <c r="AJ34" s="46" t="n"/>
      <c r="AK34" s="46" t="n"/>
      <c r="AL34" s="46" t="n"/>
      <c r="AM34" s="46" t="n"/>
      <c r="AN34" s="46" t="n"/>
      <c r="AO34" s="46" t="n"/>
      <c r="AP34" s="46" t="n"/>
      <c r="AQ34" s="46" t="n"/>
      <c r="AR34" s="46" t="n"/>
      <c r="AS34" s="46" t="n"/>
      <c r="AV34" s="36">
        <f>IF($C34="","",EMPLOYES!M37)</f>
        <v/>
      </c>
      <c r="AW34" s="36">
        <f>IF($C34="",0,SUMPRODUCT(--(O34:AS34="C")))</f>
        <v/>
      </c>
      <c r="AX34" s="36">
        <f>IF($C34="",0,SUMPRODUCT(--(O34:AS34="R")))</f>
        <v/>
      </c>
      <c r="AY34" s="44" t="n"/>
    </row>
    <row r="35" outlineLevel="1" ht="15" customHeight="1" s="15">
      <c r="B35" s="41" t="n">
        <v>1</v>
      </c>
      <c r="C35" s="42">
        <f>IF(EMPLOYES!C38="","",EMPLOYES!C38)</f>
        <v/>
      </c>
      <c r="D35" s="43">
        <f>IF(EMPLOYES!C38="","",EMPLOYES!D38)</f>
        <v/>
      </c>
      <c r="E35" s="44" t="n"/>
      <c r="F35" s="42" t="n"/>
      <c r="G35" s="41">
        <f>IF($C35="",0,MAX(0,$M35-$N35))</f>
        <v/>
      </c>
      <c r="H35" s="45" t="n"/>
      <c r="I35" s="41">
        <f>IF($C35="","",IF(H35="","OK",IF(H35&gt;EMPLOYES!P38,"⚠ Avance &gt; salaire",IF(H35&gt;EMPLOYES!P38*PARAMETRES!$C$218,"⚠ Avance élevée","OK"))))</f>
        <v/>
      </c>
      <c r="J35" s="45" t="n"/>
      <c r="K35" s="46" t="n"/>
      <c r="L35" s="46" t="n"/>
      <c r="M35" s="41">
        <f>IF($C35="","",SUMPRODUCT((PARAMETRES!$B$38:$B$157=PARAMETRES!$C$29)*(PARAMETRES!$C$38:$C$157=1)*(IF(EMPLOYES!M38="5j",PARAMETRES!$I$38:$I$157,PARAMETRES!$H$38:$H$157))))</f>
        <v/>
      </c>
      <c r="N35" s="41">
        <f>IF($C35="","",SUMPRODUCT((O35:AS35="P")+(O35:AS35="F")+(O35:AS35="C")+0.5*(O35:AS35="D"),(1-((O9:AS9=6)*(EMPLOYES!M38="5j")))))</f>
        <v/>
      </c>
      <c r="O35" s="46" t="n"/>
      <c r="P35" s="46" t="n"/>
      <c r="Q35" s="46" t="n"/>
      <c r="R35" s="46" t="n"/>
      <c r="S35" s="46" t="n"/>
      <c r="T35" s="46" t="n"/>
      <c r="U35" s="46" t="n"/>
      <c r="V35" s="46" t="n"/>
      <c r="W35" s="46" t="n"/>
      <c r="X35" s="46" t="n"/>
      <c r="Y35" s="46" t="n"/>
      <c r="Z35" s="46" t="n"/>
      <c r="AA35" s="46" t="n"/>
      <c r="AB35" s="46" t="n"/>
      <c r="AC35" s="46" t="n"/>
      <c r="AD35" s="46" t="n"/>
      <c r="AE35" s="46" t="n"/>
      <c r="AF35" s="46" t="n"/>
      <c r="AG35" s="46" t="n"/>
      <c r="AH35" s="46" t="n"/>
      <c r="AI35" s="46" t="n"/>
      <c r="AJ35" s="46" t="n"/>
      <c r="AK35" s="46" t="n"/>
      <c r="AL35" s="46" t="n"/>
      <c r="AM35" s="46" t="n"/>
      <c r="AN35" s="46" t="n"/>
      <c r="AO35" s="46" t="n"/>
      <c r="AP35" s="46" t="n"/>
      <c r="AQ35" s="46" t="n"/>
      <c r="AR35" s="46" t="n"/>
      <c r="AS35" s="46" t="n"/>
      <c r="AV35" s="36">
        <f>IF($C35="","",EMPLOYES!M38)</f>
        <v/>
      </c>
      <c r="AW35" s="36">
        <f>IF($C35="",0,SUMPRODUCT(--(O35:AS35="C")))</f>
        <v/>
      </c>
      <c r="AX35" s="36">
        <f>IF($C35="",0,SUMPRODUCT(--(O35:AS35="R")))</f>
        <v/>
      </c>
      <c r="AY35" s="44" t="n"/>
    </row>
    <row r="36" outlineLevel="1" ht="15" customHeight="1" s="15">
      <c r="B36" s="41" t="n">
        <v>1</v>
      </c>
      <c r="C36" s="42">
        <f>IF(EMPLOYES!C39="","",EMPLOYES!C39)</f>
        <v/>
      </c>
      <c r="D36" s="43">
        <f>IF(EMPLOYES!C39="","",EMPLOYES!D39)</f>
        <v/>
      </c>
      <c r="E36" s="44" t="n"/>
      <c r="F36" s="42" t="n"/>
      <c r="G36" s="41">
        <f>IF($C36="",0,MAX(0,$M36-$N36))</f>
        <v/>
      </c>
      <c r="H36" s="45" t="n"/>
      <c r="I36" s="41">
        <f>IF($C36="","",IF(H36="","OK",IF(H36&gt;EMPLOYES!P39,"⚠ Avance &gt; salaire",IF(H36&gt;EMPLOYES!P39*PARAMETRES!$C$218,"⚠ Avance élevée","OK"))))</f>
        <v/>
      </c>
      <c r="J36" s="45" t="n"/>
      <c r="K36" s="46" t="n"/>
      <c r="L36" s="46" t="n"/>
      <c r="M36" s="41">
        <f>IF($C36="","",SUMPRODUCT((PARAMETRES!$B$38:$B$157=PARAMETRES!$C$29)*(PARAMETRES!$C$38:$C$157=1)*(IF(EMPLOYES!M39="5j",PARAMETRES!$I$38:$I$157,PARAMETRES!$H$38:$H$157))))</f>
        <v/>
      </c>
      <c r="N36" s="41">
        <f>IF($C36="","",SUMPRODUCT((O36:AS36="P")+(O36:AS36="F")+(O36:AS36="C")+0.5*(O36:AS36="D"),(1-((O9:AS9=6)*(EMPLOYES!M39="5j")))))</f>
        <v/>
      </c>
      <c r="O36" s="46" t="n"/>
      <c r="P36" s="46" t="n"/>
      <c r="Q36" s="46" t="n"/>
      <c r="R36" s="46" t="n"/>
      <c r="S36" s="46" t="n"/>
      <c r="T36" s="46" t="n"/>
      <c r="U36" s="46" t="n"/>
      <c r="V36" s="46" t="n"/>
      <c r="W36" s="46" t="n"/>
      <c r="X36" s="46" t="n"/>
      <c r="Y36" s="46" t="n"/>
      <c r="Z36" s="46" t="n"/>
      <c r="AA36" s="46" t="n"/>
      <c r="AB36" s="46" t="n"/>
      <c r="AC36" s="46" t="n"/>
      <c r="AD36" s="46" t="n"/>
      <c r="AE36" s="46" t="n"/>
      <c r="AF36" s="46" t="n"/>
      <c r="AG36" s="46" t="n"/>
      <c r="AH36" s="46" t="n"/>
      <c r="AI36" s="46" t="n"/>
      <c r="AJ36" s="46" t="n"/>
      <c r="AK36" s="46" t="n"/>
      <c r="AL36" s="46" t="n"/>
      <c r="AM36" s="46" t="n"/>
      <c r="AN36" s="46" t="n"/>
      <c r="AO36" s="46" t="n"/>
      <c r="AP36" s="46" t="n"/>
      <c r="AQ36" s="46" t="n"/>
      <c r="AR36" s="46" t="n"/>
      <c r="AS36" s="46" t="n"/>
      <c r="AV36" s="36">
        <f>IF($C36="","",EMPLOYES!M39)</f>
        <v/>
      </c>
      <c r="AW36" s="36">
        <f>IF($C36="",0,SUMPRODUCT(--(O36:AS36="C")))</f>
        <v/>
      </c>
      <c r="AX36" s="36">
        <f>IF($C36="",0,SUMPRODUCT(--(O36:AS36="R")))</f>
        <v/>
      </c>
      <c r="AY36" s="44" t="n"/>
    </row>
    <row r="37" outlineLevel="1" ht="15" customHeight="1" s="15">
      <c r="B37" s="41" t="n">
        <v>1</v>
      </c>
      <c r="C37" s="42">
        <f>IF(EMPLOYES!C40="","",EMPLOYES!C40)</f>
        <v/>
      </c>
      <c r="D37" s="43">
        <f>IF(EMPLOYES!C40="","",EMPLOYES!D40)</f>
        <v/>
      </c>
      <c r="E37" s="44" t="n"/>
      <c r="F37" s="42" t="n"/>
      <c r="G37" s="41">
        <f>IF($C37="",0,MAX(0,$M37-$N37))</f>
        <v/>
      </c>
      <c r="H37" s="45" t="n"/>
      <c r="I37" s="41">
        <f>IF($C37="","",IF(H37="","OK",IF(H37&gt;EMPLOYES!P40,"⚠ Avance &gt; salaire",IF(H37&gt;EMPLOYES!P40*PARAMETRES!$C$218,"⚠ Avance élevée","OK"))))</f>
        <v/>
      </c>
      <c r="J37" s="45" t="n"/>
      <c r="K37" s="46" t="n"/>
      <c r="L37" s="46" t="n"/>
      <c r="M37" s="41">
        <f>IF($C37="","",SUMPRODUCT((PARAMETRES!$B$38:$B$157=PARAMETRES!$C$29)*(PARAMETRES!$C$38:$C$157=1)*(IF(EMPLOYES!M40="5j",PARAMETRES!$I$38:$I$157,PARAMETRES!$H$38:$H$157))))</f>
        <v/>
      </c>
      <c r="N37" s="41">
        <f>IF($C37="","",SUMPRODUCT((O37:AS37="P")+(O37:AS37="F")+(O37:AS37="C")+0.5*(O37:AS37="D"),(1-((O9:AS9=6)*(EMPLOYES!M40="5j")))))</f>
        <v/>
      </c>
      <c r="O37" s="46" t="n"/>
      <c r="P37" s="46" t="n"/>
      <c r="Q37" s="46" t="n"/>
      <c r="R37" s="46" t="n"/>
      <c r="S37" s="46" t="n"/>
      <c r="T37" s="46" t="n"/>
      <c r="U37" s="46" t="n"/>
      <c r="V37" s="46" t="n"/>
      <c r="W37" s="46" t="n"/>
      <c r="X37" s="46" t="n"/>
      <c r="Y37" s="46" t="n"/>
      <c r="Z37" s="46" t="n"/>
      <c r="AA37" s="46" t="n"/>
      <c r="AB37" s="46" t="n"/>
      <c r="AC37" s="46" t="n"/>
      <c r="AD37" s="46" t="n"/>
      <c r="AE37" s="46" t="n"/>
      <c r="AF37" s="46" t="n"/>
      <c r="AG37" s="46" t="n"/>
      <c r="AH37" s="46" t="n"/>
      <c r="AI37" s="46" t="n"/>
      <c r="AJ37" s="46" t="n"/>
      <c r="AK37" s="46" t="n"/>
      <c r="AL37" s="46" t="n"/>
      <c r="AM37" s="46" t="n"/>
      <c r="AN37" s="46" t="n"/>
      <c r="AO37" s="46" t="n"/>
      <c r="AP37" s="46" t="n"/>
      <c r="AQ37" s="46" t="n"/>
      <c r="AR37" s="46" t="n"/>
      <c r="AS37" s="46" t="n"/>
      <c r="AV37" s="36">
        <f>IF($C37="","",EMPLOYES!M40)</f>
        <v/>
      </c>
      <c r="AW37" s="36">
        <f>IF($C37="",0,SUMPRODUCT(--(O37:AS37="C")))</f>
        <v/>
      </c>
      <c r="AX37" s="36">
        <f>IF($C37="",0,SUMPRODUCT(--(O37:AS37="R")))</f>
        <v/>
      </c>
      <c r="AY37" s="44" t="n"/>
    </row>
    <row r="38" outlineLevel="1" ht="15" customHeight="1" s="15">
      <c r="B38" s="41" t="n">
        <v>1</v>
      </c>
      <c r="C38" s="42">
        <f>IF(EMPLOYES!C41="","",EMPLOYES!C41)</f>
        <v/>
      </c>
      <c r="D38" s="43">
        <f>IF(EMPLOYES!C41="","",EMPLOYES!D41)</f>
        <v/>
      </c>
      <c r="E38" s="44" t="n"/>
      <c r="F38" s="42" t="n"/>
      <c r="G38" s="41">
        <f>IF($C38="",0,MAX(0,$M38-$N38))</f>
        <v/>
      </c>
      <c r="H38" s="45" t="n"/>
      <c r="I38" s="41">
        <f>IF($C38="","",IF(H38="","OK",IF(H38&gt;EMPLOYES!P41,"⚠ Avance &gt; salaire",IF(H38&gt;EMPLOYES!P41*PARAMETRES!$C$218,"⚠ Avance élevée","OK"))))</f>
        <v/>
      </c>
      <c r="J38" s="45" t="n"/>
      <c r="K38" s="46" t="n"/>
      <c r="L38" s="46" t="n"/>
      <c r="M38" s="41">
        <f>IF($C38="","",SUMPRODUCT((PARAMETRES!$B$38:$B$157=PARAMETRES!$C$29)*(PARAMETRES!$C$38:$C$157=1)*(IF(EMPLOYES!M41="5j",PARAMETRES!$I$38:$I$157,PARAMETRES!$H$38:$H$157))))</f>
        <v/>
      </c>
      <c r="N38" s="41">
        <f>IF($C38="","",SUMPRODUCT((O38:AS38="P")+(O38:AS38="F")+(O38:AS38="C")+0.5*(O38:AS38="D"),(1-((O9:AS9=6)*(EMPLOYES!M41="5j")))))</f>
        <v/>
      </c>
      <c r="O38" s="46" t="n"/>
      <c r="P38" s="46" t="n"/>
      <c r="Q38" s="46" t="n"/>
      <c r="R38" s="46" t="n"/>
      <c r="S38" s="46" t="n"/>
      <c r="T38" s="46" t="n"/>
      <c r="U38" s="46" t="n"/>
      <c r="V38" s="46" t="n"/>
      <c r="W38" s="46" t="n"/>
      <c r="X38" s="46" t="n"/>
      <c r="Y38" s="46" t="n"/>
      <c r="Z38" s="46" t="n"/>
      <c r="AA38" s="46" t="n"/>
      <c r="AB38" s="46" t="n"/>
      <c r="AC38" s="46" t="n"/>
      <c r="AD38" s="46" t="n"/>
      <c r="AE38" s="46" t="n"/>
      <c r="AF38" s="46" t="n"/>
      <c r="AG38" s="46" t="n"/>
      <c r="AH38" s="46" t="n"/>
      <c r="AI38" s="46" t="n"/>
      <c r="AJ38" s="46" t="n"/>
      <c r="AK38" s="46" t="n"/>
      <c r="AL38" s="46" t="n"/>
      <c r="AM38" s="46" t="n"/>
      <c r="AN38" s="46" t="n"/>
      <c r="AO38" s="46" t="n"/>
      <c r="AP38" s="46" t="n"/>
      <c r="AQ38" s="46" t="n"/>
      <c r="AR38" s="46" t="n"/>
      <c r="AS38" s="46" t="n"/>
      <c r="AV38" s="36">
        <f>IF($C38="","",EMPLOYES!M41)</f>
        <v/>
      </c>
      <c r="AW38" s="36">
        <f>IF($C38="",0,SUMPRODUCT(--(O38:AS38="C")))</f>
        <v/>
      </c>
      <c r="AX38" s="36">
        <f>IF($C38="",0,SUMPRODUCT(--(O38:AS38="R")))</f>
        <v/>
      </c>
      <c r="AY38" s="44" t="n"/>
    </row>
    <row r="39" outlineLevel="1" ht="15" customHeight="1" s="15">
      <c r="B39" s="41" t="n">
        <v>1</v>
      </c>
      <c r="C39" s="42">
        <f>IF(EMPLOYES!C42="","",EMPLOYES!C42)</f>
        <v/>
      </c>
      <c r="D39" s="43">
        <f>IF(EMPLOYES!C42="","",EMPLOYES!D42)</f>
        <v/>
      </c>
      <c r="E39" s="44" t="n"/>
      <c r="F39" s="42" t="n"/>
      <c r="G39" s="41">
        <f>IF($C39="",0,MAX(0,$M39-$N39))</f>
        <v/>
      </c>
      <c r="H39" s="45" t="n"/>
      <c r="I39" s="41">
        <f>IF($C39="","",IF(H39="","OK",IF(H39&gt;EMPLOYES!P42,"⚠ Avance &gt; salaire",IF(H39&gt;EMPLOYES!P42*PARAMETRES!$C$218,"⚠ Avance élevée","OK"))))</f>
        <v/>
      </c>
      <c r="J39" s="45" t="n"/>
      <c r="K39" s="46" t="n"/>
      <c r="L39" s="46" t="n"/>
      <c r="M39" s="41">
        <f>IF($C39="","",SUMPRODUCT((PARAMETRES!$B$38:$B$157=PARAMETRES!$C$29)*(PARAMETRES!$C$38:$C$157=1)*(IF(EMPLOYES!M42="5j",PARAMETRES!$I$38:$I$157,PARAMETRES!$H$38:$H$157))))</f>
        <v/>
      </c>
      <c r="N39" s="41">
        <f>IF($C39="","",SUMPRODUCT((O39:AS39="P")+(O39:AS39="F")+(O39:AS39="C")+0.5*(O39:AS39="D"),(1-((O9:AS9=6)*(EMPLOYES!M42="5j")))))</f>
        <v/>
      </c>
      <c r="O39" s="46" t="n"/>
      <c r="P39" s="46" t="n"/>
      <c r="Q39" s="46" t="n"/>
      <c r="R39" s="46" t="n"/>
      <c r="S39" s="46" t="n"/>
      <c r="T39" s="46" t="n"/>
      <c r="U39" s="46" t="n"/>
      <c r="V39" s="46" t="n"/>
      <c r="W39" s="46" t="n"/>
      <c r="X39" s="46" t="n"/>
      <c r="Y39" s="46" t="n"/>
      <c r="Z39" s="46" t="n"/>
      <c r="AA39" s="46" t="n"/>
      <c r="AB39" s="46" t="n"/>
      <c r="AC39" s="46" t="n"/>
      <c r="AD39" s="46" t="n"/>
      <c r="AE39" s="46" t="n"/>
      <c r="AF39" s="46" t="n"/>
      <c r="AG39" s="46" t="n"/>
      <c r="AH39" s="46" t="n"/>
      <c r="AI39" s="46" t="n"/>
      <c r="AJ39" s="46" t="n"/>
      <c r="AK39" s="46" t="n"/>
      <c r="AL39" s="46" t="n"/>
      <c r="AM39" s="46" t="n"/>
      <c r="AN39" s="46" t="n"/>
      <c r="AO39" s="46" t="n"/>
      <c r="AP39" s="46" t="n"/>
      <c r="AQ39" s="46" t="n"/>
      <c r="AR39" s="46" t="n"/>
      <c r="AS39" s="46" t="n"/>
      <c r="AV39" s="36">
        <f>IF($C39="","",EMPLOYES!M42)</f>
        <v/>
      </c>
      <c r="AW39" s="36">
        <f>IF($C39="",0,SUMPRODUCT(--(O39:AS39="C")))</f>
        <v/>
      </c>
      <c r="AX39" s="36">
        <f>IF($C39="",0,SUMPRODUCT(--(O39:AS39="R")))</f>
        <v/>
      </c>
      <c r="AY39" s="44" t="n"/>
    </row>
    <row r="40" outlineLevel="1" ht="15" customHeight="1" s="15">
      <c r="B40" s="41" t="n">
        <v>1</v>
      </c>
      <c r="C40" s="42">
        <f>IF(EMPLOYES!C43="","",EMPLOYES!C43)</f>
        <v/>
      </c>
      <c r="D40" s="43">
        <f>IF(EMPLOYES!C43="","",EMPLOYES!D43)</f>
        <v/>
      </c>
      <c r="E40" s="44" t="n"/>
      <c r="F40" s="42" t="n"/>
      <c r="G40" s="41">
        <f>IF($C40="",0,MAX(0,$M40-$N40))</f>
        <v/>
      </c>
      <c r="H40" s="45" t="n"/>
      <c r="I40" s="41">
        <f>IF($C40="","",IF(H40="","OK",IF(H40&gt;EMPLOYES!P43,"⚠ Avance &gt; salaire",IF(H40&gt;EMPLOYES!P43*PARAMETRES!$C$218,"⚠ Avance élevée","OK"))))</f>
        <v/>
      </c>
      <c r="J40" s="45" t="n"/>
      <c r="K40" s="46" t="n"/>
      <c r="L40" s="46" t="n"/>
      <c r="M40" s="41">
        <f>IF($C40="","",SUMPRODUCT((PARAMETRES!$B$38:$B$157=PARAMETRES!$C$29)*(PARAMETRES!$C$38:$C$157=1)*(IF(EMPLOYES!M43="5j",PARAMETRES!$I$38:$I$157,PARAMETRES!$H$38:$H$157))))</f>
        <v/>
      </c>
      <c r="N40" s="41">
        <f>IF($C40="","",SUMPRODUCT((O40:AS40="P")+(O40:AS40="F")+(O40:AS40="C")+0.5*(O40:AS40="D"),(1-((O9:AS9=6)*(EMPLOYES!M43="5j")))))</f>
        <v/>
      </c>
      <c r="O40" s="46" t="n"/>
      <c r="P40" s="46" t="n"/>
      <c r="Q40" s="46" t="n"/>
      <c r="R40" s="46" t="n"/>
      <c r="S40" s="46" t="n"/>
      <c r="T40" s="46" t="n"/>
      <c r="U40" s="46" t="n"/>
      <c r="V40" s="46" t="n"/>
      <c r="W40" s="46" t="n"/>
      <c r="X40" s="46" t="n"/>
      <c r="Y40" s="46" t="n"/>
      <c r="Z40" s="46" t="n"/>
      <c r="AA40" s="46" t="n"/>
      <c r="AB40" s="46" t="n"/>
      <c r="AC40" s="46" t="n"/>
      <c r="AD40" s="46" t="n"/>
      <c r="AE40" s="46" t="n"/>
      <c r="AF40" s="46" t="n"/>
      <c r="AG40" s="46" t="n"/>
      <c r="AH40" s="46" t="n"/>
      <c r="AI40" s="46" t="n"/>
      <c r="AJ40" s="46" t="n"/>
      <c r="AK40" s="46" t="n"/>
      <c r="AL40" s="46" t="n"/>
      <c r="AM40" s="46" t="n"/>
      <c r="AN40" s="46" t="n"/>
      <c r="AO40" s="46" t="n"/>
      <c r="AP40" s="46" t="n"/>
      <c r="AQ40" s="46" t="n"/>
      <c r="AR40" s="46" t="n"/>
      <c r="AS40" s="46" t="n"/>
      <c r="AV40" s="36">
        <f>IF($C40="","",EMPLOYES!M43)</f>
        <v/>
      </c>
      <c r="AW40" s="36">
        <f>IF($C40="",0,SUMPRODUCT(--(O40:AS40="C")))</f>
        <v/>
      </c>
      <c r="AX40" s="36">
        <f>IF($C40="",0,SUMPRODUCT(--(O40:AS40="R")))</f>
        <v/>
      </c>
      <c r="AY40" s="44" t="n"/>
    </row>
    <row r="41" outlineLevel="1" ht="15" customHeight="1" s="15">
      <c r="B41" s="41" t="n">
        <v>1</v>
      </c>
      <c r="C41" s="42">
        <f>IF(EMPLOYES!C44="","",EMPLOYES!C44)</f>
        <v/>
      </c>
      <c r="D41" s="43">
        <f>IF(EMPLOYES!C44="","",EMPLOYES!D44)</f>
        <v/>
      </c>
      <c r="E41" s="44" t="n"/>
      <c r="F41" s="42" t="n"/>
      <c r="G41" s="41">
        <f>IF($C41="",0,MAX(0,$M41-$N41))</f>
        <v/>
      </c>
      <c r="H41" s="45" t="n"/>
      <c r="I41" s="41">
        <f>IF($C41="","",IF(H41="","OK",IF(H41&gt;EMPLOYES!P44,"⚠ Avance &gt; salaire",IF(H41&gt;EMPLOYES!P44*PARAMETRES!$C$218,"⚠ Avance élevée","OK"))))</f>
        <v/>
      </c>
      <c r="J41" s="45" t="n"/>
      <c r="K41" s="46" t="n"/>
      <c r="L41" s="46" t="n"/>
      <c r="M41" s="41">
        <f>IF($C41="","",SUMPRODUCT((PARAMETRES!$B$38:$B$157=PARAMETRES!$C$29)*(PARAMETRES!$C$38:$C$157=1)*(IF(EMPLOYES!M44="5j",PARAMETRES!$I$38:$I$157,PARAMETRES!$H$38:$H$157))))</f>
        <v/>
      </c>
      <c r="N41" s="41">
        <f>IF($C41="","",SUMPRODUCT((O41:AS41="P")+(O41:AS41="F")+(O41:AS41="C")+0.5*(O41:AS41="D"),(1-((O9:AS9=6)*(EMPLOYES!M44="5j")))))</f>
        <v/>
      </c>
      <c r="O41" s="46" t="n"/>
      <c r="P41" s="46" t="n"/>
      <c r="Q41" s="46" t="n"/>
      <c r="R41" s="46" t="n"/>
      <c r="S41" s="46" t="n"/>
      <c r="T41" s="46" t="n"/>
      <c r="U41" s="46" t="n"/>
      <c r="V41" s="46" t="n"/>
      <c r="W41" s="46" t="n"/>
      <c r="X41" s="46" t="n"/>
      <c r="Y41" s="46" t="n"/>
      <c r="Z41" s="46" t="n"/>
      <c r="AA41" s="46" t="n"/>
      <c r="AB41" s="46" t="n"/>
      <c r="AC41" s="46" t="n"/>
      <c r="AD41" s="46" t="n"/>
      <c r="AE41" s="46" t="n"/>
      <c r="AF41" s="46" t="n"/>
      <c r="AG41" s="46" t="n"/>
      <c r="AH41" s="46" t="n"/>
      <c r="AI41" s="46" t="n"/>
      <c r="AJ41" s="46" t="n"/>
      <c r="AK41" s="46" t="n"/>
      <c r="AL41" s="46" t="n"/>
      <c r="AM41" s="46" t="n"/>
      <c r="AN41" s="46" t="n"/>
      <c r="AO41" s="46" t="n"/>
      <c r="AP41" s="46" t="n"/>
      <c r="AQ41" s="46" t="n"/>
      <c r="AR41" s="46" t="n"/>
      <c r="AS41" s="46" t="n"/>
      <c r="AV41" s="36">
        <f>IF($C41="","",EMPLOYES!M44)</f>
        <v/>
      </c>
      <c r="AW41" s="36">
        <f>IF($C41="",0,SUMPRODUCT(--(O41:AS41="C")))</f>
        <v/>
      </c>
      <c r="AX41" s="36">
        <f>IF($C41="",0,SUMPRODUCT(--(O41:AS41="R")))</f>
        <v/>
      </c>
      <c r="AY41" s="44" t="n"/>
    </row>
    <row r="42" outlineLevel="1" ht="15" customHeight="1" s="15">
      <c r="B42" s="41" t="n">
        <v>1</v>
      </c>
      <c r="C42" s="42">
        <f>IF(EMPLOYES!C45="","",EMPLOYES!C45)</f>
        <v/>
      </c>
      <c r="D42" s="43">
        <f>IF(EMPLOYES!C45="","",EMPLOYES!D45)</f>
        <v/>
      </c>
      <c r="E42" s="44" t="n"/>
      <c r="F42" s="42" t="n"/>
      <c r="G42" s="41">
        <f>IF($C42="",0,MAX(0,$M42-$N42))</f>
        <v/>
      </c>
      <c r="H42" s="45" t="n"/>
      <c r="I42" s="41">
        <f>IF($C42="","",IF(H42="","OK",IF(H42&gt;EMPLOYES!P45,"⚠ Avance &gt; salaire",IF(H42&gt;EMPLOYES!P45*PARAMETRES!$C$218,"⚠ Avance élevée","OK"))))</f>
        <v/>
      </c>
      <c r="J42" s="45" t="n"/>
      <c r="K42" s="46" t="n"/>
      <c r="L42" s="46" t="n"/>
      <c r="M42" s="41">
        <f>IF($C42="","",SUMPRODUCT((PARAMETRES!$B$38:$B$157=PARAMETRES!$C$29)*(PARAMETRES!$C$38:$C$157=1)*(IF(EMPLOYES!M45="5j",PARAMETRES!$I$38:$I$157,PARAMETRES!$H$38:$H$157))))</f>
        <v/>
      </c>
      <c r="N42" s="41">
        <f>IF($C42="","",SUMPRODUCT((O42:AS42="P")+(O42:AS42="F")+(O42:AS42="C")+0.5*(O42:AS42="D"),(1-((O9:AS9=6)*(EMPLOYES!M45="5j")))))</f>
        <v/>
      </c>
      <c r="O42" s="46" t="n"/>
      <c r="P42" s="46" t="n"/>
      <c r="Q42" s="46" t="n"/>
      <c r="R42" s="46" t="n"/>
      <c r="S42" s="46" t="n"/>
      <c r="T42" s="46" t="n"/>
      <c r="U42" s="46" t="n"/>
      <c r="V42" s="46" t="n"/>
      <c r="W42" s="46" t="n"/>
      <c r="X42" s="46" t="n"/>
      <c r="Y42" s="46" t="n"/>
      <c r="Z42" s="46" t="n"/>
      <c r="AA42" s="46" t="n"/>
      <c r="AB42" s="46" t="n"/>
      <c r="AC42" s="46" t="n"/>
      <c r="AD42" s="46" t="n"/>
      <c r="AE42" s="46" t="n"/>
      <c r="AF42" s="46" t="n"/>
      <c r="AG42" s="46" t="n"/>
      <c r="AH42" s="46" t="n"/>
      <c r="AI42" s="46" t="n"/>
      <c r="AJ42" s="46" t="n"/>
      <c r="AK42" s="46" t="n"/>
      <c r="AL42" s="46" t="n"/>
      <c r="AM42" s="46" t="n"/>
      <c r="AN42" s="46" t="n"/>
      <c r="AO42" s="46" t="n"/>
      <c r="AP42" s="46" t="n"/>
      <c r="AQ42" s="46" t="n"/>
      <c r="AR42" s="46" t="n"/>
      <c r="AS42" s="46" t="n"/>
      <c r="AV42" s="36">
        <f>IF($C42="","",EMPLOYES!M45)</f>
        <v/>
      </c>
      <c r="AW42" s="36">
        <f>IF($C42="",0,SUMPRODUCT(--(O42:AS42="C")))</f>
        <v/>
      </c>
      <c r="AX42" s="36">
        <f>IF($C42="",0,SUMPRODUCT(--(O42:AS42="R")))</f>
        <v/>
      </c>
      <c r="AY42" s="44" t="n"/>
    </row>
    <row r="43" outlineLevel="1" ht="15" customHeight="1" s="15">
      <c r="B43" s="41" t="n">
        <v>1</v>
      </c>
      <c r="C43" s="42">
        <f>IF(EMPLOYES!C46="","",EMPLOYES!C46)</f>
        <v/>
      </c>
      <c r="D43" s="43">
        <f>IF(EMPLOYES!C46="","",EMPLOYES!D46)</f>
        <v/>
      </c>
      <c r="E43" s="44" t="n"/>
      <c r="F43" s="42" t="n"/>
      <c r="G43" s="41">
        <f>IF($C43="",0,MAX(0,$M43-$N43))</f>
        <v/>
      </c>
      <c r="H43" s="45" t="n"/>
      <c r="I43" s="41">
        <f>IF($C43="","",IF(H43="","OK",IF(H43&gt;EMPLOYES!P46,"⚠ Avance &gt; salaire",IF(H43&gt;EMPLOYES!P46*PARAMETRES!$C$218,"⚠ Avance élevée","OK"))))</f>
        <v/>
      </c>
      <c r="J43" s="45" t="n"/>
      <c r="K43" s="46" t="n"/>
      <c r="L43" s="46" t="n"/>
      <c r="M43" s="41">
        <f>IF($C43="","",SUMPRODUCT((PARAMETRES!$B$38:$B$157=PARAMETRES!$C$29)*(PARAMETRES!$C$38:$C$157=1)*(IF(EMPLOYES!M46="5j",PARAMETRES!$I$38:$I$157,PARAMETRES!$H$38:$H$157))))</f>
        <v/>
      </c>
      <c r="N43" s="41">
        <f>IF($C43="","",SUMPRODUCT((O43:AS43="P")+(O43:AS43="F")+(O43:AS43="C")+0.5*(O43:AS43="D"),(1-((O9:AS9=6)*(EMPLOYES!M46="5j")))))</f>
        <v/>
      </c>
      <c r="O43" s="46" t="n"/>
      <c r="P43" s="46" t="n"/>
      <c r="Q43" s="46" t="n"/>
      <c r="R43" s="46" t="n"/>
      <c r="S43" s="46" t="n"/>
      <c r="T43" s="46" t="n"/>
      <c r="U43" s="46" t="n"/>
      <c r="V43" s="46" t="n"/>
      <c r="W43" s="46" t="n"/>
      <c r="X43" s="46" t="n"/>
      <c r="Y43" s="46" t="n"/>
      <c r="Z43" s="46" t="n"/>
      <c r="AA43" s="46" t="n"/>
      <c r="AB43" s="46" t="n"/>
      <c r="AC43" s="46" t="n"/>
      <c r="AD43" s="46" t="n"/>
      <c r="AE43" s="46" t="n"/>
      <c r="AF43" s="46" t="n"/>
      <c r="AG43" s="46" t="n"/>
      <c r="AH43" s="46" t="n"/>
      <c r="AI43" s="46" t="n"/>
      <c r="AJ43" s="46" t="n"/>
      <c r="AK43" s="46" t="n"/>
      <c r="AL43" s="46" t="n"/>
      <c r="AM43" s="46" t="n"/>
      <c r="AN43" s="46" t="n"/>
      <c r="AO43" s="46" t="n"/>
      <c r="AP43" s="46" t="n"/>
      <c r="AQ43" s="46" t="n"/>
      <c r="AR43" s="46" t="n"/>
      <c r="AS43" s="46" t="n"/>
      <c r="AV43" s="36">
        <f>IF($C43="","",EMPLOYES!M46)</f>
        <v/>
      </c>
      <c r="AW43" s="36">
        <f>IF($C43="",0,SUMPRODUCT(--(O43:AS43="C")))</f>
        <v/>
      </c>
      <c r="AX43" s="36">
        <f>IF($C43="",0,SUMPRODUCT(--(O43:AS43="R")))</f>
        <v/>
      </c>
      <c r="AY43" s="44" t="n"/>
    </row>
    <row r="44" outlineLevel="1" ht="15" customHeight="1" s="15">
      <c r="B44" s="41" t="n">
        <v>1</v>
      </c>
      <c r="C44" s="42">
        <f>IF(EMPLOYES!C47="","",EMPLOYES!C47)</f>
        <v/>
      </c>
      <c r="D44" s="43">
        <f>IF(EMPLOYES!C47="","",EMPLOYES!D47)</f>
        <v/>
      </c>
      <c r="E44" s="44" t="n"/>
      <c r="F44" s="42" t="n"/>
      <c r="G44" s="41">
        <f>IF($C44="",0,MAX(0,$M44-$N44))</f>
        <v/>
      </c>
      <c r="H44" s="45" t="n"/>
      <c r="I44" s="41">
        <f>IF($C44="","",IF(H44="","OK",IF(H44&gt;EMPLOYES!P47,"⚠ Avance &gt; salaire",IF(H44&gt;EMPLOYES!P47*PARAMETRES!$C$218,"⚠ Avance élevée","OK"))))</f>
        <v/>
      </c>
      <c r="J44" s="45" t="n"/>
      <c r="K44" s="46" t="n"/>
      <c r="L44" s="46" t="n"/>
      <c r="M44" s="41">
        <f>IF($C44="","",SUMPRODUCT((PARAMETRES!$B$38:$B$157=PARAMETRES!$C$29)*(PARAMETRES!$C$38:$C$157=1)*(IF(EMPLOYES!M47="5j",PARAMETRES!$I$38:$I$157,PARAMETRES!$H$38:$H$157))))</f>
        <v/>
      </c>
      <c r="N44" s="41">
        <f>IF($C44="","",SUMPRODUCT((O44:AS44="P")+(O44:AS44="F")+(O44:AS44="C")+0.5*(O44:AS44="D"),(1-((O9:AS9=6)*(EMPLOYES!M47="5j")))))</f>
        <v/>
      </c>
      <c r="O44" s="46" t="n"/>
      <c r="P44" s="46" t="n"/>
      <c r="Q44" s="46" t="n"/>
      <c r="R44" s="46" t="n"/>
      <c r="S44" s="46" t="n"/>
      <c r="T44" s="46" t="n"/>
      <c r="U44" s="46" t="n"/>
      <c r="V44" s="46" t="n"/>
      <c r="W44" s="46" t="n"/>
      <c r="X44" s="46" t="n"/>
      <c r="Y44" s="46" t="n"/>
      <c r="Z44" s="46" t="n"/>
      <c r="AA44" s="46" t="n"/>
      <c r="AB44" s="46" t="n"/>
      <c r="AC44" s="46" t="n"/>
      <c r="AD44" s="46" t="n"/>
      <c r="AE44" s="46" t="n"/>
      <c r="AF44" s="46" t="n"/>
      <c r="AG44" s="46" t="n"/>
      <c r="AH44" s="46" t="n"/>
      <c r="AI44" s="46" t="n"/>
      <c r="AJ44" s="46" t="n"/>
      <c r="AK44" s="46" t="n"/>
      <c r="AL44" s="46" t="n"/>
      <c r="AM44" s="46" t="n"/>
      <c r="AN44" s="46" t="n"/>
      <c r="AO44" s="46" t="n"/>
      <c r="AP44" s="46" t="n"/>
      <c r="AQ44" s="46" t="n"/>
      <c r="AR44" s="46" t="n"/>
      <c r="AS44" s="46" t="n"/>
      <c r="AV44" s="36">
        <f>IF($C44="","",EMPLOYES!M47)</f>
        <v/>
      </c>
      <c r="AW44" s="36">
        <f>IF($C44="",0,SUMPRODUCT(--(O44:AS44="C")))</f>
        <v/>
      </c>
      <c r="AX44" s="36">
        <f>IF($C44="",0,SUMPRODUCT(--(O44:AS44="R")))</f>
        <v/>
      </c>
      <c r="AY44" s="44" t="n"/>
    </row>
    <row r="45" outlineLevel="1" ht="15" customHeight="1" s="15">
      <c r="B45" s="41" t="n">
        <v>1</v>
      </c>
      <c r="C45" s="42">
        <f>IF(EMPLOYES!C48="","",EMPLOYES!C48)</f>
        <v/>
      </c>
      <c r="D45" s="43">
        <f>IF(EMPLOYES!C48="","",EMPLOYES!D48)</f>
        <v/>
      </c>
      <c r="E45" s="44" t="n"/>
      <c r="F45" s="42" t="n"/>
      <c r="G45" s="41">
        <f>IF($C45="",0,MAX(0,$M45-$N45))</f>
        <v/>
      </c>
      <c r="H45" s="45" t="n"/>
      <c r="I45" s="41">
        <f>IF($C45="","",IF(H45="","OK",IF(H45&gt;EMPLOYES!P48,"⚠ Avance &gt; salaire",IF(H45&gt;EMPLOYES!P48*PARAMETRES!$C$218,"⚠ Avance élevée","OK"))))</f>
        <v/>
      </c>
      <c r="J45" s="45" t="n"/>
      <c r="K45" s="46" t="n"/>
      <c r="L45" s="46" t="n"/>
      <c r="M45" s="41">
        <f>IF($C45="","",SUMPRODUCT((PARAMETRES!$B$38:$B$157=PARAMETRES!$C$29)*(PARAMETRES!$C$38:$C$157=1)*(IF(EMPLOYES!M48="5j",PARAMETRES!$I$38:$I$157,PARAMETRES!$H$38:$H$157))))</f>
        <v/>
      </c>
      <c r="N45" s="41">
        <f>IF($C45="","",SUMPRODUCT((O45:AS45="P")+(O45:AS45="F")+(O45:AS45="C")+0.5*(O45:AS45="D"),(1-((O9:AS9=6)*(EMPLOYES!M48="5j")))))</f>
        <v/>
      </c>
      <c r="O45" s="46" t="n"/>
      <c r="P45" s="46" t="n"/>
      <c r="Q45" s="46" t="n"/>
      <c r="R45" s="46" t="n"/>
      <c r="S45" s="46" t="n"/>
      <c r="T45" s="46" t="n"/>
      <c r="U45" s="46" t="n"/>
      <c r="V45" s="46" t="n"/>
      <c r="W45" s="46" t="n"/>
      <c r="X45" s="46" t="n"/>
      <c r="Y45" s="46" t="n"/>
      <c r="Z45" s="46" t="n"/>
      <c r="AA45" s="46" t="n"/>
      <c r="AB45" s="46" t="n"/>
      <c r="AC45" s="46" t="n"/>
      <c r="AD45" s="46" t="n"/>
      <c r="AE45" s="46" t="n"/>
      <c r="AF45" s="46" t="n"/>
      <c r="AG45" s="46" t="n"/>
      <c r="AH45" s="46" t="n"/>
      <c r="AI45" s="46" t="n"/>
      <c r="AJ45" s="46" t="n"/>
      <c r="AK45" s="46" t="n"/>
      <c r="AL45" s="46" t="n"/>
      <c r="AM45" s="46" t="n"/>
      <c r="AN45" s="46" t="n"/>
      <c r="AO45" s="46" t="n"/>
      <c r="AP45" s="46" t="n"/>
      <c r="AQ45" s="46" t="n"/>
      <c r="AR45" s="46" t="n"/>
      <c r="AS45" s="46" t="n"/>
      <c r="AV45" s="36">
        <f>IF($C45="","",EMPLOYES!M48)</f>
        <v/>
      </c>
      <c r="AW45" s="36">
        <f>IF($C45="",0,SUMPRODUCT(--(O45:AS45="C")))</f>
        <v/>
      </c>
      <c r="AX45" s="36">
        <f>IF($C45="",0,SUMPRODUCT(--(O45:AS45="R")))</f>
        <v/>
      </c>
      <c r="AY45" s="44" t="n"/>
    </row>
    <row r="46" outlineLevel="1" ht="15" customHeight="1" s="15">
      <c r="B46" s="41" t="n">
        <v>1</v>
      </c>
      <c r="C46" s="42">
        <f>IF(EMPLOYES!C49="","",EMPLOYES!C49)</f>
        <v/>
      </c>
      <c r="D46" s="43">
        <f>IF(EMPLOYES!C49="","",EMPLOYES!D49)</f>
        <v/>
      </c>
      <c r="E46" s="44" t="n"/>
      <c r="F46" s="42" t="n"/>
      <c r="G46" s="41">
        <f>IF($C46="",0,MAX(0,$M46-$N46))</f>
        <v/>
      </c>
      <c r="H46" s="45" t="n"/>
      <c r="I46" s="41">
        <f>IF($C46="","",IF(H46="","OK",IF(H46&gt;EMPLOYES!P49,"⚠ Avance &gt; salaire",IF(H46&gt;EMPLOYES!P49*PARAMETRES!$C$218,"⚠ Avance élevée","OK"))))</f>
        <v/>
      </c>
      <c r="J46" s="45" t="n"/>
      <c r="K46" s="46" t="n"/>
      <c r="L46" s="46" t="n"/>
      <c r="M46" s="41">
        <f>IF($C46="","",SUMPRODUCT((PARAMETRES!$B$38:$B$157=PARAMETRES!$C$29)*(PARAMETRES!$C$38:$C$157=1)*(IF(EMPLOYES!M49="5j",PARAMETRES!$I$38:$I$157,PARAMETRES!$H$38:$H$157))))</f>
        <v/>
      </c>
      <c r="N46" s="41">
        <f>IF($C46="","",SUMPRODUCT((O46:AS46="P")+(O46:AS46="F")+(O46:AS46="C")+0.5*(O46:AS46="D"),(1-((O9:AS9=6)*(EMPLOYES!M49="5j")))))</f>
        <v/>
      </c>
      <c r="O46" s="46" t="n"/>
      <c r="P46" s="46" t="n"/>
      <c r="Q46" s="46" t="n"/>
      <c r="R46" s="46" t="n"/>
      <c r="S46" s="46" t="n"/>
      <c r="T46" s="46" t="n"/>
      <c r="U46" s="46" t="n"/>
      <c r="V46" s="46" t="n"/>
      <c r="W46" s="46" t="n"/>
      <c r="X46" s="46" t="n"/>
      <c r="Y46" s="46" t="n"/>
      <c r="Z46" s="46" t="n"/>
      <c r="AA46" s="46" t="n"/>
      <c r="AB46" s="46" t="n"/>
      <c r="AC46" s="46" t="n"/>
      <c r="AD46" s="46" t="n"/>
      <c r="AE46" s="46" t="n"/>
      <c r="AF46" s="46" t="n"/>
      <c r="AG46" s="46" t="n"/>
      <c r="AH46" s="46" t="n"/>
      <c r="AI46" s="46" t="n"/>
      <c r="AJ46" s="46" t="n"/>
      <c r="AK46" s="46" t="n"/>
      <c r="AL46" s="46" t="n"/>
      <c r="AM46" s="46" t="n"/>
      <c r="AN46" s="46" t="n"/>
      <c r="AO46" s="46" t="n"/>
      <c r="AP46" s="46" t="n"/>
      <c r="AQ46" s="46" t="n"/>
      <c r="AR46" s="46" t="n"/>
      <c r="AS46" s="46" t="n"/>
      <c r="AV46" s="36">
        <f>IF($C46="","",EMPLOYES!M49)</f>
        <v/>
      </c>
      <c r="AW46" s="36">
        <f>IF($C46="",0,SUMPRODUCT(--(O46:AS46="C")))</f>
        <v/>
      </c>
      <c r="AX46" s="36">
        <f>IF($C46="",0,SUMPRODUCT(--(O46:AS46="R")))</f>
        <v/>
      </c>
      <c r="AY46" s="44" t="n"/>
    </row>
    <row r="47" outlineLevel="1" ht="15" customHeight="1" s="15">
      <c r="B47" s="41" t="n">
        <v>1</v>
      </c>
      <c r="C47" s="42">
        <f>IF(EMPLOYES!C50="","",EMPLOYES!C50)</f>
        <v/>
      </c>
      <c r="D47" s="43">
        <f>IF(EMPLOYES!C50="","",EMPLOYES!D50)</f>
        <v/>
      </c>
      <c r="E47" s="44" t="n"/>
      <c r="F47" s="42" t="n"/>
      <c r="G47" s="41">
        <f>IF($C47="",0,MAX(0,$M47-$N47))</f>
        <v/>
      </c>
      <c r="H47" s="45" t="n"/>
      <c r="I47" s="41">
        <f>IF($C47="","",IF(H47="","OK",IF(H47&gt;EMPLOYES!P50,"⚠ Avance &gt; salaire",IF(H47&gt;EMPLOYES!P50*PARAMETRES!$C$218,"⚠ Avance élevée","OK"))))</f>
        <v/>
      </c>
      <c r="J47" s="45" t="n"/>
      <c r="K47" s="46" t="n"/>
      <c r="L47" s="46" t="n"/>
      <c r="M47" s="41">
        <f>IF($C47="","",SUMPRODUCT((PARAMETRES!$B$38:$B$157=PARAMETRES!$C$29)*(PARAMETRES!$C$38:$C$157=1)*(IF(EMPLOYES!M50="5j",PARAMETRES!$I$38:$I$157,PARAMETRES!$H$38:$H$157))))</f>
        <v/>
      </c>
      <c r="N47" s="41">
        <f>IF($C47="","",SUMPRODUCT((O47:AS47="P")+(O47:AS47="F")+(O47:AS47="C")+0.5*(O47:AS47="D"),(1-((O9:AS9=6)*(EMPLOYES!M50="5j")))))</f>
        <v/>
      </c>
      <c r="O47" s="46" t="n"/>
      <c r="P47" s="46" t="n"/>
      <c r="Q47" s="46" t="n"/>
      <c r="R47" s="46" t="n"/>
      <c r="S47" s="46" t="n"/>
      <c r="T47" s="46" t="n"/>
      <c r="U47" s="46" t="n"/>
      <c r="V47" s="46" t="n"/>
      <c r="W47" s="46" t="n"/>
      <c r="X47" s="46" t="n"/>
      <c r="Y47" s="46" t="n"/>
      <c r="Z47" s="46" t="n"/>
      <c r="AA47" s="46" t="n"/>
      <c r="AB47" s="46" t="n"/>
      <c r="AC47" s="46" t="n"/>
      <c r="AD47" s="46" t="n"/>
      <c r="AE47" s="46" t="n"/>
      <c r="AF47" s="46" t="n"/>
      <c r="AG47" s="46" t="n"/>
      <c r="AH47" s="46" t="n"/>
      <c r="AI47" s="46" t="n"/>
      <c r="AJ47" s="46" t="n"/>
      <c r="AK47" s="46" t="n"/>
      <c r="AL47" s="46" t="n"/>
      <c r="AM47" s="46" t="n"/>
      <c r="AN47" s="46" t="n"/>
      <c r="AO47" s="46" t="n"/>
      <c r="AP47" s="46" t="n"/>
      <c r="AQ47" s="46" t="n"/>
      <c r="AR47" s="46" t="n"/>
      <c r="AS47" s="46" t="n"/>
      <c r="AV47" s="36">
        <f>IF($C47="","",EMPLOYES!M50)</f>
        <v/>
      </c>
      <c r="AW47" s="36">
        <f>IF($C47="",0,SUMPRODUCT(--(O47:AS47="C")))</f>
        <v/>
      </c>
      <c r="AX47" s="36">
        <f>IF($C47="",0,SUMPRODUCT(--(O47:AS47="R")))</f>
        <v/>
      </c>
      <c r="AY47" s="44" t="n"/>
    </row>
    <row r="48" outlineLevel="1" ht="15" customHeight="1" s="15">
      <c r="B48" s="41" t="n">
        <v>1</v>
      </c>
      <c r="C48" s="42">
        <f>IF(EMPLOYES!C51="","",EMPLOYES!C51)</f>
        <v/>
      </c>
      <c r="D48" s="43">
        <f>IF(EMPLOYES!C51="","",EMPLOYES!D51)</f>
        <v/>
      </c>
      <c r="E48" s="44" t="n"/>
      <c r="F48" s="42" t="n"/>
      <c r="G48" s="41">
        <f>IF($C48="",0,MAX(0,$M48-$N48))</f>
        <v/>
      </c>
      <c r="H48" s="45" t="n"/>
      <c r="I48" s="41">
        <f>IF($C48="","",IF(H48="","OK",IF(H48&gt;EMPLOYES!P51,"⚠ Avance &gt; salaire",IF(H48&gt;EMPLOYES!P51*PARAMETRES!$C$218,"⚠ Avance élevée","OK"))))</f>
        <v/>
      </c>
      <c r="J48" s="45" t="n"/>
      <c r="K48" s="46" t="n"/>
      <c r="L48" s="46" t="n"/>
      <c r="M48" s="41">
        <f>IF($C48="","",SUMPRODUCT((PARAMETRES!$B$38:$B$157=PARAMETRES!$C$29)*(PARAMETRES!$C$38:$C$157=1)*(IF(EMPLOYES!M51="5j",PARAMETRES!$I$38:$I$157,PARAMETRES!$H$38:$H$157))))</f>
        <v/>
      </c>
      <c r="N48" s="41">
        <f>IF($C48="","",SUMPRODUCT((O48:AS48="P")+(O48:AS48="F")+(O48:AS48="C")+0.5*(O48:AS48="D"),(1-((O9:AS9=6)*(EMPLOYES!M51="5j")))))</f>
        <v/>
      </c>
      <c r="O48" s="46" t="n"/>
      <c r="P48" s="46" t="n"/>
      <c r="Q48" s="46" t="n"/>
      <c r="R48" s="46" t="n"/>
      <c r="S48" s="46" t="n"/>
      <c r="T48" s="46" t="n"/>
      <c r="U48" s="46" t="n"/>
      <c r="V48" s="46" t="n"/>
      <c r="W48" s="46" t="n"/>
      <c r="X48" s="46" t="n"/>
      <c r="Y48" s="46" t="n"/>
      <c r="Z48" s="46" t="n"/>
      <c r="AA48" s="46" t="n"/>
      <c r="AB48" s="46" t="n"/>
      <c r="AC48" s="46" t="n"/>
      <c r="AD48" s="46" t="n"/>
      <c r="AE48" s="46" t="n"/>
      <c r="AF48" s="46" t="n"/>
      <c r="AG48" s="46" t="n"/>
      <c r="AH48" s="46" t="n"/>
      <c r="AI48" s="46" t="n"/>
      <c r="AJ48" s="46" t="n"/>
      <c r="AK48" s="46" t="n"/>
      <c r="AL48" s="46" t="n"/>
      <c r="AM48" s="46" t="n"/>
      <c r="AN48" s="46" t="n"/>
      <c r="AO48" s="46" t="n"/>
      <c r="AP48" s="46" t="n"/>
      <c r="AQ48" s="46" t="n"/>
      <c r="AR48" s="46" t="n"/>
      <c r="AS48" s="46" t="n"/>
      <c r="AV48" s="36">
        <f>IF($C48="","",EMPLOYES!M51)</f>
        <v/>
      </c>
      <c r="AW48" s="36">
        <f>IF($C48="",0,SUMPRODUCT(--(O48:AS48="C")))</f>
        <v/>
      </c>
      <c r="AX48" s="36">
        <f>IF($C48="",0,SUMPRODUCT(--(O48:AS48="R")))</f>
        <v/>
      </c>
      <c r="AY48" s="44" t="n"/>
    </row>
    <row r="49" outlineLevel="1" ht="15" customHeight="1" s="15">
      <c r="B49" s="41" t="n">
        <v>1</v>
      </c>
      <c r="C49" s="42">
        <f>IF(EMPLOYES!C52="","",EMPLOYES!C52)</f>
        <v/>
      </c>
      <c r="D49" s="43">
        <f>IF(EMPLOYES!C52="","",EMPLOYES!D52)</f>
        <v/>
      </c>
      <c r="E49" s="44" t="n"/>
      <c r="F49" s="42" t="n"/>
      <c r="G49" s="41">
        <f>IF($C49="",0,MAX(0,$M49-$N49))</f>
        <v/>
      </c>
      <c r="H49" s="45" t="n"/>
      <c r="I49" s="41">
        <f>IF($C49="","",IF(H49="","OK",IF(H49&gt;EMPLOYES!P52,"⚠ Avance &gt; salaire",IF(H49&gt;EMPLOYES!P52*PARAMETRES!$C$218,"⚠ Avance élevée","OK"))))</f>
        <v/>
      </c>
      <c r="J49" s="45" t="n"/>
      <c r="K49" s="46" t="n"/>
      <c r="L49" s="46" t="n"/>
      <c r="M49" s="41">
        <f>IF($C49="","",SUMPRODUCT((PARAMETRES!$B$38:$B$157=PARAMETRES!$C$29)*(PARAMETRES!$C$38:$C$157=1)*(IF(EMPLOYES!M52="5j",PARAMETRES!$I$38:$I$157,PARAMETRES!$H$38:$H$157))))</f>
        <v/>
      </c>
      <c r="N49" s="41">
        <f>IF($C49="","",SUMPRODUCT((O49:AS49="P")+(O49:AS49="F")+(O49:AS49="C")+0.5*(O49:AS49="D"),(1-((O9:AS9=6)*(EMPLOYES!M52="5j")))))</f>
        <v/>
      </c>
      <c r="O49" s="46" t="n"/>
      <c r="P49" s="46" t="n"/>
      <c r="Q49" s="46" t="n"/>
      <c r="R49" s="46" t="n"/>
      <c r="S49" s="46" t="n"/>
      <c r="T49" s="46" t="n"/>
      <c r="U49" s="46" t="n"/>
      <c r="V49" s="46" t="n"/>
      <c r="W49" s="46" t="n"/>
      <c r="X49" s="46" t="n"/>
      <c r="Y49" s="46" t="n"/>
      <c r="Z49" s="46" t="n"/>
      <c r="AA49" s="46" t="n"/>
      <c r="AB49" s="46" t="n"/>
      <c r="AC49" s="46" t="n"/>
      <c r="AD49" s="46" t="n"/>
      <c r="AE49" s="46" t="n"/>
      <c r="AF49" s="46" t="n"/>
      <c r="AG49" s="46" t="n"/>
      <c r="AH49" s="46" t="n"/>
      <c r="AI49" s="46" t="n"/>
      <c r="AJ49" s="46" t="n"/>
      <c r="AK49" s="46" t="n"/>
      <c r="AL49" s="46" t="n"/>
      <c r="AM49" s="46" t="n"/>
      <c r="AN49" s="46" t="n"/>
      <c r="AO49" s="46" t="n"/>
      <c r="AP49" s="46" t="n"/>
      <c r="AQ49" s="46" t="n"/>
      <c r="AR49" s="46" t="n"/>
      <c r="AS49" s="46" t="n"/>
      <c r="AV49" s="36">
        <f>IF($C49="","",EMPLOYES!M52)</f>
        <v/>
      </c>
      <c r="AW49" s="36">
        <f>IF($C49="",0,SUMPRODUCT(--(O49:AS49="C")))</f>
        <v/>
      </c>
      <c r="AX49" s="36">
        <f>IF($C49="",0,SUMPRODUCT(--(O49:AS49="R")))</f>
        <v/>
      </c>
      <c r="AY49" s="44" t="n"/>
    </row>
    <row r="50" outlineLevel="1" ht="15" customHeight="1" s="15">
      <c r="B50" s="41" t="n">
        <v>1</v>
      </c>
      <c r="C50" s="42">
        <f>IF(EMPLOYES!C53="","",EMPLOYES!C53)</f>
        <v/>
      </c>
      <c r="D50" s="43">
        <f>IF(EMPLOYES!C53="","",EMPLOYES!D53)</f>
        <v/>
      </c>
      <c r="E50" s="44" t="n"/>
      <c r="F50" s="42" t="n"/>
      <c r="G50" s="41">
        <f>IF($C50="",0,MAX(0,$M50-$N50))</f>
        <v/>
      </c>
      <c r="H50" s="45" t="n"/>
      <c r="I50" s="41">
        <f>IF($C50="","",IF(H50="","OK",IF(H50&gt;EMPLOYES!P53,"⚠ Avance &gt; salaire",IF(H50&gt;EMPLOYES!P53*PARAMETRES!$C$218,"⚠ Avance élevée","OK"))))</f>
        <v/>
      </c>
      <c r="J50" s="45" t="n"/>
      <c r="K50" s="46" t="n"/>
      <c r="L50" s="46" t="n"/>
      <c r="M50" s="41">
        <f>IF($C50="","",SUMPRODUCT((PARAMETRES!$B$38:$B$157=PARAMETRES!$C$29)*(PARAMETRES!$C$38:$C$157=1)*(IF(EMPLOYES!M53="5j",PARAMETRES!$I$38:$I$157,PARAMETRES!$H$38:$H$157))))</f>
        <v/>
      </c>
      <c r="N50" s="41">
        <f>IF($C50="","",SUMPRODUCT((O50:AS50="P")+(O50:AS50="F")+(O50:AS50="C")+0.5*(O50:AS50="D"),(1-((O9:AS9=6)*(EMPLOYES!M53="5j")))))</f>
        <v/>
      </c>
      <c r="O50" s="46" t="n"/>
      <c r="P50" s="46" t="n"/>
      <c r="Q50" s="46" t="n"/>
      <c r="R50" s="46" t="n"/>
      <c r="S50" s="46" t="n"/>
      <c r="T50" s="46" t="n"/>
      <c r="U50" s="46" t="n"/>
      <c r="V50" s="46" t="n"/>
      <c r="W50" s="46" t="n"/>
      <c r="X50" s="46" t="n"/>
      <c r="Y50" s="46" t="n"/>
      <c r="Z50" s="46" t="n"/>
      <c r="AA50" s="46" t="n"/>
      <c r="AB50" s="46" t="n"/>
      <c r="AC50" s="46" t="n"/>
      <c r="AD50" s="46" t="n"/>
      <c r="AE50" s="46" t="n"/>
      <c r="AF50" s="46" t="n"/>
      <c r="AG50" s="46" t="n"/>
      <c r="AH50" s="46" t="n"/>
      <c r="AI50" s="46" t="n"/>
      <c r="AJ50" s="46" t="n"/>
      <c r="AK50" s="46" t="n"/>
      <c r="AL50" s="46" t="n"/>
      <c r="AM50" s="46" t="n"/>
      <c r="AN50" s="46" t="n"/>
      <c r="AO50" s="46" t="n"/>
      <c r="AP50" s="46" t="n"/>
      <c r="AQ50" s="46" t="n"/>
      <c r="AR50" s="46" t="n"/>
      <c r="AS50" s="46" t="n"/>
      <c r="AV50" s="36">
        <f>IF($C50="","",EMPLOYES!M53)</f>
        <v/>
      </c>
      <c r="AW50" s="36">
        <f>IF($C50="",0,SUMPRODUCT(--(O50:AS50="C")))</f>
        <v/>
      </c>
      <c r="AX50" s="36">
        <f>IF($C50="",0,SUMPRODUCT(--(O50:AS50="R")))</f>
        <v/>
      </c>
      <c r="AY50" s="44" t="n"/>
    </row>
    <row r="51" outlineLevel="1" ht="15" customHeight="1" s="15">
      <c r="B51" s="41" t="n">
        <v>1</v>
      </c>
      <c r="C51" s="42">
        <f>IF(EMPLOYES!C54="","",EMPLOYES!C54)</f>
        <v/>
      </c>
      <c r="D51" s="43">
        <f>IF(EMPLOYES!C54="","",EMPLOYES!D54)</f>
        <v/>
      </c>
      <c r="E51" s="44" t="n"/>
      <c r="F51" s="42" t="n"/>
      <c r="G51" s="41">
        <f>IF($C51="",0,MAX(0,$M51-$N51))</f>
        <v/>
      </c>
      <c r="H51" s="45" t="n"/>
      <c r="I51" s="41">
        <f>IF($C51="","",IF(H51="","OK",IF(H51&gt;EMPLOYES!P54,"⚠ Avance &gt; salaire",IF(H51&gt;EMPLOYES!P54*PARAMETRES!$C$218,"⚠ Avance élevée","OK"))))</f>
        <v/>
      </c>
      <c r="J51" s="45" t="n"/>
      <c r="K51" s="46" t="n"/>
      <c r="L51" s="46" t="n"/>
      <c r="M51" s="41">
        <f>IF($C51="","",SUMPRODUCT((PARAMETRES!$B$38:$B$157=PARAMETRES!$C$29)*(PARAMETRES!$C$38:$C$157=1)*(IF(EMPLOYES!M54="5j",PARAMETRES!$I$38:$I$157,PARAMETRES!$H$38:$H$157))))</f>
        <v/>
      </c>
      <c r="N51" s="41">
        <f>IF($C51="","",SUMPRODUCT((O51:AS51="P")+(O51:AS51="F")+(O51:AS51="C")+0.5*(O51:AS51="D"),(1-((O9:AS9=6)*(EMPLOYES!M54="5j")))))</f>
        <v/>
      </c>
      <c r="O51" s="46" t="n"/>
      <c r="P51" s="46" t="n"/>
      <c r="Q51" s="46" t="n"/>
      <c r="R51" s="46" t="n"/>
      <c r="S51" s="46" t="n"/>
      <c r="T51" s="46" t="n"/>
      <c r="U51" s="46" t="n"/>
      <c r="V51" s="46" t="n"/>
      <c r="W51" s="46" t="n"/>
      <c r="X51" s="46" t="n"/>
      <c r="Y51" s="46" t="n"/>
      <c r="Z51" s="46" t="n"/>
      <c r="AA51" s="46" t="n"/>
      <c r="AB51" s="46" t="n"/>
      <c r="AC51" s="46" t="n"/>
      <c r="AD51" s="46" t="n"/>
      <c r="AE51" s="46" t="n"/>
      <c r="AF51" s="46" t="n"/>
      <c r="AG51" s="46" t="n"/>
      <c r="AH51" s="46" t="n"/>
      <c r="AI51" s="46" t="n"/>
      <c r="AJ51" s="46" t="n"/>
      <c r="AK51" s="46" t="n"/>
      <c r="AL51" s="46" t="n"/>
      <c r="AM51" s="46" t="n"/>
      <c r="AN51" s="46" t="n"/>
      <c r="AO51" s="46" t="n"/>
      <c r="AP51" s="46" t="n"/>
      <c r="AQ51" s="46" t="n"/>
      <c r="AR51" s="46" t="n"/>
      <c r="AS51" s="46" t="n"/>
      <c r="AV51" s="36">
        <f>IF($C51="","",EMPLOYES!M54)</f>
        <v/>
      </c>
      <c r="AW51" s="36">
        <f>IF($C51="",0,SUMPRODUCT(--(O51:AS51="C")))</f>
        <v/>
      </c>
      <c r="AX51" s="36">
        <f>IF($C51="",0,SUMPRODUCT(--(O51:AS51="R")))</f>
        <v/>
      </c>
      <c r="AY51" s="44" t="n"/>
    </row>
    <row r="52" outlineLevel="1" ht="15" customHeight="1" s="15">
      <c r="B52" s="41" t="n">
        <v>1</v>
      </c>
      <c r="C52" s="42">
        <f>IF(EMPLOYES!C55="","",EMPLOYES!C55)</f>
        <v/>
      </c>
      <c r="D52" s="43">
        <f>IF(EMPLOYES!C55="","",EMPLOYES!D55)</f>
        <v/>
      </c>
      <c r="E52" s="44" t="n"/>
      <c r="F52" s="42" t="n"/>
      <c r="G52" s="41">
        <f>IF($C52="",0,MAX(0,$M52-$N52))</f>
        <v/>
      </c>
      <c r="H52" s="45" t="n"/>
      <c r="I52" s="41">
        <f>IF($C52="","",IF(H52="","OK",IF(H52&gt;EMPLOYES!P55,"⚠ Avance &gt; salaire",IF(H52&gt;EMPLOYES!P55*PARAMETRES!$C$218,"⚠ Avance élevée","OK"))))</f>
        <v/>
      </c>
      <c r="J52" s="45" t="n"/>
      <c r="K52" s="46" t="n"/>
      <c r="L52" s="46" t="n"/>
      <c r="M52" s="41">
        <f>IF($C52="","",SUMPRODUCT((PARAMETRES!$B$38:$B$157=PARAMETRES!$C$29)*(PARAMETRES!$C$38:$C$157=1)*(IF(EMPLOYES!M55="5j",PARAMETRES!$I$38:$I$157,PARAMETRES!$H$38:$H$157))))</f>
        <v/>
      </c>
      <c r="N52" s="41">
        <f>IF($C52="","",SUMPRODUCT((O52:AS52="P")+(O52:AS52="F")+(O52:AS52="C")+0.5*(O52:AS52="D"),(1-((O9:AS9=6)*(EMPLOYES!M55="5j")))))</f>
        <v/>
      </c>
      <c r="O52" s="46" t="n"/>
      <c r="P52" s="46" t="n"/>
      <c r="Q52" s="46" t="n"/>
      <c r="R52" s="46" t="n"/>
      <c r="S52" s="46" t="n"/>
      <c r="T52" s="46" t="n"/>
      <c r="U52" s="46" t="n"/>
      <c r="V52" s="46" t="n"/>
      <c r="W52" s="46" t="n"/>
      <c r="X52" s="46" t="n"/>
      <c r="Y52" s="46" t="n"/>
      <c r="Z52" s="46" t="n"/>
      <c r="AA52" s="46" t="n"/>
      <c r="AB52" s="46" t="n"/>
      <c r="AC52" s="46" t="n"/>
      <c r="AD52" s="46" t="n"/>
      <c r="AE52" s="46" t="n"/>
      <c r="AF52" s="46" t="n"/>
      <c r="AG52" s="46" t="n"/>
      <c r="AH52" s="46" t="n"/>
      <c r="AI52" s="46" t="n"/>
      <c r="AJ52" s="46" t="n"/>
      <c r="AK52" s="46" t="n"/>
      <c r="AL52" s="46" t="n"/>
      <c r="AM52" s="46" t="n"/>
      <c r="AN52" s="46" t="n"/>
      <c r="AO52" s="46" t="n"/>
      <c r="AP52" s="46" t="n"/>
      <c r="AQ52" s="46" t="n"/>
      <c r="AR52" s="46" t="n"/>
      <c r="AS52" s="46" t="n"/>
      <c r="AV52" s="36">
        <f>IF($C52="","",EMPLOYES!M55)</f>
        <v/>
      </c>
      <c r="AW52" s="36">
        <f>IF($C52="",0,SUMPRODUCT(--(O52:AS52="C")))</f>
        <v/>
      </c>
      <c r="AX52" s="36">
        <f>IF($C52="",0,SUMPRODUCT(--(O52:AS52="R")))</f>
        <v/>
      </c>
      <c r="AY52" s="44" t="n"/>
    </row>
    <row r="53" outlineLevel="1" ht="15" customHeight="1" s="15">
      <c r="B53" s="41" t="n">
        <v>1</v>
      </c>
      <c r="C53" s="42">
        <f>IF(EMPLOYES!C56="","",EMPLOYES!C56)</f>
        <v/>
      </c>
      <c r="D53" s="43">
        <f>IF(EMPLOYES!C56="","",EMPLOYES!D56)</f>
        <v/>
      </c>
      <c r="E53" s="44" t="n"/>
      <c r="F53" s="42" t="n"/>
      <c r="G53" s="41">
        <f>IF($C53="",0,MAX(0,$M53-$N53))</f>
        <v/>
      </c>
      <c r="H53" s="45" t="n"/>
      <c r="I53" s="41">
        <f>IF($C53="","",IF(H53="","OK",IF(H53&gt;EMPLOYES!P56,"⚠ Avance &gt; salaire",IF(H53&gt;EMPLOYES!P56*PARAMETRES!$C$218,"⚠ Avance élevée","OK"))))</f>
        <v/>
      </c>
      <c r="J53" s="45" t="n"/>
      <c r="K53" s="46" t="n"/>
      <c r="L53" s="46" t="n"/>
      <c r="M53" s="41">
        <f>IF($C53="","",SUMPRODUCT((PARAMETRES!$B$38:$B$157=PARAMETRES!$C$29)*(PARAMETRES!$C$38:$C$157=1)*(IF(EMPLOYES!M56="5j",PARAMETRES!$I$38:$I$157,PARAMETRES!$H$38:$H$157))))</f>
        <v/>
      </c>
      <c r="N53" s="41">
        <f>IF($C53="","",SUMPRODUCT((O53:AS53="P")+(O53:AS53="F")+(O53:AS53="C")+0.5*(O53:AS53="D"),(1-((O9:AS9=6)*(EMPLOYES!M56="5j")))))</f>
        <v/>
      </c>
      <c r="O53" s="46" t="n"/>
      <c r="P53" s="46" t="n"/>
      <c r="Q53" s="46" t="n"/>
      <c r="R53" s="46" t="n"/>
      <c r="S53" s="46" t="n"/>
      <c r="T53" s="46" t="n"/>
      <c r="U53" s="46" t="n"/>
      <c r="V53" s="46" t="n"/>
      <c r="W53" s="46" t="n"/>
      <c r="X53" s="46" t="n"/>
      <c r="Y53" s="46" t="n"/>
      <c r="Z53" s="46" t="n"/>
      <c r="AA53" s="46" t="n"/>
      <c r="AB53" s="46" t="n"/>
      <c r="AC53" s="46" t="n"/>
      <c r="AD53" s="46" t="n"/>
      <c r="AE53" s="46" t="n"/>
      <c r="AF53" s="46" t="n"/>
      <c r="AG53" s="46" t="n"/>
      <c r="AH53" s="46" t="n"/>
      <c r="AI53" s="46" t="n"/>
      <c r="AJ53" s="46" t="n"/>
      <c r="AK53" s="46" t="n"/>
      <c r="AL53" s="46" t="n"/>
      <c r="AM53" s="46" t="n"/>
      <c r="AN53" s="46" t="n"/>
      <c r="AO53" s="46" t="n"/>
      <c r="AP53" s="46" t="n"/>
      <c r="AQ53" s="46" t="n"/>
      <c r="AR53" s="46" t="n"/>
      <c r="AS53" s="46" t="n"/>
      <c r="AV53" s="36">
        <f>IF($C53="","",EMPLOYES!M56)</f>
        <v/>
      </c>
      <c r="AW53" s="36">
        <f>IF($C53="",0,SUMPRODUCT(--(O53:AS53="C")))</f>
        <v/>
      </c>
      <c r="AX53" s="36">
        <f>IF($C53="",0,SUMPRODUCT(--(O53:AS53="R")))</f>
        <v/>
      </c>
      <c r="AY53" s="44" t="n"/>
    </row>
    <row r="54" outlineLevel="1" ht="15" customHeight="1" s="15">
      <c r="B54" s="41" t="n">
        <v>1</v>
      </c>
      <c r="C54" s="42">
        <f>IF(EMPLOYES!C57="","",EMPLOYES!C57)</f>
        <v/>
      </c>
      <c r="D54" s="43">
        <f>IF(EMPLOYES!C57="","",EMPLOYES!D57)</f>
        <v/>
      </c>
      <c r="E54" s="44" t="n"/>
      <c r="F54" s="42" t="n"/>
      <c r="G54" s="41">
        <f>IF($C54="",0,MAX(0,$M54-$N54))</f>
        <v/>
      </c>
      <c r="H54" s="45" t="n"/>
      <c r="I54" s="41">
        <f>IF($C54="","",IF(H54="","OK",IF(H54&gt;EMPLOYES!P57,"⚠ Avance &gt; salaire",IF(H54&gt;EMPLOYES!P57*PARAMETRES!$C$218,"⚠ Avance élevée","OK"))))</f>
        <v/>
      </c>
      <c r="J54" s="45" t="n"/>
      <c r="K54" s="46" t="n"/>
      <c r="L54" s="46" t="n"/>
      <c r="M54" s="41">
        <f>IF($C54="","",SUMPRODUCT((PARAMETRES!$B$38:$B$157=PARAMETRES!$C$29)*(PARAMETRES!$C$38:$C$157=1)*(IF(EMPLOYES!M57="5j",PARAMETRES!$I$38:$I$157,PARAMETRES!$H$38:$H$157))))</f>
        <v/>
      </c>
      <c r="N54" s="41">
        <f>IF($C54="","",SUMPRODUCT((O54:AS54="P")+(O54:AS54="F")+(O54:AS54="C")+0.5*(O54:AS54="D"),(1-((O9:AS9=6)*(EMPLOYES!M57="5j")))))</f>
        <v/>
      </c>
      <c r="O54" s="46" t="n"/>
      <c r="P54" s="46" t="n"/>
      <c r="Q54" s="46" t="n"/>
      <c r="R54" s="46" t="n"/>
      <c r="S54" s="46" t="n"/>
      <c r="T54" s="46" t="n"/>
      <c r="U54" s="46" t="n"/>
      <c r="V54" s="46" t="n"/>
      <c r="W54" s="46" t="n"/>
      <c r="X54" s="46" t="n"/>
      <c r="Y54" s="46" t="n"/>
      <c r="Z54" s="46" t="n"/>
      <c r="AA54" s="46" t="n"/>
      <c r="AB54" s="46" t="n"/>
      <c r="AC54" s="46" t="n"/>
      <c r="AD54" s="46" t="n"/>
      <c r="AE54" s="46" t="n"/>
      <c r="AF54" s="46" t="n"/>
      <c r="AG54" s="46" t="n"/>
      <c r="AH54" s="46" t="n"/>
      <c r="AI54" s="46" t="n"/>
      <c r="AJ54" s="46" t="n"/>
      <c r="AK54" s="46" t="n"/>
      <c r="AL54" s="46" t="n"/>
      <c r="AM54" s="46" t="n"/>
      <c r="AN54" s="46" t="n"/>
      <c r="AO54" s="46" t="n"/>
      <c r="AP54" s="46" t="n"/>
      <c r="AQ54" s="46" t="n"/>
      <c r="AR54" s="46" t="n"/>
      <c r="AS54" s="46" t="n"/>
      <c r="AV54" s="36">
        <f>IF($C54="","",EMPLOYES!M57)</f>
        <v/>
      </c>
      <c r="AW54" s="36">
        <f>IF($C54="",0,SUMPRODUCT(--(O54:AS54="C")))</f>
        <v/>
      </c>
      <c r="AX54" s="36">
        <f>IF($C54="",0,SUMPRODUCT(--(O54:AS54="R")))</f>
        <v/>
      </c>
      <c r="AY54" s="44" t="n"/>
    </row>
    <row r="55" outlineLevel="1" ht="15" customHeight="1" s="15">
      <c r="B55" s="41" t="n">
        <v>1</v>
      </c>
      <c r="C55" s="42">
        <f>IF(EMPLOYES!C58="","",EMPLOYES!C58)</f>
        <v/>
      </c>
      <c r="D55" s="43">
        <f>IF(EMPLOYES!C58="","",EMPLOYES!D58)</f>
        <v/>
      </c>
      <c r="E55" s="44" t="n"/>
      <c r="F55" s="42" t="n"/>
      <c r="G55" s="41">
        <f>IF($C55="",0,MAX(0,$M55-$N55))</f>
        <v/>
      </c>
      <c r="H55" s="45" t="n"/>
      <c r="I55" s="41">
        <f>IF($C55="","",IF(H55="","OK",IF(H55&gt;EMPLOYES!P58,"⚠ Avance &gt; salaire",IF(H55&gt;EMPLOYES!P58*PARAMETRES!$C$218,"⚠ Avance élevée","OK"))))</f>
        <v/>
      </c>
      <c r="J55" s="45" t="n"/>
      <c r="K55" s="46" t="n"/>
      <c r="L55" s="46" t="n"/>
      <c r="M55" s="41">
        <f>IF($C55="","",SUMPRODUCT((PARAMETRES!$B$38:$B$157=PARAMETRES!$C$29)*(PARAMETRES!$C$38:$C$157=1)*(IF(EMPLOYES!M58="5j",PARAMETRES!$I$38:$I$157,PARAMETRES!$H$38:$H$157))))</f>
        <v/>
      </c>
      <c r="N55" s="41">
        <f>IF($C55="","",SUMPRODUCT((O55:AS55="P")+(O55:AS55="F")+(O55:AS55="C")+0.5*(O55:AS55="D"),(1-((O9:AS9=6)*(EMPLOYES!M58="5j")))))</f>
        <v/>
      </c>
      <c r="O55" s="46" t="n"/>
      <c r="P55" s="46" t="n"/>
      <c r="Q55" s="46" t="n"/>
      <c r="R55" s="46" t="n"/>
      <c r="S55" s="46" t="n"/>
      <c r="T55" s="46" t="n"/>
      <c r="U55" s="46" t="n"/>
      <c r="V55" s="46" t="n"/>
      <c r="W55" s="46" t="n"/>
      <c r="X55" s="46" t="n"/>
      <c r="Y55" s="46" t="n"/>
      <c r="Z55" s="46" t="n"/>
      <c r="AA55" s="46" t="n"/>
      <c r="AB55" s="46" t="n"/>
      <c r="AC55" s="46" t="n"/>
      <c r="AD55" s="46" t="n"/>
      <c r="AE55" s="46" t="n"/>
      <c r="AF55" s="46" t="n"/>
      <c r="AG55" s="46" t="n"/>
      <c r="AH55" s="46" t="n"/>
      <c r="AI55" s="46" t="n"/>
      <c r="AJ55" s="46" t="n"/>
      <c r="AK55" s="46" t="n"/>
      <c r="AL55" s="46" t="n"/>
      <c r="AM55" s="46" t="n"/>
      <c r="AN55" s="46" t="n"/>
      <c r="AO55" s="46" t="n"/>
      <c r="AP55" s="46" t="n"/>
      <c r="AQ55" s="46" t="n"/>
      <c r="AR55" s="46" t="n"/>
      <c r="AS55" s="46" t="n"/>
      <c r="AV55" s="36">
        <f>IF($C55="","",EMPLOYES!M58)</f>
        <v/>
      </c>
      <c r="AW55" s="36">
        <f>IF($C55="",0,SUMPRODUCT(--(O55:AS55="C")))</f>
        <v/>
      </c>
      <c r="AX55" s="36">
        <f>IF($C55="",0,SUMPRODUCT(--(O55:AS55="R")))</f>
        <v/>
      </c>
      <c r="AY55" s="44" t="n"/>
    </row>
    <row r="56" outlineLevel="1" ht="15" customHeight="1" s="15">
      <c r="B56" s="41" t="n">
        <v>1</v>
      </c>
      <c r="C56" s="42">
        <f>IF(EMPLOYES!C59="","",EMPLOYES!C59)</f>
        <v/>
      </c>
      <c r="D56" s="43">
        <f>IF(EMPLOYES!C59="","",EMPLOYES!D59)</f>
        <v/>
      </c>
      <c r="E56" s="44" t="n"/>
      <c r="F56" s="42" t="n"/>
      <c r="G56" s="41">
        <f>IF($C56="",0,MAX(0,$M56-$N56))</f>
        <v/>
      </c>
      <c r="H56" s="45" t="n"/>
      <c r="I56" s="41">
        <f>IF($C56="","",IF(H56="","OK",IF(H56&gt;EMPLOYES!P59,"⚠ Avance &gt; salaire",IF(H56&gt;EMPLOYES!P59*PARAMETRES!$C$218,"⚠ Avance élevée","OK"))))</f>
        <v/>
      </c>
      <c r="J56" s="45" t="n"/>
      <c r="K56" s="46" t="n"/>
      <c r="L56" s="46" t="n"/>
      <c r="M56" s="41">
        <f>IF($C56="","",SUMPRODUCT((PARAMETRES!$B$38:$B$157=PARAMETRES!$C$29)*(PARAMETRES!$C$38:$C$157=1)*(IF(EMPLOYES!M59="5j",PARAMETRES!$I$38:$I$157,PARAMETRES!$H$38:$H$157))))</f>
        <v/>
      </c>
      <c r="N56" s="41">
        <f>IF($C56="","",SUMPRODUCT((O56:AS56="P")+(O56:AS56="F")+(O56:AS56="C")+0.5*(O56:AS56="D"),(1-((O9:AS9=6)*(EMPLOYES!M59="5j")))))</f>
        <v/>
      </c>
      <c r="O56" s="46" t="n"/>
      <c r="P56" s="46" t="n"/>
      <c r="Q56" s="46" t="n"/>
      <c r="R56" s="46" t="n"/>
      <c r="S56" s="46" t="n"/>
      <c r="T56" s="46" t="n"/>
      <c r="U56" s="46" t="n"/>
      <c r="V56" s="46" t="n"/>
      <c r="W56" s="46" t="n"/>
      <c r="X56" s="46" t="n"/>
      <c r="Y56" s="46" t="n"/>
      <c r="Z56" s="46" t="n"/>
      <c r="AA56" s="46" t="n"/>
      <c r="AB56" s="46" t="n"/>
      <c r="AC56" s="46" t="n"/>
      <c r="AD56" s="46" t="n"/>
      <c r="AE56" s="46" t="n"/>
      <c r="AF56" s="46" t="n"/>
      <c r="AG56" s="46" t="n"/>
      <c r="AH56" s="46" t="n"/>
      <c r="AI56" s="46" t="n"/>
      <c r="AJ56" s="46" t="n"/>
      <c r="AK56" s="46" t="n"/>
      <c r="AL56" s="46" t="n"/>
      <c r="AM56" s="46" t="n"/>
      <c r="AN56" s="46" t="n"/>
      <c r="AO56" s="46" t="n"/>
      <c r="AP56" s="46" t="n"/>
      <c r="AQ56" s="46" t="n"/>
      <c r="AR56" s="46" t="n"/>
      <c r="AS56" s="46" t="n"/>
      <c r="AV56" s="36">
        <f>IF($C56="","",EMPLOYES!M59)</f>
        <v/>
      </c>
      <c r="AW56" s="36">
        <f>IF($C56="",0,SUMPRODUCT(--(O56:AS56="C")))</f>
        <v/>
      </c>
      <c r="AX56" s="36">
        <f>IF($C56="",0,SUMPRODUCT(--(O56:AS56="R")))</f>
        <v/>
      </c>
      <c r="AY56" s="44" t="n"/>
    </row>
    <row r="57" outlineLevel="1" ht="15" customHeight="1" s="15">
      <c r="B57" s="41" t="n">
        <v>1</v>
      </c>
      <c r="C57" s="42">
        <f>IF(EMPLOYES!C60="","",EMPLOYES!C60)</f>
        <v/>
      </c>
      <c r="D57" s="43">
        <f>IF(EMPLOYES!C60="","",EMPLOYES!D60)</f>
        <v/>
      </c>
      <c r="E57" s="44" t="n"/>
      <c r="F57" s="42" t="n"/>
      <c r="G57" s="41">
        <f>IF($C57="",0,MAX(0,$M57-$N57))</f>
        <v/>
      </c>
      <c r="H57" s="45" t="n"/>
      <c r="I57" s="41">
        <f>IF($C57="","",IF(H57="","OK",IF(H57&gt;EMPLOYES!P60,"⚠ Avance &gt; salaire",IF(H57&gt;EMPLOYES!P60*PARAMETRES!$C$218,"⚠ Avance élevée","OK"))))</f>
        <v/>
      </c>
      <c r="J57" s="45" t="n"/>
      <c r="K57" s="46" t="n"/>
      <c r="L57" s="46" t="n"/>
      <c r="M57" s="41">
        <f>IF($C57="","",SUMPRODUCT((PARAMETRES!$B$38:$B$157=PARAMETRES!$C$29)*(PARAMETRES!$C$38:$C$157=1)*(IF(EMPLOYES!M60="5j",PARAMETRES!$I$38:$I$157,PARAMETRES!$H$38:$H$157))))</f>
        <v/>
      </c>
      <c r="N57" s="41">
        <f>IF($C57="","",SUMPRODUCT((O57:AS57="P")+(O57:AS57="F")+(O57:AS57="C")+0.5*(O57:AS57="D"),(1-((O9:AS9=6)*(EMPLOYES!M60="5j")))))</f>
        <v/>
      </c>
      <c r="O57" s="46" t="n"/>
      <c r="P57" s="46" t="n"/>
      <c r="Q57" s="46" t="n"/>
      <c r="R57" s="46" t="n"/>
      <c r="S57" s="46" t="n"/>
      <c r="T57" s="46" t="n"/>
      <c r="U57" s="46" t="n"/>
      <c r="V57" s="46" t="n"/>
      <c r="W57" s="46" t="n"/>
      <c r="X57" s="46" t="n"/>
      <c r="Y57" s="46" t="n"/>
      <c r="Z57" s="46" t="n"/>
      <c r="AA57" s="46" t="n"/>
      <c r="AB57" s="46" t="n"/>
      <c r="AC57" s="46" t="n"/>
      <c r="AD57" s="46" t="n"/>
      <c r="AE57" s="46" t="n"/>
      <c r="AF57" s="46" t="n"/>
      <c r="AG57" s="46" t="n"/>
      <c r="AH57" s="46" t="n"/>
      <c r="AI57" s="46" t="n"/>
      <c r="AJ57" s="46" t="n"/>
      <c r="AK57" s="46" t="n"/>
      <c r="AL57" s="46" t="n"/>
      <c r="AM57" s="46" t="n"/>
      <c r="AN57" s="46" t="n"/>
      <c r="AO57" s="46" t="n"/>
      <c r="AP57" s="46" t="n"/>
      <c r="AQ57" s="46" t="n"/>
      <c r="AR57" s="46" t="n"/>
      <c r="AS57" s="46" t="n"/>
      <c r="AV57" s="36">
        <f>IF($C57="","",EMPLOYES!M60)</f>
        <v/>
      </c>
      <c r="AW57" s="36">
        <f>IF($C57="",0,SUMPRODUCT(--(O57:AS57="C")))</f>
        <v/>
      </c>
      <c r="AX57" s="36">
        <f>IF($C57="",0,SUMPRODUCT(--(O57:AS57="R")))</f>
        <v/>
      </c>
      <c r="AY57" s="44" t="n"/>
    </row>
    <row r="58" outlineLevel="1" ht="15" customHeight="1" s="15">
      <c r="B58" s="41" t="n">
        <v>1</v>
      </c>
      <c r="C58" s="42">
        <f>IF(EMPLOYES!C61="","",EMPLOYES!C61)</f>
        <v/>
      </c>
      <c r="D58" s="43">
        <f>IF(EMPLOYES!C61="","",EMPLOYES!D61)</f>
        <v/>
      </c>
      <c r="E58" s="44" t="n"/>
      <c r="F58" s="42" t="n"/>
      <c r="G58" s="41">
        <f>IF($C58="",0,MAX(0,$M58-$N58))</f>
        <v/>
      </c>
      <c r="H58" s="45" t="n"/>
      <c r="I58" s="41">
        <f>IF($C58="","",IF(H58="","OK",IF(H58&gt;EMPLOYES!P61,"⚠ Avance &gt; salaire",IF(H58&gt;EMPLOYES!P61*PARAMETRES!$C$218,"⚠ Avance élevée","OK"))))</f>
        <v/>
      </c>
      <c r="J58" s="45" t="n"/>
      <c r="K58" s="46" t="n"/>
      <c r="L58" s="46" t="n"/>
      <c r="M58" s="41">
        <f>IF($C58="","",SUMPRODUCT((PARAMETRES!$B$38:$B$157=PARAMETRES!$C$29)*(PARAMETRES!$C$38:$C$157=1)*(IF(EMPLOYES!M61="5j",PARAMETRES!$I$38:$I$157,PARAMETRES!$H$38:$H$157))))</f>
        <v/>
      </c>
      <c r="N58" s="41">
        <f>IF($C58="","",SUMPRODUCT((O58:AS58="P")+(O58:AS58="F")+(O58:AS58="C")+0.5*(O58:AS58="D"),(1-((O9:AS9=6)*(EMPLOYES!M61="5j")))))</f>
        <v/>
      </c>
      <c r="O58" s="46" t="n"/>
      <c r="P58" s="46" t="n"/>
      <c r="Q58" s="46" t="n"/>
      <c r="R58" s="46" t="n"/>
      <c r="S58" s="46" t="n"/>
      <c r="T58" s="46" t="n"/>
      <c r="U58" s="46" t="n"/>
      <c r="V58" s="46" t="n"/>
      <c r="W58" s="46" t="n"/>
      <c r="X58" s="46" t="n"/>
      <c r="Y58" s="46" t="n"/>
      <c r="Z58" s="46" t="n"/>
      <c r="AA58" s="46" t="n"/>
      <c r="AB58" s="46" t="n"/>
      <c r="AC58" s="46" t="n"/>
      <c r="AD58" s="46" t="n"/>
      <c r="AE58" s="46" t="n"/>
      <c r="AF58" s="46" t="n"/>
      <c r="AG58" s="46" t="n"/>
      <c r="AH58" s="46" t="n"/>
      <c r="AI58" s="46" t="n"/>
      <c r="AJ58" s="46" t="n"/>
      <c r="AK58" s="46" t="n"/>
      <c r="AL58" s="46" t="n"/>
      <c r="AM58" s="46" t="n"/>
      <c r="AN58" s="46" t="n"/>
      <c r="AO58" s="46" t="n"/>
      <c r="AP58" s="46" t="n"/>
      <c r="AQ58" s="46" t="n"/>
      <c r="AR58" s="46" t="n"/>
      <c r="AS58" s="46" t="n"/>
      <c r="AV58" s="36">
        <f>IF($C58="","",EMPLOYES!M61)</f>
        <v/>
      </c>
      <c r="AW58" s="36">
        <f>IF($C58="",0,SUMPRODUCT(--(O58:AS58="C")))</f>
        <v/>
      </c>
      <c r="AX58" s="36">
        <f>IF($C58="",0,SUMPRODUCT(--(O58:AS58="R")))</f>
        <v/>
      </c>
      <c r="AY58" s="44" t="n"/>
    </row>
    <row r="59" outlineLevel="1" ht="15" customHeight="1" s="15">
      <c r="B59" s="41" t="n">
        <v>1</v>
      </c>
      <c r="C59" s="42">
        <f>IF(EMPLOYES!C62="","",EMPLOYES!C62)</f>
        <v/>
      </c>
      <c r="D59" s="43">
        <f>IF(EMPLOYES!C62="","",EMPLOYES!D62)</f>
        <v/>
      </c>
      <c r="E59" s="44" t="n"/>
      <c r="F59" s="42" t="n"/>
      <c r="G59" s="41">
        <f>IF($C59="",0,MAX(0,$M59-$N59))</f>
        <v/>
      </c>
      <c r="H59" s="45" t="n"/>
      <c r="I59" s="41">
        <f>IF($C59="","",IF(H59="","OK",IF(H59&gt;EMPLOYES!P62,"⚠ Avance &gt; salaire",IF(H59&gt;EMPLOYES!P62*PARAMETRES!$C$218,"⚠ Avance élevée","OK"))))</f>
        <v/>
      </c>
      <c r="J59" s="45" t="n"/>
      <c r="K59" s="46" t="n"/>
      <c r="L59" s="46" t="n"/>
      <c r="M59" s="41">
        <f>IF($C59="","",SUMPRODUCT((PARAMETRES!$B$38:$B$157=PARAMETRES!$C$29)*(PARAMETRES!$C$38:$C$157=1)*(IF(EMPLOYES!M62="5j",PARAMETRES!$I$38:$I$157,PARAMETRES!$H$38:$H$157))))</f>
        <v/>
      </c>
      <c r="N59" s="41">
        <f>IF($C59="","",SUMPRODUCT((O59:AS59="P")+(O59:AS59="F")+(O59:AS59="C")+0.5*(O59:AS59="D"),(1-((O9:AS9=6)*(EMPLOYES!M62="5j")))))</f>
        <v/>
      </c>
      <c r="O59" s="46" t="n"/>
      <c r="P59" s="46" t="n"/>
      <c r="Q59" s="46" t="n"/>
      <c r="R59" s="46" t="n"/>
      <c r="S59" s="46" t="n"/>
      <c r="T59" s="46" t="n"/>
      <c r="U59" s="46" t="n"/>
      <c r="V59" s="46" t="n"/>
      <c r="W59" s="46" t="n"/>
      <c r="X59" s="46" t="n"/>
      <c r="Y59" s="46" t="n"/>
      <c r="Z59" s="46" t="n"/>
      <c r="AA59" s="46" t="n"/>
      <c r="AB59" s="46" t="n"/>
      <c r="AC59" s="46" t="n"/>
      <c r="AD59" s="46" t="n"/>
      <c r="AE59" s="46" t="n"/>
      <c r="AF59" s="46" t="n"/>
      <c r="AG59" s="46" t="n"/>
      <c r="AH59" s="46" t="n"/>
      <c r="AI59" s="46" t="n"/>
      <c r="AJ59" s="46" t="n"/>
      <c r="AK59" s="46" t="n"/>
      <c r="AL59" s="46" t="n"/>
      <c r="AM59" s="46" t="n"/>
      <c r="AN59" s="46" t="n"/>
      <c r="AO59" s="46" t="n"/>
      <c r="AP59" s="46" t="n"/>
      <c r="AQ59" s="46" t="n"/>
      <c r="AR59" s="46" t="n"/>
      <c r="AS59" s="46" t="n"/>
      <c r="AV59" s="36">
        <f>IF($C59="","",EMPLOYES!M62)</f>
        <v/>
      </c>
      <c r="AW59" s="36">
        <f>IF($C59="",0,SUMPRODUCT(--(O59:AS59="C")))</f>
        <v/>
      </c>
      <c r="AX59" s="36">
        <f>IF($C59="",0,SUMPRODUCT(--(O59:AS59="R")))</f>
        <v/>
      </c>
      <c r="AY59" s="44" t="n"/>
    </row>
    <row r="60" outlineLevel="1" ht="15" customHeight="1" s="15">
      <c r="B60" s="41" t="n">
        <v>1</v>
      </c>
      <c r="C60" s="42">
        <f>IF(EMPLOYES!C63="","",EMPLOYES!C63)</f>
        <v/>
      </c>
      <c r="D60" s="43">
        <f>IF(EMPLOYES!C63="","",EMPLOYES!D63)</f>
        <v/>
      </c>
      <c r="E60" s="44" t="n"/>
      <c r="F60" s="42" t="n"/>
      <c r="G60" s="41">
        <f>IF($C60="",0,MAX(0,$M60-$N60))</f>
        <v/>
      </c>
      <c r="H60" s="45" t="n"/>
      <c r="I60" s="41">
        <f>IF($C60="","",IF(H60="","OK",IF(H60&gt;EMPLOYES!P63,"⚠ Avance &gt; salaire",IF(H60&gt;EMPLOYES!P63*PARAMETRES!$C$218,"⚠ Avance élevée","OK"))))</f>
        <v/>
      </c>
      <c r="J60" s="45" t="n"/>
      <c r="K60" s="46" t="n"/>
      <c r="L60" s="46" t="n"/>
      <c r="M60" s="41">
        <f>IF($C60="","",SUMPRODUCT((PARAMETRES!$B$38:$B$157=PARAMETRES!$C$29)*(PARAMETRES!$C$38:$C$157=1)*(IF(EMPLOYES!M63="5j",PARAMETRES!$I$38:$I$157,PARAMETRES!$H$38:$H$157))))</f>
        <v/>
      </c>
      <c r="N60" s="41">
        <f>IF($C60="","",SUMPRODUCT((O60:AS60="P")+(O60:AS60="F")+(O60:AS60="C")+0.5*(O60:AS60="D"),(1-((O9:AS9=6)*(EMPLOYES!M63="5j")))))</f>
        <v/>
      </c>
      <c r="O60" s="46" t="n"/>
      <c r="P60" s="46" t="n"/>
      <c r="Q60" s="46" t="n"/>
      <c r="R60" s="46" t="n"/>
      <c r="S60" s="46" t="n"/>
      <c r="T60" s="46" t="n"/>
      <c r="U60" s="46" t="n"/>
      <c r="V60" s="46" t="n"/>
      <c r="W60" s="46" t="n"/>
      <c r="X60" s="46" t="n"/>
      <c r="Y60" s="46" t="n"/>
      <c r="Z60" s="46" t="n"/>
      <c r="AA60" s="46" t="n"/>
      <c r="AB60" s="46" t="n"/>
      <c r="AC60" s="46" t="n"/>
      <c r="AD60" s="46" t="n"/>
      <c r="AE60" s="46" t="n"/>
      <c r="AF60" s="46" t="n"/>
      <c r="AG60" s="46" t="n"/>
      <c r="AH60" s="46" t="n"/>
      <c r="AI60" s="46" t="n"/>
      <c r="AJ60" s="46" t="n"/>
      <c r="AK60" s="46" t="n"/>
      <c r="AL60" s="46" t="n"/>
      <c r="AM60" s="46" t="n"/>
      <c r="AN60" s="46" t="n"/>
      <c r="AO60" s="46" t="n"/>
      <c r="AP60" s="46" t="n"/>
      <c r="AQ60" s="46" t="n"/>
      <c r="AR60" s="46" t="n"/>
      <c r="AS60" s="46" t="n"/>
      <c r="AV60" s="36">
        <f>IF($C60="","",EMPLOYES!M63)</f>
        <v/>
      </c>
      <c r="AW60" s="36">
        <f>IF($C60="",0,SUMPRODUCT(--(O60:AS60="C")))</f>
        <v/>
      </c>
      <c r="AX60" s="36">
        <f>IF($C60="",0,SUMPRODUCT(--(O60:AS60="R")))</f>
        <v/>
      </c>
      <c r="AY60" s="44" t="n"/>
    </row>
    <row r="61" outlineLevel="1" ht="15" customHeight="1" s="15">
      <c r="B61" s="41" t="n">
        <v>1</v>
      </c>
      <c r="C61" s="42">
        <f>IF(EMPLOYES!C64="","",EMPLOYES!C64)</f>
        <v/>
      </c>
      <c r="D61" s="43">
        <f>IF(EMPLOYES!C64="","",EMPLOYES!D64)</f>
        <v/>
      </c>
      <c r="E61" s="44" t="n"/>
      <c r="F61" s="42" t="n"/>
      <c r="G61" s="41">
        <f>IF($C61="",0,MAX(0,$M61-$N61))</f>
        <v/>
      </c>
      <c r="H61" s="45" t="n"/>
      <c r="I61" s="41">
        <f>IF($C61="","",IF(H61="","OK",IF(H61&gt;EMPLOYES!P64,"⚠ Avance &gt; salaire",IF(H61&gt;EMPLOYES!P64*PARAMETRES!$C$218,"⚠ Avance élevée","OK"))))</f>
        <v/>
      </c>
      <c r="J61" s="45" t="n"/>
      <c r="K61" s="46" t="n"/>
      <c r="L61" s="46" t="n"/>
      <c r="M61" s="41">
        <f>IF($C61="","",SUMPRODUCT((PARAMETRES!$B$38:$B$157=PARAMETRES!$C$29)*(PARAMETRES!$C$38:$C$157=1)*(IF(EMPLOYES!M64="5j",PARAMETRES!$I$38:$I$157,PARAMETRES!$H$38:$H$157))))</f>
        <v/>
      </c>
      <c r="N61" s="41">
        <f>IF($C61="","",SUMPRODUCT((O61:AS61="P")+(O61:AS61="F")+(O61:AS61="C")+0.5*(O61:AS61="D"),(1-((O9:AS9=6)*(EMPLOYES!M64="5j")))))</f>
        <v/>
      </c>
      <c r="O61" s="46" t="n"/>
      <c r="P61" s="46" t="n"/>
      <c r="Q61" s="46" t="n"/>
      <c r="R61" s="46" t="n"/>
      <c r="S61" s="46" t="n"/>
      <c r="T61" s="46" t="n"/>
      <c r="U61" s="46" t="n"/>
      <c r="V61" s="46" t="n"/>
      <c r="W61" s="46" t="n"/>
      <c r="X61" s="46" t="n"/>
      <c r="Y61" s="46" t="n"/>
      <c r="Z61" s="46" t="n"/>
      <c r="AA61" s="46" t="n"/>
      <c r="AB61" s="46" t="n"/>
      <c r="AC61" s="46" t="n"/>
      <c r="AD61" s="46" t="n"/>
      <c r="AE61" s="46" t="n"/>
      <c r="AF61" s="46" t="n"/>
      <c r="AG61" s="46" t="n"/>
      <c r="AH61" s="46" t="n"/>
      <c r="AI61" s="46" t="n"/>
      <c r="AJ61" s="46" t="n"/>
      <c r="AK61" s="46" t="n"/>
      <c r="AL61" s="46" t="n"/>
      <c r="AM61" s="46" t="n"/>
      <c r="AN61" s="46" t="n"/>
      <c r="AO61" s="46" t="n"/>
      <c r="AP61" s="46" t="n"/>
      <c r="AQ61" s="46" t="n"/>
      <c r="AR61" s="46" t="n"/>
      <c r="AS61" s="46" t="n"/>
      <c r="AV61" s="36">
        <f>IF($C61="","",EMPLOYES!M64)</f>
        <v/>
      </c>
      <c r="AW61" s="36">
        <f>IF($C61="",0,SUMPRODUCT(--(O61:AS61="C")))</f>
        <v/>
      </c>
      <c r="AX61" s="36">
        <f>IF($C61="",0,SUMPRODUCT(--(O61:AS61="R")))</f>
        <v/>
      </c>
      <c r="AY61" s="44" t="n"/>
    </row>
    <row r="62" outlineLevel="1" ht="15" customHeight="1" s="15">
      <c r="B62" s="41" t="n">
        <v>1</v>
      </c>
      <c r="C62" s="42">
        <f>IF(EMPLOYES!C65="","",EMPLOYES!C65)</f>
        <v/>
      </c>
      <c r="D62" s="43">
        <f>IF(EMPLOYES!C65="","",EMPLOYES!D65)</f>
        <v/>
      </c>
      <c r="E62" s="44" t="n"/>
      <c r="F62" s="42" t="n"/>
      <c r="G62" s="41">
        <f>IF($C62="",0,MAX(0,$M62-$N62))</f>
        <v/>
      </c>
      <c r="H62" s="45" t="n"/>
      <c r="I62" s="41">
        <f>IF($C62="","",IF(H62="","OK",IF(H62&gt;EMPLOYES!P65,"⚠ Avance &gt; salaire",IF(H62&gt;EMPLOYES!P65*PARAMETRES!$C$218,"⚠ Avance élevée","OK"))))</f>
        <v/>
      </c>
      <c r="J62" s="45" t="n"/>
      <c r="K62" s="46" t="n"/>
      <c r="L62" s="46" t="n"/>
      <c r="M62" s="41">
        <f>IF($C62="","",SUMPRODUCT((PARAMETRES!$B$38:$B$157=PARAMETRES!$C$29)*(PARAMETRES!$C$38:$C$157=1)*(IF(EMPLOYES!M65="5j",PARAMETRES!$I$38:$I$157,PARAMETRES!$H$38:$H$157))))</f>
        <v/>
      </c>
      <c r="N62" s="41">
        <f>IF($C62="","",SUMPRODUCT((O62:AS62="P")+(O62:AS62="F")+(O62:AS62="C")+0.5*(O62:AS62="D"),(1-((O9:AS9=6)*(EMPLOYES!M65="5j")))))</f>
        <v/>
      </c>
      <c r="O62" s="46" t="n"/>
      <c r="P62" s="46" t="n"/>
      <c r="Q62" s="46" t="n"/>
      <c r="R62" s="46" t="n"/>
      <c r="S62" s="46" t="n"/>
      <c r="T62" s="46" t="n"/>
      <c r="U62" s="46" t="n"/>
      <c r="V62" s="46" t="n"/>
      <c r="W62" s="46" t="n"/>
      <c r="X62" s="46" t="n"/>
      <c r="Y62" s="46" t="n"/>
      <c r="Z62" s="46" t="n"/>
      <c r="AA62" s="46" t="n"/>
      <c r="AB62" s="46" t="n"/>
      <c r="AC62" s="46" t="n"/>
      <c r="AD62" s="46" t="n"/>
      <c r="AE62" s="46" t="n"/>
      <c r="AF62" s="46" t="n"/>
      <c r="AG62" s="46" t="n"/>
      <c r="AH62" s="46" t="n"/>
      <c r="AI62" s="46" t="n"/>
      <c r="AJ62" s="46" t="n"/>
      <c r="AK62" s="46" t="n"/>
      <c r="AL62" s="46" t="n"/>
      <c r="AM62" s="46" t="n"/>
      <c r="AN62" s="46" t="n"/>
      <c r="AO62" s="46" t="n"/>
      <c r="AP62" s="46" t="n"/>
      <c r="AQ62" s="46" t="n"/>
      <c r="AR62" s="46" t="n"/>
      <c r="AS62" s="46" t="n"/>
      <c r="AV62" s="36">
        <f>IF($C62="","",EMPLOYES!M65)</f>
        <v/>
      </c>
      <c r="AW62" s="36">
        <f>IF($C62="",0,SUMPRODUCT(--(O62:AS62="C")))</f>
        <v/>
      </c>
      <c r="AX62" s="36">
        <f>IF($C62="",0,SUMPRODUCT(--(O62:AS62="R")))</f>
        <v/>
      </c>
      <c r="AY62" s="44" t="n"/>
    </row>
    <row r="63" outlineLevel="1" ht="15" customHeight="1" s="15">
      <c r="B63" s="41" t="n">
        <v>1</v>
      </c>
      <c r="C63" s="42">
        <f>IF(EMPLOYES!C66="","",EMPLOYES!C66)</f>
        <v/>
      </c>
      <c r="D63" s="43">
        <f>IF(EMPLOYES!C66="","",EMPLOYES!D66)</f>
        <v/>
      </c>
      <c r="E63" s="44" t="n"/>
      <c r="F63" s="42" t="n"/>
      <c r="G63" s="41">
        <f>IF($C63="",0,MAX(0,$M63-$N63))</f>
        <v/>
      </c>
      <c r="H63" s="45" t="n"/>
      <c r="I63" s="41">
        <f>IF($C63="","",IF(H63="","OK",IF(H63&gt;EMPLOYES!P66,"⚠ Avance &gt; salaire",IF(H63&gt;EMPLOYES!P66*PARAMETRES!$C$218,"⚠ Avance élevée","OK"))))</f>
        <v/>
      </c>
      <c r="J63" s="45" t="n"/>
      <c r="K63" s="46" t="n"/>
      <c r="L63" s="46" t="n"/>
      <c r="M63" s="41">
        <f>IF($C63="","",SUMPRODUCT((PARAMETRES!$B$38:$B$157=PARAMETRES!$C$29)*(PARAMETRES!$C$38:$C$157=1)*(IF(EMPLOYES!M66="5j",PARAMETRES!$I$38:$I$157,PARAMETRES!$H$38:$H$157))))</f>
        <v/>
      </c>
      <c r="N63" s="41">
        <f>IF($C63="","",SUMPRODUCT((O63:AS63="P")+(O63:AS63="F")+(O63:AS63="C")+0.5*(O63:AS63="D"),(1-((O9:AS9=6)*(EMPLOYES!M66="5j")))))</f>
        <v/>
      </c>
      <c r="O63" s="46" t="n"/>
      <c r="P63" s="46" t="n"/>
      <c r="Q63" s="46" t="n"/>
      <c r="R63" s="46" t="n"/>
      <c r="S63" s="46" t="n"/>
      <c r="T63" s="46" t="n"/>
      <c r="U63" s="46" t="n"/>
      <c r="V63" s="46" t="n"/>
      <c r="W63" s="46" t="n"/>
      <c r="X63" s="46" t="n"/>
      <c r="Y63" s="46" t="n"/>
      <c r="Z63" s="46" t="n"/>
      <c r="AA63" s="46" t="n"/>
      <c r="AB63" s="46" t="n"/>
      <c r="AC63" s="46" t="n"/>
      <c r="AD63" s="46" t="n"/>
      <c r="AE63" s="46" t="n"/>
      <c r="AF63" s="46" t="n"/>
      <c r="AG63" s="46" t="n"/>
      <c r="AH63" s="46" t="n"/>
      <c r="AI63" s="46" t="n"/>
      <c r="AJ63" s="46" t="n"/>
      <c r="AK63" s="46" t="n"/>
      <c r="AL63" s="46" t="n"/>
      <c r="AM63" s="46" t="n"/>
      <c r="AN63" s="46" t="n"/>
      <c r="AO63" s="46" t="n"/>
      <c r="AP63" s="46" t="n"/>
      <c r="AQ63" s="46" t="n"/>
      <c r="AR63" s="46" t="n"/>
      <c r="AS63" s="46" t="n"/>
      <c r="AV63" s="36">
        <f>IF($C63="","",EMPLOYES!M66)</f>
        <v/>
      </c>
      <c r="AW63" s="36">
        <f>IF($C63="",0,SUMPRODUCT(--(O63:AS63="C")))</f>
        <v/>
      </c>
      <c r="AX63" s="36">
        <f>IF($C63="",0,SUMPRODUCT(--(O63:AS63="R")))</f>
        <v/>
      </c>
      <c r="AY63" s="44" t="n"/>
    </row>
    <row r="64" outlineLevel="1" ht="15" customHeight="1" s="15">
      <c r="B64" s="41" t="n">
        <v>1</v>
      </c>
      <c r="C64" s="42">
        <f>IF(EMPLOYES!C67="","",EMPLOYES!C67)</f>
        <v/>
      </c>
      <c r="D64" s="43">
        <f>IF(EMPLOYES!C67="","",EMPLOYES!D67)</f>
        <v/>
      </c>
      <c r="E64" s="44" t="n"/>
      <c r="F64" s="42" t="n"/>
      <c r="G64" s="41">
        <f>IF($C64="",0,MAX(0,$M64-$N64))</f>
        <v/>
      </c>
      <c r="H64" s="45" t="n"/>
      <c r="I64" s="41">
        <f>IF($C64="","",IF(H64="","OK",IF(H64&gt;EMPLOYES!P67,"⚠ Avance &gt; salaire",IF(H64&gt;EMPLOYES!P67*PARAMETRES!$C$218,"⚠ Avance élevée","OK"))))</f>
        <v/>
      </c>
      <c r="J64" s="45" t="n"/>
      <c r="K64" s="46" t="n"/>
      <c r="L64" s="46" t="n"/>
      <c r="M64" s="41">
        <f>IF($C64="","",SUMPRODUCT((PARAMETRES!$B$38:$B$157=PARAMETRES!$C$29)*(PARAMETRES!$C$38:$C$157=1)*(IF(EMPLOYES!M67="5j",PARAMETRES!$I$38:$I$157,PARAMETRES!$H$38:$H$157))))</f>
        <v/>
      </c>
      <c r="N64" s="41">
        <f>IF($C64="","",SUMPRODUCT((O64:AS64="P")+(O64:AS64="F")+(O64:AS64="C")+0.5*(O64:AS64="D"),(1-((O9:AS9=6)*(EMPLOYES!M67="5j")))))</f>
        <v/>
      </c>
      <c r="O64" s="46" t="n"/>
      <c r="P64" s="46" t="n"/>
      <c r="Q64" s="46" t="n"/>
      <c r="R64" s="46" t="n"/>
      <c r="S64" s="46" t="n"/>
      <c r="T64" s="46" t="n"/>
      <c r="U64" s="46" t="n"/>
      <c r="V64" s="46" t="n"/>
      <c r="W64" s="46" t="n"/>
      <c r="X64" s="46" t="n"/>
      <c r="Y64" s="46" t="n"/>
      <c r="Z64" s="46" t="n"/>
      <c r="AA64" s="46" t="n"/>
      <c r="AB64" s="46" t="n"/>
      <c r="AC64" s="46" t="n"/>
      <c r="AD64" s="46" t="n"/>
      <c r="AE64" s="46" t="n"/>
      <c r="AF64" s="46" t="n"/>
      <c r="AG64" s="46" t="n"/>
      <c r="AH64" s="46" t="n"/>
      <c r="AI64" s="46" t="n"/>
      <c r="AJ64" s="46" t="n"/>
      <c r="AK64" s="46" t="n"/>
      <c r="AL64" s="46" t="n"/>
      <c r="AM64" s="46" t="n"/>
      <c r="AN64" s="46" t="n"/>
      <c r="AO64" s="46" t="n"/>
      <c r="AP64" s="46" t="n"/>
      <c r="AQ64" s="46" t="n"/>
      <c r="AR64" s="46" t="n"/>
      <c r="AS64" s="46" t="n"/>
      <c r="AV64" s="36">
        <f>IF($C64="","",EMPLOYES!M67)</f>
        <v/>
      </c>
      <c r="AW64" s="36">
        <f>IF($C64="",0,SUMPRODUCT(--(O64:AS64="C")))</f>
        <v/>
      </c>
      <c r="AX64" s="36">
        <f>IF($C64="",0,SUMPRODUCT(--(O64:AS64="R")))</f>
        <v/>
      </c>
      <c r="AY64" s="44" t="n"/>
    </row>
    <row r="65" outlineLevel="1" ht="15" customHeight="1" s="15">
      <c r="B65" s="41" t="n">
        <v>1</v>
      </c>
      <c r="C65" s="42">
        <f>IF(EMPLOYES!C68="","",EMPLOYES!C68)</f>
        <v/>
      </c>
      <c r="D65" s="43">
        <f>IF(EMPLOYES!C68="","",EMPLOYES!D68)</f>
        <v/>
      </c>
      <c r="E65" s="44" t="n"/>
      <c r="F65" s="42" t="n"/>
      <c r="G65" s="41">
        <f>IF($C65="",0,MAX(0,$M65-$N65))</f>
        <v/>
      </c>
      <c r="H65" s="45" t="n"/>
      <c r="I65" s="41">
        <f>IF($C65="","",IF(H65="","OK",IF(H65&gt;EMPLOYES!P68,"⚠ Avance &gt; salaire",IF(H65&gt;EMPLOYES!P68*PARAMETRES!$C$218,"⚠ Avance élevée","OK"))))</f>
        <v/>
      </c>
      <c r="J65" s="45" t="n"/>
      <c r="K65" s="46" t="n"/>
      <c r="L65" s="46" t="n"/>
      <c r="M65" s="41">
        <f>IF($C65="","",SUMPRODUCT((PARAMETRES!$B$38:$B$157=PARAMETRES!$C$29)*(PARAMETRES!$C$38:$C$157=1)*(IF(EMPLOYES!M68="5j",PARAMETRES!$I$38:$I$157,PARAMETRES!$H$38:$H$157))))</f>
        <v/>
      </c>
      <c r="N65" s="41">
        <f>IF($C65="","",SUMPRODUCT((O65:AS65="P")+(O65:AS65="F")+(O65:AS65="C")+0.5*(O65:AS65="D"),(1-((O9:AS9=6)*(EMPLOYES!M68="5j")))))</f>
        <v/>
      </c>
      <c r="O65" s="46" t="n"/>
      <c r="P65" s="46" t="n"/>
      <c r="Q65" s="46" t="n"/>
      <c r="R65" s="46" t="n"/>
      <c r="S65" s="46" t="n"/>
      <c r="T65" s="46" t="n"/>
      <c r="U65" s="46" t="n"/>
      <c r="V65" s="46" t="n"/>
      <c r="W65" s="46" t="n"/>
      <c r="X65" s="46" t="n"/>
      <c r="Y65" s="46" t="n"/>
      <c r="Z65" s="46" t="n"/>
      <c r="AA65" s="46" t="n"/>
      <c r="AB65" s="46" t="n"/>
      <c r="AC65" s="46" t="n"/>
      <c r="AD65" s="46" t="n"/>
      <c r="AE65" s="46" t="n"/>
      <c r="AF65" s="46" t="n"/>
      <c r="AG65" s="46" t="n"/>
      <c r="AH65" s="46" t="n"/>
      <c r="AI65" s="46" t="n"/>
      <c r="AJ65" s="46" t="n"/>
      <c r="AK65" s="46" t="n"/>
      <c r="AL65" s="46" t="n"/>
      <c r="AM65" s="46" t="n"/>
      <c r="AN65" s="46" t="n"/>
      <c r="AO65" s="46" t="n"/>
      <c r="AP65" s="46" t="n"/>
      <c r="AQ65" s="46" t="n"/>
      <c r="AR65" s="46" t="n"/>
      <c r="AS65" s="46" t="n"/>
      <c r="AV65" s="36">
        <f>IF($C65="","",EMPLOYES!M68)</f>
        <v/>
      </c>
      <c r="AW65" s="36">
        <f>IF($C65="",0,SUMPRODUCT(--(O65:AS65="C")))</f>
        <v/>
      </c>
      <c r="AX65" s="36">
        <f>IF($C65="",0,SUMPRODUCT(--(O65:AS65="R")))</f>
        <v/>
      </c>
      <c r="AY65" s="44" t="n"/>
    </row>
    <row r="66" outlineLevel="1" ht="15" customHeight="1" s="15">
      <c r="B66" s="41" t="n">
        <v>1</v>
      </c>
      <c r="C66" s="42">
        <f>IF(EMPLOYES!C69="","",EMPLOYES!C69)</f>
        <v/>
      </c>
      <c r="D66" s="43">
        <f>IF(EMPLOYES!C69="","",EMPLOYES!D69)</f>
        <v/>
      </c>
      <c r="E66" s="44" t="n"/>
      <c r="F66" s="42" t="n"/>
      <c r="G66" s="41">
        <f>IF($C66="",0,MAX(0,$M66-$N66))</f>
        <v/>
      </c>
      <c r="H66" s="45" t="n"/>
      <c r="I66" s="41">
        <f>IF($C66="","",IF(H66="","OK",IF(H66&gt;EMPLOYES!P69,"⚠ Avance &gt; salaire",IF(H66&gt;EMPLOYES!P69*PARAMETRES!$C$218,"⚠ Avance élevée","OK"))))</f>
        <v/>
      </c>
      <c r="J66" s="45" t="n"/>
      <c r="K66" s="46" t="n"/>
      <c r="L66" s="46" t="n"/>
      <c r="M66" s="41">
        <f>IF($C66="","",SUMPRODUCT((PARAMETRES!$B$38:$B$157=PARAMETRES!$C$29)*(PARAMETRES!$C$38:$C$157=1)*(IF(EMPLOYES!M69="5j",PARAMETRES!$I$38:$I$157,PARAMETRES!$H$38:$H$157))))</f>
        <v/>
      </c>
      <c r="N66" s="41">
        <f>IF($C66="","",SUMPRODUCT((O66:AS66="P")+(O66:AS66="F")+(O66:AS66="C")+0.5*(O66:AS66="D"),(1-((O9:AS9=6)*(EMPLOYES!M69="5j")))))</f>
        <v/>
      </c>
      <c r="O66" s="46" t="n"/>
      <c r="P66" s="46" t="n"/>
      <c r="Q66" s="46" t="n"/>
      <c r="R66" s="46" t="n"/>
      <c r="S66" s="46" t="n"/>
      <c r="T66" s="46" t="n"/>
      <c r="U66" s="46" t="n"/>
      <c r="V66" s="46" t="n"/>
      <c r="W66" s="46" t="n"/>
      <c r="X66" s="46" t="n"/>
      <c r="Y66" s="46" t="n"/>
      <c r="Z66" s="46" t="n"/>
      <c r="AA66" s="46" t="n"/>
      <c r="AB66" s="46" t="n"/>
      <c r="AC66" s="46" t="n"/>
      <c r="AD66" s="46" t="n"/>
      <c r="AE66" s="46" t="n"/>
      <c r="AF66" s="46" t="n"/>
      <c r="AG66" s="46" t="n"/>
      <c r="AH66" s="46" t="n"/>
      <c r="AI66" s="46" t="n"/>
      <c r="AJ66" s="46" t="n"/>
      <c r="AK66" s="46" t="n"/>
      <c r="AL66" s="46" t="n"/>
      <c r="AM66" s="46" t="n"/>
      <c r="AN66" s="46" t="n"/>
      <c r="AO66" s="46" t="n"/>
      <c r="AP66" s="46" t="n"/>
      <c r="AQ66" s="46" t="n"/>
      <c r="AR66" s="46" t="n"/>
      <c r="AS66" s="46" t="n"/>
      <c r="AV66" s="36">
        <f>IF($C66="","",EMPLOYES!M69)</f>
        <v/>
      </c>
      <c r="AW66" s="36">
        <f>IF($C66="",0,SUMPRODUCT(--(O66:AS66="C")))</f>
        <v/>
      </c>
      <c r="AX66" s="36">
        <f>IF($C66="",0,SUMPRODUCT(--(O66:AS66="R")))</f>
        <v/>
      </c>
      <c r="AY66" s="44" t="n"/>
    </row>
    <row r="67" outlineLevel="1" ht="15" customHeight="1" s="15">
      <c r="B67" s="41" t="n">
        <v>1</v>
      </c>
      <c r="C67" s="42">
        <f>IF(EMPLOYES!C70="","",EMPLOYES!C70)</f>
        <v/>
      </c>
      <c r="D67" s="43">
        <f>IF(EMPLOYES!C70="","",EMPLOYES!D70)</f>
        <v/>
      </c>
      <c r="E67" s="44" t="n"/>
      <c r="F67" s="42" t="n"/>
      <c r="G67" s="41">
        <f>IF($C67="",0,MAX(0,$M67-$N67))</f>
        <v/>
      </c>
      <c r="H67" s="45" t="n"/>
      <c r="I67" s="41">
        <f>IF($C67="","",IF(H67="","OK",IF(H67&gt;EMPLOYES!P70,"⚠ Avance &gt; salaire",IF(H67&gt;EMPLOYES!P70*PARAMETRES!$C$218,"⚠ Avance élevée","OK"))))</f>
        <v/>
      </c>
      <c r="J67" s="45" t="n"/>
      <c r="K67" s="46" t="n"/>
      <c r="L67" s="46" t="n"/>
      <c r="M67" s="41">
        <f>IF($C67="","",SUMPRODUCT((PARAMETRES!$B$38:$B$157=PARAMETRES!$C$29)*(PARAMETRES!$C$38:$C$157=1)*(IF(EMPLOYES!M70="5j",PARAMETRES!$I$38:$I$157,PARAMETRES!$H$38:$H$157))))</f>
        <v/>
      </c>
      <c r="N67" s="41">
        <f>IF($C67="","",SUMPRODUCT((O67:AS67="P")+(O67:AS67="F")+(O67:AS67="C")+0.5*(O67:AS67="D"),(1-((O9:AS9=6)*(EMPLOYES!M70="5j")))))</f>
        <v/>
      </c>
      <c r="O67" s="46" t="n"/>
      <c r="P67" s="46" t="n"/>
      <c r="Q67" s="46" t="n"/>
      <c r="R67" s="46" t="n"/>
      <c r="S67" s="46" t="n"/>
      <c r="T67" s="46" t="n"/>
      <c r="U67" s="46" t="n"/>
      <c r="V67" s="46" t="n"/>
      <c r="W67" s="46" t="n"/>
      <c r="X67" s="46" t="n"/>
      <c r="Y67" s="46" t="n"/>
      <c r="Z67" s="46" t="n"/>
      <c r="AA67" s="46" t="n"/>
      <c r="AB67" s="46" t="n"/>
      <c r="AC67" s="46" t="n"/>
      <c r="AD67" s="46" t="n"/>
      <c r="AE67" s="46" t="n"/>
      <c r="AF67" s="46" t="n"/>
      <c r="AG67" s="46" t="n"/>
      <c r="AH67" s="46" t="n"/>
      <c r="AI67" s="46" t="n"/>
      <c r="AJ67" s="46" t="n"/>
      <c r="AK67" s="46" t="n"/>
      <c r="AL67" s="46" t="n"/>
      <c r="AM67" s="46" t="n"/>
      <c r="AN67" s="46" t="n"/>
      <c r="AO67" s="46" t="n"/>
      <c r="AP67" s="46" t="n"/>
      <c r="AQ67" s="46" t="n"/>
      <c r="AR67" s="46" t="n"/>
      <c r="AS67" s="46" t="n"/>
      <c r="AV67" s="36">
        <f>IF($C67="","",EMPLOYES!M70)</f>
        <v/>
      </c>
      <c r="AW67" s="36">
        <f>IF($C67="",0,SUMPRODUCT(--(O67:AS67="C")))</f>
        <v/>
      </c>
      <c r="AX67" s="36">
        <f>IF($C67="",0,SUMPRODUCT(--(O67:AS67="R")))</f>
        <v/>
      </c>
      <c r="AY67" s="44" t="n"/>
    </row>
    <row r="68" outlineLevel="1" ht="15" customHeight="1" s="15">
      <c r="B68" s="41" t="n">
        <v>1</v>
      </c>
      <c r="C68" s="42">
        <f>IF(EMPLOYES!C71="","",EMPLOYES!C71)</f>
        <v/>
      </c>
      <c r="D68" s="43">
        <f>IF(EMPLOYES!C71="","",EMPLOYES!D71)</f>
        <v/>
      </c>
      <c r="E68" s="44" t="n"/>
      <c r="F68" s="42" t="n"/>
      <c r="G68" s="41">
        <f>IF($C68="",0,MAX(0,$M68-$N68))</f>
        <v/>
      </c>
      <c r="H68" s="45" t="n"/>
      <c r="I68" s="41">
        <f>IF($C68="","",IF(H68="","OK",IF(H68&gt;EMPLOYES!P71,"⚠ Avance &gt; salaire",IF(H68&gt;EMPLOYES!P71*PARAMETRES!$C$218,"⚠ Avance élevée","OK"))))</f>
        <v/>
      </c>
      <c r="J68" s="45" t="n"/>
      <c r="K68" s="46" t="n"/>
      <c r="L68" s="46" t="n"/>
      <c r="M68" s="41">
        <f>IF($C68="","",SUMPRODUCT((PARAMETRES!$B$38:$B$157=PARAMETRES!$C$29)*(PARAMETRES!$C$38:$C$157=1)*(IF(EMPLOYES!M71="5j",PARAMETRES!$I$38:$I$157,PARAMETRES!$H$38:$H$157))))</f>
        <v/>
      </c>
      <c r="N68" s="41">
        <f>IF($C68="","",SUMPRODUCT((O68:AS68="P")+(O68:AS68="F")+(O68:AS68="C")+0.5*(O68:AS68="D"),(1-((O9:AS9=6)*(EMPLOYES!M71="5j")))))</f>
        <v/>
      </c>
      <c r="O68" s="46" t="n"/>
      <c r="P68" s="46" t="n"/>
      <c r="Q68" s="46" t="n"/>
      <c r="R68" s="46" t="n"/>
      <c r="S68" s="46" t="n"/>
      <c r="T68" s="46" t="n"/>
      <c r="U68" s="46" t="n"/>
      <c r="V68" s="46" t="n"/>
      <c r="W68" s="46" t="n"/>
      <c r="X68" s="46" t="n"/>
      <c r="Y68" s="46" t="n"/>
      <c r="Z68" s="46" t="n"/>
      <c r="AA68" s="46" t="n"/>
      <c r="AB68" s="46" t="n"/>
      <c r="AC68" s="46" t="n"/>
      <c r="AD68" s="46" t="n"/>
      <c r="AE68" s="46" t="n"/>
      <c r="AF68" s="46" t="n"/>
      <c r="AG68" s="46" t="n"/>
      <c r="AH68" s="46" t="n"/>
      <c r="AI68" s="46" t="n"/>
      <c r="AJ68" s="46" t="n"/>
      <c r="AK68" s="46" t="n"/>
      <c r="AL68" s="46" t="n"/>
      <c r="AM68" s="46" t="n"/>
      <c r="AN68" s="46" t="n"/>
      <c r="AO68" s="46" t="n"/>
      <c r="AP68" s="46" t="n"/>
      <c r="AQ68" s="46" t="n"/>
      <c r="AR68" s="46" t="n"/>
      <c r="AS68" s="46" t="n"/>
      <c r="AV68" s="36">
        <f>IF($C68="","",EMPLOYES!M71)</f>
        <v/>
      </c>
      <c r="AW68" s="36">
        <f>IF($C68="",0,SUMPRODUCT(--(O68:AS68="C")))</f>
        <v/>
      </c>
      <c r="AX68" s="36">
        <f>IF($C68="",0,SUMPRODUCT(--(O68:AS68="R")))</f>
        <v/>
      </c>
      <c r="AY68" s="44" t="n"/>
    </row>
    <row r="69" outlineLevel="1" ht="15" customHeight="1" s="15">
      <c r="B69" s="41" t="n">
        <v>1</v>
      </c>
      <c r="C69" s="42">
        <f>IF(EMPLOYES!C72="","",EMPLOYES!C72)</f>
        <v/>
      </c>
      <c r="D69" s="43">
        <f>IF(EMPLOYES!C72="","",EMPLOYES!D72)</f>
        <v/>
      </c>
      <c r="E69" s="44" t="n"/>
      <c r="F69" s="42" t="n"/>
      <c r="G69" s="41">
        <f>IF($C69="",0,MAX(0,$M69-$N69))</f>
        <v/>
      </c>
      <c r="H69" s="45" t="n"/>
      <c r="I69" s="41">
        <f>IF($C69="","",IF(H69="","OK",IF(H69&gt;EMPLOYES!P72,"⚠ Avance &gt; salaire",IF(H69&gt;EMPLOYES!P72*PARAMETRES!$C$218,"⚠ Avance élevée","OK"))))</f>
        <v/>
      </c>
      <c r="J69" s="45" t="n"/>
      <c r="K69" s="46" t="n"/>
      <c r="L69" s="46" t="n"/>
      <c r="M69" s="41">
        <f>IF($C69="","",SUMPRODUCT((PARAMETRES!$B$38:$B$157=PARAMETRES!$C$29)*(PARAMETRES!$C$38:$C$157=1)*(IF(EMPLOYES!M72="5j",PARAMETRES!$I$38:$I$157,PARAMETRES!$H$38:$H$157))))</f>
        <v/>
      </c>
      <c r="N69" s="41">
        <f>IF($C69="","",SUMPRODUCT((O69:AS69="P")+(O69:AS69="F")+(O69:AS69="C")+0.5*(O69:AS69="D"),(1-((O9:AS9=6)*(EMPLOYES!M72="5j")))))</f>
        <v/>
      </c>
      <c r="O69" s="46" t="n"/>
      <c r="P69" s="46" t="n"/>
      <c r="Q69" s="46" t="n"/>
      <c r="R69" s="46" t="n"/>
      <c r="S69" s="46" t="n"/>
      <c r="T69" s="46" t="n"/>
      <c r="U69" s="46" t="n"/>
      <c r="V69" s="46" t="n"/>
      <c r="W69" s="46" t="n"/>
      <c r="X69" s="46" t="n"/>
      <c r="Y69" s="46" t="n"/>
      <c r="Z69" s="46" t="n"/>
      <c r="AA69" s="46" t="n"/>
      <c r="AB69" s="46" t="n"/>
      <c r="AC69" s="46" t="n"/>
      <c r="AD69" s="46" t="n"/>
      <c r="AE69" s="46" t="n"/>
      <c r="AF69" s="46" t="n"/>
      <c r="AG69" s="46" t="n"/>
      <c r="AH69" s="46" t="n"/>
      <c r="AI69" s="46" t="n"/>
      <c r="AJ69" s="46" t="n"/>
      <c r="AK69" s="46" t="n"/>
      <c r="AL69" s="46" t="n"/>
      <c r="AM69" s="46" t="n"/>
      <c r="AN69" s="46" t="n"/>
      <c r="AO69" s="46" t="n"/>
      <c r="AP69" s="46" t="n"/>
      <c r="AQ69" s="46" t="n"/>
      <c r="AR69" s="46" t="n"/>
      <c r="AS69" s="46" t="n"/>
      <c r="AV69" s="36">
        <f>IF($C69="","",EMPLOYES!M72)</f>
        <v/>
      </c>
      <c r="AW69" s="36">
        <f>IF($C69="",0,SUMPRODUCT(--(O69:AS69="C")))</f>
        <v/>
      </c>
      <c r="AX69" s="36">
        <f>IF($C69="",0,SUMPRODUCT(--(O69:AS69="R")))</f>
        <v/>
      </c>
      <c r="AY69" s="44" t="n"/>
    </row>
    <row r="70" outlineLevel="1" ht="15" customHeight="1" s="15">
      <c r="B70" s="41" t="n">
        <v>1</v>
      </c>
      <c r="C70" s="42">
        <f>IF(EMPLOYES!C73="","",EMPLOYES!C73)</f>
        <v/>
      </c>
      <c r="D70" s="43">
        <f>IF(EMPLOYES!C73="","",EMPLOYES!D73)</f>
        <v/>
      </c>
      <c r="E70" s="44" t="n"/>
      <c r="F70" s="42" t="n"/>
      <c r="G70" s="41">
        <f>IF($C70="",0,MAX(0,$M70-$N70))</f>
        <v/>
      </c>
      <c r="H70" s="45" t="n"/>
      <c r="I70" s="41">
        <f>IF($C70="","",IF(H70="","OK",IF(H70&gt;EMPLOYES!P73,"⚠ Avance &gt; salaire",IF(H70&gt;EMPLOYES!P73*PARAMETRES!$C$218,"⚠ Avance élevée","OK"))))</f>
        <v/>
      </c>
      <c r="J70" s="45" t="n"/>
      <c r="K70" s="46" t="n"/>
      <c r="L70" s="46" t="n"/>
      <c r="M70" s="41">
        <f>IF($C70="","",SUMPRODUCT((PARAMETRES!$B$38:$B$157=PARAMETRES!$C$29)*(PARAMETRES!$C$38:$C$157=1)*(IF(EMPLOYES!M73="5j",PARAMETRES!$I$38:$I$157,PARAMETRES!$H$38:$H$157))))</f>
        <v/>
      </c>
      <c r="N70" s="41">
        <f>IF($C70="","",SUMPRODUCT((O70:AS70="P")+(O70:AS70="F")+(O70:AS70="C")+0.5*(O70:AS70="D"),(1-((O9:AS9=6)*(EMPLOYES!M73="5j")))))</f>
        <v/>
      </c>
      <c r="O70" s="46" t="n"/>
      <c r="P70" s="46" t="n"/>
      <c r="Q70" s="46" t="n"/>
      <c r="R70" s="46" t="n"/>
      <c r="S70" s="46" t="n"/>
      <c r="T70" s="46" t="n"/>
      <c r="U70" s="46" t="n"/>
      <c r="V70" s="46" t="n"/>
      <c r="W70" s="46" t="n"/>
      <c r="X70" s="46" t="n"/>
      <c r="Y70" s="46" t="n"/>
      <c r="Z70" s="46" t="n"/>
      <c r="AA70" s="46" t="n"/>
      <c r="AB70" s="46" t="n"/>
      <c r="AC70" s="46" t="n"/>
      <c r="AD70" s="46" t="n"/>
      <c r="AE70" s="46" t="n"/>
      <c r="AF70" s="46" t="n"/>
      <c r="AG70" s="46" t="n"/>
      <c r="AH70" s="46" t="n"/>
      <c r="AI70" s="46" t="n"/>
      <c r="AJ70" s="46" t="n"/>
      <c r="AK70" s="46" t="n"/>
      <c r="AL70" s="46" t="n"/>
      <c r="AM70" s="46" t="n"/>
      <c r="AN70" s="46" t="n"/>
      <c r="AO70" s="46" t="n"/>
      <c r="AP70" s="46" t="n"/>
      <c r="AQ70" s="46" t="n"/>
      <c r="AR70" s="46" t="n"/>
      <c r="AS70" s="46" t="n"/>
      <c r="AV70" s="36">
        <f>IF($C70="","",EMPLOYES!M73)</f>
        <v/>
      </c>
      <c r="AW70" s="36">
        <f>IF($C70="",0,SUMPRODUCT(--(O70:AS70="C")))</f>
        <v/>
      </c>
      <c r="AX70" s="36">
        <f>IF($C70="",0,SUMPRODUCT(--(O70:AS70="R")))</f>
        <v/>
      </c>
      <c r="AY70" s="44" t="n"/>
    </row>
    <row r="71" outlineLevel="1" ht="15" customHeight="1" s="15">
      <c r="B71" s="41" t="n">
        <v>1</v>
      </c>
      <c r="C71" s="42">
        <f>IF(EMPLOYES!C74="","",EMPLOYES!C74)</f>
        <v/>
      </c>
      <c r="D71" s="43">
        <f>IF(EMPLOYES!C74="","",EMPLOYES!D74)</f>
        <v/>
      </c>
      <c r="E71" s="44" t="n"/>
      <c r="F71" s="42" t="n"/>
      <c r="G71" s="41">
        <f>IF($C71="",0,MAX(0,$M71-$N71))</f>
        <v/>
      </c>
      <c r="H71" s="45" t="n"/>
      <c r="I71" s="41">
        <f>IF($C71="","",IF(H71="","OK",IF(H71&gt;EMPLOYES!P74,"⚠ Avance &gt; salaire",IF(H71&gt;EMPLOYES!P74*PARAMETRES!$C$218,"⚠ Avance élevée","OK"))))</f>
        <v/>
      </c>
      <c r="J71" s="45" t="n"/>
      <c r="K71" s="46" t="n"/>
      <c r="L71" s="46" t="n"/>
      <c r="M71" s="41">
        <f>IF($C71="","",SUMPRODUCT((PARAMETRES!$B$38:$B$157=PARAMETRES!$C$29)*(PARAMETRES!$C$38:$C$157=1)*(IF(EMPLOYES!M74="5j",PARAMETRES!$I$38:$I$157,PARAMETRES!$H$38:$H$157))))</f>
        <v/>
      </c>
      <c r="N71" s="41">
        <f>IF($C71="","",SUMPRODUCT((O71:AS71="P")+(O71:AS71="F")+(O71:AS71="C")+0.5*(O71:AS71="D"),(1-((O9:AS9=6)*(EMPLOYES!M74="5j")))))</f>
        <v/>
      </c>
      <c r="O71" s="46" t="n"/>
      <c r="P71" s="46" t="n"/>
      <c r="Q71" s="46" t="n"/>
      <c r="R71" s="46" t="n"/>
      <c r="S71" s="46" t="n"/>
      <c r="T71" s="46" t="n"/>
      <c r="U71" s="46" t="n"/>
      <c r="V71" s="46" t="n"/>
      <c r="W71" s="46" t="n"/>
      <c r="X71" s="46" t="n"/>
      <c r="Y71" s="46" t="n"/>
      <c r="Z71" s="46" t="n"/>
      <c r="AA71" s="46" t="n"/>
      <c r="AB71" s="46" t="n"/>
      <c r="AC71" s="46" t="n"/>
      <c r="AD71" s="46" t="n"/>
      <c r="AE71" s="46" t="n"/>
      <c r="AF71" s="46" t="n"/>
      <c r="AG71" s="46" t="n"/>
      <c r="AH71" s="46" t="n"/>
      <c r="AI71" s="46" t="n"/>
      <c r="AJ71" s="46" t="n"/>
      <c r="AK71" s="46" t="n"/>
      <c r="AL71" s="46" t="n"/>
      <c r="AM71" s="46" t="n"/>
      <c r="AN71" s="46" t="n"/>
      <c r="AO71" s="46" t="n"/>
      <c r="AP71" s="46" t="n"/>
      <c r="AQ71" s="46" t="n"/>
      <c r="AR71" s="46" t="n"/>
      <c r="AS71" s="46" t="n"/>
      <c r="AV71" s="36">
        <f>IF($C71="","",EMPLOYES!M74)</f>
        <v/>
      </c>
      <c r="AW71" s="36">
        <f>IF($C71="",0,SUMPRODUCT(--(O71:AS71="C")))</f>
        <v/>
      </c>
      <c r="AX71" s="36">
        <f>IF($C71="",0,SUMPRODUCT(--(O71:AS71="R")))</f>
        <v/>
      </c>
      <c r="AY71" s="44" t="n"/>
    </row>
    <row r="72" hidden="1" ht="15" customHeight="1" s="15">
      <c r="B72" s="36" t="inlineStr">
        <is>
          <t>Jour sem. (réf. grisage)</t>
        </is>
      </c>
      <c r="O72" s="37">
        <f>IF(1&gt;DAY(EOMONTH(DATE(PARAMETRES!$C$29,1,1),0)),"",WEEKDAY(DATE(PARAMETRES!$C$29,1,1),2))</f>
        <v/>
      </c>
      <c r="P72" s="37">
        <f>IF(2&gt;DAY(EOMONTH(DATE(PARAMETRES!$C$29,1,1),0)),"",WEEKDAY(DATE(PARAMETRES!$C$29,1,2),2))</f>
        <v/>
      </c>
      <c r="Q72" s="37">
        <f>IF(3&gt;DAY(EOMONTH(DATE(PARAMETRES!$C$29,1,1),0)),"",WEEKDAY(DATE(PARAMETRES!$C$29,1,3),2))</f>
        <v/>
      </c>
      <c r="R72" s="37">
        <f>IF(4&gt;DAY(EOMONTH(DATE(PARAMETRES!$C$29,1,1),0)),"",WEEKDAY(DATE(PARAMETRES!$C$29,1,4),2))</f>
        <v/>
      </c>
      <c r="S72" s="37">
        <f>IF(5&gt;DAY(EOMONTH(DATE(PARAMETRES!$C$29,1,1),0)),"",WEEKDAY(DATE(PARAMETRES!$C$29,1,5),2))</f>
        <v/>
      </c>
      <c r="T72" s="37">
        <f>IF(6&gt;DAY(EOMONTH(DATE(PARAMETRES!$C$29,1,1),0)),"",WEEKDAY(DATE(PARAMETRES!$C$29,1,6),2))</f>
        <v/>
      </c>
      <c r="U72" s="37">
        <f>IF(7&gt;DAY(EOMONTH(DATE(PARAMETRES!$C$29,1,1),0)),"",WEEKDAY(DATE(PARAMETRES!$C$29,1,7),2))</f>
        <v/>
      </c>
      <c r="V72" s="37">
        <f>IF(8&gt;DAY(EOMONTH(DATE(PARAMETRES!$C$29,1,1),0)),"",WEEKDAY(DATE(PARAMETRES!$C$29,1,8),2))</f>
        <v/>
      </c>
      <c r="W72" s="37">
        <f>IF(9&gt;DAY(EOMONTH(DATE(PARAMETRES!$C$29,1,1),0)),"",WEEKDAY(DATE(PARAMETRES!$C$29,1,9),2))</f>
        <v/>
      </c>
      <c r="X72" s="37">
        <f>IF(10&gt;DAY(EOMONTH(DATE(PARAMETRES!$C$29,1,1),0)),"",WEEKDAY(DATE(PARAMETRES!$C$29,1,10),2))</f>
        <v/>
      </c>
      <c r="Y72" s="37">
        <f>IF(11&gt;DAY(EOMONTH(DATE(PARAMETRES!$C$29,1,1),0)),"",WEEKDAY(DATE(PARAMETRES!$C$29,1,11),2))</f>
        <v/>
      </c>
      <c r="Z72" s="37">
        <f>IF(12&gt;DAY(EOMONTH(DATE(PARAMETRES!$C$29,1,1),0)),"",WEEKDAY(DATE(PARAMETRES!$C$29,1,12),2))</f>
        <v/>
      </c>
      <c r="AA72" s="37">
        <f>IF(13&gt;DAY(EOMONTH(DATE(PARAMETRES!$C$29,1,1),0)),"",WEEKDAY(DATE(PARAMETRES!$C$29,1,13),2))</f>
        <v/>
      </c>
      <c r="AB72" s="37">
        <f>IF(14&gt;DAY(EOMONTH(DATE(PARAMETRES!$C$29,1,1),0)),"",WEEKDAY(DATE(PARAMETRES!$C$29,1,14),2))</f>
        <v/>
      </c>
      <c r="AC72" s="37">
        <f>IF(15&gt;DAY(EOMONTH(DATE(PARAMETRES!$C$29,1,1),0)),"",WEEKDAY(DATE(PARAMETRES!$C$29,1,15),2))</f>
        <v/>
      </c>
      <c r="AD72" s="37">
        <f>IF(16&gt;DAY(EOMONTH(DATE(PARAMETRES!$C$29,1,1),0)),"",WEEKDAY(DATE(PARAMETRES!$C$29,1,16),2))</f>
        <v/>
      </c>
      <c r="AE72" s="37">
        <f>IF(17&gt;DAY(EOMONTH(DATE(PARAMETRES!$C$29,1,1),0)),"",WEEKDAY(DATE(PARAMETRES!$C$29,1,17),2))</f>
        <v/>
      </c>
      <c r="AF72" s="37">
        <f>IF(18&gt;DAY(EOMONTH(DATE(PARAMETRES!$C$29,1,1),0)),"",WEEKDAY(DATE(PARAMETRES!$C$29,1,18),2))</f>
        <v/>
      </c>
      <c r="AG72" s="37">
        <f>IF(19&gt;DAY(EOMONTH(DATE(PARAMETRES!$C$29,1,1),0)),"",WEEKDAY(DATE(PARAMETRES!$C$29,1,19),2))</f>
        <v/>
      </c>
      <c r="AH72" s="37">
        <f>IF(20&gt;DAY(EOMONTH(DATE(PARAMETRES!$C$29,1,1),0)),"",WEEKDAY(DATE(PARAMETRES!$C$29,1,20),2))</f>
        <v/>
      </c>
      <c r="AI72" s="37">
        <f>IF(21&gt;DAY(EOMONTH(DATE(PARAMETRES!$C$29,1,1),0)),"",WEEKDAY(DATE(PARAMETRES!$C$29,1,21),2))</f>
        <v/>
      </c>
      <c r="AJ72" s="37">
        <f>IF(22&gt;DAY(EOMONTH(DATE(PARAMETRES!$C$29,1,1),0)),"",WEEKDAY(DATE(PARAMETRES!$C$29,1,22),2))</f>
        <v/>
      </c>
      <c r="AK72" s="37">
        <f>IF(23&gt;DAY(EOMONTH(DATE(PARAMETRES!$C$29,1,1),0)),"",WEEKDAY(DATE(PARAMETRES!$C$29,1,23),2))</f>
        <v/>
      </c>
      <c r="AL72" s="37">
        <f>IF(24&gt;DAY(EOMONTH(DATE(PARAMETRES!$C$29,1,1),0)),"",WEEKDAY(DATE(PARAMETRES!$C$29,1,24),2))</f>
        <v/>
      </c>
      <c r="AM72" s="37">
        <f>IF(25&gt;DAY(EOMONTH(DATE(PARAMETRES!$C$29,1,1),0)),"",WEEKDAY(DATE(PARAMETRES!$C$29,1,25),2))</f>
        <v/>
      </c>
      <c r="AN72" s="37">
        <f>IF(26&gt;DAY(EOMONTH(DATE(PARAMETRES!$C$29,1,1),0)),"",WEEKDAY(DATE(PARAMETRES!$C$29,1,26),2))</f>
        <v/>
      </c>
      <c r="AO72" s="37">
        <f>IF(27&gt;DAY(EOMONTH(DATE(PARAMETRES!$C$29,1,1),0)),"",WEEKDAY(DATE(PARAMETRES!$C$29,1,27),2))</f>
        <v/>
      </c>
      <c r="AP72" s="37">
        <f>IF(28&gt;DAY(EOMONTH(DATE(PARAMETRES!$C$29,1,1),0)),"",WEEKDAY(DATE(PARAMETRES!$C$29,1,28),2))</f>
        <v/>
      </c>
      <c r="AQ72" s="37">
        <f>IF(29&gt;DAY(EOMONTH(DATE(PARAMETRES!$C$29,1,1),0)),"",WEEKDAY(DATE(PARAMETRES!$C$29,1,29),2))</f>
        <v/>
      </c>
      <c r="AR72" s="37">
        <f>IF(30&gt;DAY(EOMONTH(DATE(PARAMETRES!$C$29,1,1),0)),"",WEEKDAY(DATE(PARAMETRES!$C$29,1,30),2))</f>
        <v/>
      </c>
      <c r="AS72" s="37">
        <f>IF(31&gt;DAY(EOMONTH(DATE(PARAMETRES!$C$29,1,1),0)),"",WEEKDAY(DATE(PARAMETRES!$C$29,1,31),2))</f>
        <v/>
      </c>
    </row>
    <row r="73" hidden="1" outlineLevel="1" ht="15" customHeight="1" s="15">
      <c r="AT73" s="36">
        <f>IF(OR(O9="",O9=7),"","P")</f>
        <v/>
      </c>
      <c r="AU73" s="36">
        <f>IF(OR(O9="",O9&gt;=6),"","P")</f>
        <v/>
      </c>
    </row>
    <row r="74" hidden="1" outlineLevel="1" ht="15" customHeight="1" s="15">
      <c r="AT74" s="36">
        <f>IF(OR(O9="",O9=7),"","D")</f>
        <v/>
      </c>
      <c r="AU74" s="36">
        <f>IF(OR(O9="",O9&gt;=6),"","D")</f>
        <v/>
      </c>
    </row>
    <row r="75" hidden="1" outlineLevel="1" ht="15" customHeight="1" s="15">
      <c r="AT75" s="36">
        <f>IF(OR(O9="",O9=7),"","A")</f>
        <v/>
      </c>
      <c r="AU75" s="36">
        <f>IF(OR(O9="",O9&gt;=6),"","A")</f>
        <v/>
      </c>
    </row>
    <row r="76" hidden="1" outlineLevel="1" ht="15" customHeight="1" s="15">
      <c r="AT76" s="36">
        <f>IF(OR(O9="",O9=7),"","F")</f>
        <v/>
      </c>
      <c r="AU76" s="36">
        <f>IF(OR(O9="",O9&gt;=6),"","F")</f>
        <v/>
      </c>
    </row>
    <row r="77" hidden="1" outlineLevel="1" ht="15" customHeight="1" s="15">
      <c r="AT77" s="36">
        <f>IF(OR(O9="",O9=7),"","C")</f>
        <v/>
      </c>
      <c r="AU77" s="36">
        <f>IF(OR(O9="",O9&gt;=6),"","C")</f>
        <v/>
      </c>
    </row>
    <row r="78" hidden="1" outlineLevel="1" ht="15" customHeight="1" s="15">
      <c r="AT78" s="36">
        <f>IF(AND(O9&lt;&gt;"",O9=7),"R","")</f>
        <v/>
      </c>
      <c r="AU78" s="36">
        <f>IF(AND(O9&lt;&gt;"",O9&gt;=6),"R","")</f>
        <v/>
      </c>
    </row>
    <row r="79" hidden="1" outlineLevel="1" ht="15" customHeight="1" s="15">
      <c r="AT79" s="36">
        <f>IF(OR(P9="",P9=7),"","P")</f>
        <v/>
      </c>
      <c r="AU79" s="36">
        <f>IF(OR(P9="",P9&gt;=6),"","P")</f>
        <v/>
      </c>
    </row>
    <row r="80" hidden="1" outlineLevel="1" ht="15" customHeight="1" s="15">
      <c r="AT80" s="36">
        <f>IF(OR(P9="",P9=7),"","D")</f>
        <v/>
      </c>
      <c r="AU80" s="36">
        <f>IF(OR(P9="",P9&gt;=6),"","D")</f>
        <v/>
      </c>
    </row>
    <row r="81" hidden="1" outlineLevel="1" ht="15" customHeight="1" s="15">
      <c r="AT81" s="36">
        <f>IF(OR(P9="",P9=7),"","A")</f>
        <v/>
      </c>
      <c r="AU81" s="36">
        <f>IF(OR(P9="",P9&gt;=6),"","A")</f>
        <v/>
      </c>
    </row>
    <row r="82" hidden="1" outlineLevel="1" ht="15" customHeight="1" s="15">
      <c r="AT82" s="36">
        <f>IF(OR(P9="",P9=7),"","F")</f>
        <v/>
      </c>
      <c r="AU82" s="36">
        <f>IF(OR(P9="",P9&gt;=6),"","F")</f>
        <v/>
      </c>
    </row>
    <row r="83" hidden="1" outlineLevel="1" ht="15" customHeight="1" s="15">
      <c r="AT83" s="36">
        <f>IF(OR(P9="",P9=7),"","C")</f>
        <v/>
      </c>
      <c r="AU83" s="36">
        <f>IF(OR(P9="",P9&gt;=6),"","C")</f>
        <v/>
      </c>
    </row>
    <row r="84" hidden="1" outlineLevel="1" ht="15" customHeight="1" s="15">
      <c r="AT84" s="36">
        <f>IF(AND(P9&lt;&gt;"",P9=7),"R","")</f>
        <v/>
      </c>
      <c r="AU84" s="36">
        <f>IF(AND(P9&lt;&gt;"",P9&gt;=6),"R","")</f>
        <v/>
      </c>
    </row>
    <row r="85" hidden="1" outlineLevel="1" ht="15" customHeight="1" s="15">
      <c r="AT85" s="36">
        <f>IF(OR(Q9="",Q9=7),"","P")</f>
        <v/>
      </c>
      <c r="AU85" s="36">
        <f>IF(OR(Q9="",Q9&gt;=6),"","P")</f>
        <v/>
      </c>
    </row>
    <row r="86" hidden="1" outlineLevel="1" ht="15" customHeight="1" s="15">
      <c r="AT86" s="36">
        <f>IF(OR(Q9="",Q9=7),"","D")</f>
        <v/>
      </c>
      <c r="AU86" s="36">
        <f>IF(OR(Q9="",Q9&gt;=6),"","D")</f>
        <v/>
      </c>
    </row>
    <row r="87" hidden="1" outlineLevel="1" ht="15" customHeight="1" s="15">
      <c r="AT87" s="36">
        <f>IF(OR(Q9="",Q9=7),"","A")</f>
        <v/>
      </c>
      <c r="AU87" s="36">
        <f>IF(OR(Q9="",Q9&gt;=6),"","A")</f>
        <v/>
      </c>
    </row>
    <row r="88" hidden="1" outlineLevel="1" ht="15" customHeight="1" s="15">
      <c r="AT88" s="36">
        <f>IF(OR(Q9="",Q9=7),"","F")</f>
        <v/>
      </c>
      <c r="AU88" s="36">
        <f>IF(OR(Q9="",Q9&gt;=6),"","F")</f>
        <v/>
      </c>
    </row>
    <row r="89" hidden="1" outlineLevel="1" ht="15" customHeight="1" s="15">
      <c r="AT89" s="36">
        <f>IF(OR(Q9="",Q9=7),"","C")</f>
        <v/>
      </c>
      <c r="AU89" s="36">
        <f>IF(OR(Q9="",Q9&gt;=6),"","C")</f>
        <v/>
      </c>
    </row>
    <row r="90" hidden="1" outlineLevel="1" ht="15" customHeight="1" s="15">
      <c r="AT90" s="36">
        <f>IF(AND(Q9&lt;&gt;"",Q9=7),"R","")</f>
        <v/>
      </c>
      <c r="AU90" s="36">
        <f>IF(AND(Q9&lt;&gt;"",Q9&gt;=6),"R","")</f>
        <v/>
      </c>
    </row>
    <row r="91" hidden="1" outlineLevel="1" ht="15" customHeight="1" s="15">
      <c r="AT91" s="36">
        <f>IF(OR(R9="",R9=7),"","P")</f>
        <v/>
      </c>
      <c r="AU91" s="36">
        <f>IF(OR(R9="",R9&gt;=6),"","P")</f>
        <v/>
      </c>
    </row>
    <row r="92" hidden="1" outlineLevel="1" ht="15" customHeight="1" s="15">
      <c r="AT92" s="36">
        <f>IF(OR(R9="",R9=7),"","D")</f>
        <v/>
      </c>
      <c r="AU92" s="36">
        <f>IF(OR(R9="",R9&gt;=6),"","D")</f>
        <v/>
      </c>
    </row>
    <row r="93" hidden="1" outlineLevel="1" ht="15" customHeight="1" s="15">
      <c r="AT93" s="36">
        <f>IF(OR(R9="",R9=7),"","A")</f>
        <v/>
      </c>
      <c r="AU93" s="36">
        <f>IF(OR(R9="",R9&gt;=6),"","A")</f>
        <v/>
      </c>
    </row>
    <row r="94" hidden="1" outlineLevel="1" ht="15" customHeight="1" s="15">
      <c r="AT94" s="36">
        <f>IF(OR(R9="",R9=7),"","F")</f>
        <v/>
      </c>
      <c r="AU94" s="36">
        <f>IF(OR(R9="",R9&gt;=6),"","F")</f>
        <v/>
      </c>
    </row>
    <row r="95" hidden="1" outlineLevel="1" ht="15" customHeight="1" s="15">
      <c r="AT95" s="36">
        <f>IF(OR(R9="",R9=7),"","C")</f>
        <v/>
      </c>
      <c r="AU95" s="36">
        <f>IF(OR(R9="",R9&gt;=6),"","C")</f>
        <v/>
      </c>
    </row>
    <row r="96" hidden="1" outlineLevel="1" ht="15" customHeight="1" s="15">
      <c r="AT96" s="36">
        <f>IF(AND(R9&lt;&gt;"",R9=7),"R","")</f>
        <v/>
      </c>
      <c r="AU96" s="36">
        <f>IF(AND(R9&lt;&gt;"",R9&gt;=6),"R","")</f>
        <v/>
      </c>
    </row>
    <row r="97" hidden="1" outlineLevel="1" ht="15" customHeight="1" s="15">
      <c r="AT97" s="36">
        <f>IF(OR(S9="",S9=7),"","P")</f>
        <v/>
      </c>
      <c r="AU97" s="36">
        <f>IF(OR(S9="",S9&gt;=6),"","P")</f>
        <v/>
      </c>
    </row>
    <row r="98" hidden="1" outlineLevel="1" ht="15" customHeight="1" s="15">
      <c r="AT98" s="36">
        <f>IF(OR(S9="",S9=7),"","D")</f>
        <v/>
      </c>
      <c r="AU98" s="36">
        <f>IF(OR(S9="",S9&gt;=6),"","D")</f>
        <v/>
      </c>
    </row>
    <row r="99" hidden="1" outlineLevel="1" ht="15" customHeight="1" s="15">
      <c r="AT99" s="36">
        <f>IF(OR(S9="",S9=7),"","A")</f>
        <v/>
      </c>
      <c r="AU99" s="36">
        <f>IF(OR(S9="",S9&gt;=6),"","A")</f>
        <v/>
      </c>
    </row>
    <row r="100" hidden="1" outlineLevel="1" ht="15" customHeight="1" s="15">
      <c r="AT100" s="36">
        <f>IF(OR(S9="",S9=7),"","F")</f>
        <v/>
      </c>
      <c r="AU100" s="36">
        <f>IF(OR(S9="",S9&gt;=6),"","F")</f>
        <v/>
      </c>
    </row>
    <row r="101" hidden="1" outlineLevel="1" ht="15" customHeight="1" s="15">
      <c r="AT101" s="36">
        <f>IF(OR(S9="",S9=7),"","C")</f>
        <v/>
      </c>
      <c r="AU101" s="36">
        <f>IF(OR(S9="",S9&gt;=6),"","C")</f>
        <v/>
      </c>
    </row>
    <row r="102" hidden="1" outlineLevel="1" ht="15" customHeight="1" s="15">
      <c r="AT102" s="36">
        <f>IF(AND(S9&lt;&gt;"",S9=7),"R","")</f>
        <v/>
      </c>
      <c r="AU102" s="36">
        <f>IF(AND(S9&lt;&gt;"",S9&gt;=6),"R","")</f>
        <v/>
      </c>
    </row>
    <row r="103" hidden="1" outlineLevel="1" ht="15" customHeight="1" s="15">
      <c r="AT103" s="36">
        <f>IF(OR(T9="",T9=7),"","P")</f>
        <v/>
      </c>
      <c r="AU103" s="36">
        <f>IF(OR(T9="",T9&gt;=6),"","P")</f>
        <v/>
      </c>
    </row>
    <row r="104" hidden="1" outlineLevel="1" ht="15" customHeight="1" s="15">
      <c r="AT104" s="36">
        <f>IF(OR(T9="",T9=7),"","D")</f>
        <v/>
      </c>
      <c r="AU104" s="36">
        <f>IF(OR(T9="",T9&gt;=6),"","D")</f>
        <v/>
      </c>
    </row>
    <row r="105" hidden="1" outlineLevel="1" ht="15" customHeight="1" s="15">
      <c r="AT105" s="36">
        <f>IF(OR(T9="",T9=7),"","A")</f>
        <v/>
      </c>
      <c r="AU105" s="36">
        <f>IF(OR(T9="",T9&gt;=6),"","A")</f>
        <v/>
      </c>
    </row>
    <row r="106" hidden="1" outlineLevel="1" ht="15" customHeight="1" s="15">
      <c r="AT106" s="36">
        <f>IF(OR(T9="",T9=7),"","F")</f>
        <v/>
      </c>
      <c r="AU106" s="36">
        <f>IF(OR(T9="",T9&gt;=6),"","F")</f>
        <v/>
      </c>
    </row>
    <row r="107" hidden="1" outlineLevel="1" ht="15" customHeight="1" s="15">
      <c r="AT107" s="36">
        <f>IF(OR(T9="",T9=7),"","C")</f>
        <v/>
      </c>
      <c r="AU107" s="36">
        <f>IF(OR(T9="",T9&gt;=6),"","C")</f>
        <v/>
      </c>
    </row>
    <row r="108" hidden="1" outlineLevel="1" ht="15" customHeight="1" s="15">
      <c r="AT108" s="36">
        <f>IF(AND(T9&lt;&gt;"",T9=7),"R","")</f>
        <v/>
      </c>
      <c r="AU108" s="36">
        <f>IF(AND(T9&lt;&gt;"",T9&gt;=6),"R","")</f>
        <v/>
      </c>
    </row>
    <row r="109" hidden="1" outlineLevel="1" ht="15" customHeight="1" s="15">
      <c r="AT109" s="36">
        <f>IF(OR(U9="",U9=7),"","P")</f>
        <v/>
      </c>
      <c r="AU109" s="36">
        <f>IF(OR(U9="",U9&gt;=6),"","P")</f>
        <v/>
      </c>
    </row>
    <row r="110" hidden="1" outlineLevel="1" ht="15" customHeight="1" s="15">
      <c r="AT110" s="36">
        <f>IF(OR(U9="",U9=7),"","D")</f>
        <v/>
      </c>
      <c r="AU110" s="36">
        <f>IF(OR(U9="",U9&gt;=6),"","D")</f>
        <v/>
      </c>
    </row>
    <row r="111" hidden="1" outlineLevel="1" ht="15" customHeight="1" s="15">
      <c r="AT111" s="36">
        <f>IF(OR(U9="",U9=7),"","A")</f>
        <v/>
      </c>
      <c r="AU111" s="36">
        <f>IF(OR(U9="",U9&gt;=6),"","A")</f>
        <v/>
      </c>
    </row>
    <row r="112" hidden="1" outlineLevel="1" ht="15" customHeight="1" s="15">
      <c r="AT112" s="36">
        <f>IF(OR(U9="",U9=7),"","F")</f>
        <v/>
      </c>
      <c r="AU112" s="36">
        <f>IF(OR(U9="",U9&gt;=6),"","F")</f>
        <v/>
      </c>
    </row>
    <row r="113" hidden="1" outlineLevel="1" ht="15" customHeight="1" s="15">
      <c r="AT113" s="36">
        <f>IF(OR(U9="",U9=7),"","C")</f>
        <v/>
      </c>
      <c r="AU113" s="36">
        <f>IF(OR(U9="",U9&gt;=6),"","C")</f>
        <v/>
      </c>
    </row>
    <row r="114" hidden="1" outlineLevel="1" ht="15" customHeight="1" s="15">
      <c r="AT114" s="36">
        <f>IF(AND(U9&lt;&gt;"",U9=7),"R","")</f>
        <v/>
      </c>
      <c r="AU114" s="36">
        <f>IF(AND(U9&lt;&gt;"",U9&gt;=6),"R","")</f>
        <v/>
      </c>
    </row>
    <row r="115" hidden="1" outlineLevel="1" ht="15" customHeight="1" s="15">
      <c r="AT115" s="36">
        <f>IF(OR(V9="",V9=7),"","P")</f>
        <v/>
      </c>
      <c r="AU115" s="36">
        <f>IF(OR(V9="",V9&gt;=6),"","P")</f>
        <v/>
      </c>
    </row>
    <row r="116" hidden="1" outlineLevel="1" ht="15" customHeight="1" s="15">
      <c r="AT116" s="36">
        <f>IF(OR(V9="",V9=7),"","D")</f>
        <v/>
      </c>
      <c r="AU116" s="36">
        <f>IF(OR(V9="",V9&gt;=6),"","D")</f>
        <v/>
      </c>
    </row>
    <row r="117" hidden="1" outlineLevel="1" ht="15" customHeight="1" s="15">
      <c r="AT117" s="36">
        <f>IF(OR(V9="",V9=7),"","A")</f>
        <v/>
      </c>
      <c r="AU117" s="36">
        <f>IF(OR(V9="",V9&gt;=6),"","A")</f>
        <v/>
      </c>
    </row>
    <row r="118" hidden="1" outlineLevel="1" ht="15" customHeight="1" s="15">
      <c r="AT118" s="36">
        <f>IF(OR(V9="",V9=7),"","F")</f>
        <v/>
      </c>
      <c r="AU118" s="36">
        <f>IF(OR(V9="",V9&gt;=6),"","F")</f>
        <v/>
      </c>
    </row>
    <row r="119" hidden="1" outlineLevel="1" ht="15" customHeight="1" s="15">
      <c r="AT119" s="36">
        <f>IF(OR(V9="",V9=7),"","C")</f>
        <v/>
      </c>
      <c r="AU119" s="36">
        <f>IF(OR(V9="",V9&gt;=6),"","C")</f>
        <v/>
      </c>
    </row>
    <row r="120" hidden="1" outlineLevel="1" ht="15" customHeight="1" s="15">
      <c r="AT120" s="36">
        <f>IF(AND(V9&lt;&gt;"",V9=7),"R","")</f>
        <v/>
      </c>
      <c r="AU120" s="36">
        <f>IF(AND(V9&lt;&gt;"",V9&gt;=6),"R","")</f>
        <v/>
      </c>
    </row>
    <row r="121" hidden="1" outlineLevel="1" ht="15" customHeight="1" s="15">
      <c r="AT121" s="36">
        <f>IF(OR(W9="",W9=7),"","P")</f>
        <v/>
      </c>
      <c r="AU121" s="36">
        <f>IF(OR(W9="",W9&gt;=6),"","P")</f>
        <v/>
      </c>
    </row>
    <row r="122" hidden="1" outlineLevel="1" ht="15" customHeight="1" s="15">
      <c r="AT122" s="36">
        <f>IF(OR(W9="",W9=7),"","D")</f>
        <v/>
      </c>
      <c r="AU122" s="36">
        <f>IF(OR(W9="",W9&gt;=6),"","D")</f>
        <v/>
      </c>
    </row>
    <row r="123" hidden="1" outlineLevel="1" ht="15" customHeight="1" s="15">
      <c r="AT123" s="36">
        <f>IF(OR(W9="",W9=7),"","A")</f>
        <v/>
      </c>
      <c r="AU123" s="36">
        <f>IF(OR(W9="",W9&gt;=6),"","A")</f>
        <v/>
      </c>
    </row>
    <row r="124" hidden="1" outlineLevel="1" ht="15" customHeight="1" s="15">
      <c r="AT124" s="36">
        <f>IF(OR(W9="",W9=7),"","F")</f>
        <v/>
      </c>
      <c r="AU124" s="36">
        <f>IF(OR(W9="",W9&gt;=6),"","F")</f>
        <v/>
      </c>
    </row>
    <row r="125" hidden="1" outlineLevel="1" ht="15" customHeight="1" s="15">
      <c r="AT125" s="36">
        <f>IF(OR(W9="",W9=7),"","C")</f>
        <v/>
      </c>
      <c r="AU125" s="36">
        <f>IF(OR(W9="",W9&gt;=6),"","C")</f>
        <v/>
      </c>
    </row>
    <row r="126" hidden="1" outlineLevel="1" ht="15" customHeight="1" s="15">
      <c r="AT126" s="36">
        <f>IF(AND(W9&lt;&gt;"",W9=7),"R","")</f>
        <v/>
      </c>
      <c r="AU126" s="36">
        <f>IF(AND(W9&lt;&gt;"",W9&gt;=6),"R","")</f>
        <v/>
      </c>
    </row>
    <row r="127" hidden="1" outlineLevel="1" ht="15" customHeight="1" s="15">
      <c r="AT127" s="36">
        <f>IF(OR(X9="",X9=7),"","P")</f>
        <v/>
      </c>
      <c r="AU127" s="36">
        <f>IF(OR(X9="",X9&gt;=6),"","P")</f>
        <v/>
      </c>
    </row>
    <row r="128" hidden="1" outlineLevel="1" ht="15" customHeight="1" s="15">
      <c r="AT128" s="36">
        <f>IF(OR(X9="",X9=7),"","D")</f>
        <v/>
      </c>
      <c r="AU128" s="36">
        <f>IF(OR(X9="",X9&gt;=6),"","D")</f>
        <v/>
      </c>
    </row>
    <row r="129" hidden="1" outlineLevel="1" ht="15" customHeight="1" s="15">
      <c r="AT129" s="36">
        <f>IF(OR(X9="",X9=7),"","A")</f>
        <v/>
      </c>
      <c r="AU129" s="36">
        <f>IF(OR(X9="",X9&gt;=6),"","A")</f>
        <v/>
      </c>
    </row>
    <row r="130" hidden="1" outlineLevel="1" ht="15" customHeight="1" s="15">
      <c r="AT130" s="36">
        <f>IF(OR(X9="",X9=7),"","F")</f>
        <v/>
      </c>
      <c r="AU130" s="36">
        <f>IF(OR(X9="",X9&gt;=6),"","F")</f>
        <v/>
      </c>
    </row>
    <row r="131" hidden="1" outlineLevel="1" ht="15" customHeight="1" s="15">
      <c r="AT131" s="36">
        <f>IF(OR(X9="",X9=7),"","C")</f>
        <v/>
      </c>
      <c r="AU131" s="36">
        <f>IF(OR(X9="",X9&gt;=6),"","C")</f>
        <v/>
      </c>
    </row>
    <row r="132" hidden="1" outlineLevel="1" ht="15" customHeight="1" s="15">
      <c r="AT132" s="36">
        <f>IF(AND(X9&lt;&gt;"",X9=7),"R","")</f>
        <v/>
      </c>
      <c r="AU132" s="36">
        <f>IF(AND(X9&lt;&gt;"",X9&gt;=6),"R","")</f>
        <v/>
      </c>
    </row>
    <row r="133" hidden="1" outlineLevel="1" ht="15" customHeight="1" s="15">
      <c r="AT133" s="36">
        <f>IF(OR(Y9="",Y9=7),"","P")</f>
        <v/>
      </c>
      <c r="AU133" s="36">
        <f>IF(OR(Y9="",Y9&gt;=6),"","P")</f>
        <v/>
      </c>
    </row>
    <row r="134" hidden="1" outlineLevel="1" ht="15" customHeight="1" s="15">
      <c r="AT134" s="36">
        <f>IF(OR(Y9="",Y9=7),"","D")</f>
        <v/>
      </c>
      <c r="AU134" s="36">
        <f>IF(OR(Y9="",Y9&gt;=6),"","D")</f>
        <v/>
      </c>
    </row>
    <row r="135" hidden="1" outlineLevel="1" ht="15" customHeight="1" s="15">
      <c r="AT135" s="36">
        <f>IF(OR(Y9="",Y9=7),"","A")</f>
        <v/>
      </c>
      <c r="AU135" s="36">
        <f>IF(OR(Y9="",Y9&gt;=6),"","A")</f>
        <v/>
      </c>
    </row>
    <row r="136" hidden="1" outlineLevel="1" ht="15" customHeight="1" s="15">
      <c r="AT136" s="36">
        <f>IF(OR(Y9="",Y9=7),"","F")</f>
        <v/>
      </c>
      <c r="AU136" s="36">
        <f>IF(OR(Y9="",Y9&gt;=6),"","F")</f>
        <v/>
      </c>
    </row>
    <row r="137" hidden="1" outlineLevel="1" ht="15" customHeight="1" s="15">
      <c r="AT137" s="36">
        <f>IF(OR(Y9="",Y9=7),"","C")</f>
        <v/>
      </c>
      <c r="AU137" s="36">
        <f>IF(OR(Y9="",Y9&gt;=6),"","C")</f>
        <v/>
      </c>
    </row>
    <row r="138" hidden="1" outlineLevel="1" ht="15" customHeight="1" s="15">
      <c r="AT138" s="36">
        <f>IF(AND(Y9&lt;&gt;"",Y9=7),"R","")</f>
        <v/>
      </c>
      <c r="AU138" s="36">
        <f>IF(AND(Y9&lt;&gt;"",Y9&gt;=6),"R","")</f>
        <v/>
      </c>
    </row>
    <row r="139" hidden="1" outlineLevel="1" ht="15" customHeight="1" s="15">
      <c r="AT139" s="36">
        <f>IF(OR(Z9="",Z9=7),"","P")</f>
        <v/>
      </c>
      <c r="AU139" s="36">
        <f>IF(OR(Z9="",Z9&gt;=6),"","P")</f>
        <v/>
      </c>
    </row>
    <row r="140" hidden="1" outlineLevel="1" ht="15" customHeight="1" s="15">
      <c r="AT140" s="36">
        <f>IF(OR(Z9="",Z9=7),"","D")</f>
        <v/>
      </c>
      <c r="AU140" s="36">
        <f>IF(OR(Z9="",Z9&gt;=6),"","D")</f>
        <v/>
      </c>
    </row>
    <row r="141" hidden="1" outlineLevel="1" ht="15" customHeight="1" s="15">
      <c r="AT141" s="36">
        <f>IF(OR(Z9="",Z9=7),"","A")</f>
        <v/>
      </c>
      <c r="AU141" s="36">
        <f>IF(OR(Z9="",Z9&gt;=6),"","A")</f>
        <v/>
      </c>
    </row>
    <row r="142" hidden="1" outlineLevel="1" ht="15" customHeight="1" s="15">
      <c r="AT142" s="36">
        <f>IF(OR(Z9="",Z9=7),"","F")</f>
        <v/>
      </c>
      <c r="AU142" s="36">
        <f>IF(OR(Z9="",Z9&gt;=6),"","F")</f>
        <v/>
      </c>
    </row>
    <row r="143" hidden="1" outlineLevel="1" ht="15" customHeight="1" s="15">
      <c r="AT143" s="36">
        <f>IF(OR(Z9="",Z9=7),"","C")</f>
        <v/>
      </c>
      <c r="AU143" s="36">
        <f>IF(OR(Z9="",Z9&gt;=6),"","C")</f>
        <v/>
      </c>
    </row>
    <row r="144" hidden="1" outlineLevel="1" ht="15" customHeight="1" s="15">
      <c r="AT144" s="36">
        <f>IF(AND(Z9&lt;&gt;"",Z9=7),"R","")</f>
        <v/>
      </c>
      <c r="AU144" s="36">
        <f>IF(AND(Z9&lt;&gt;"",Z9&gt;=6),"R","")</f>
        <v/>
      </c>
    </row>
    <row r="145" hidden="1" outlineLevel="1" ht="15" customHeight="1" s="15">
      <c r="AT145" s="36">
        <f>IF(OR(AA9="",AA9=7),"","P")</f>
        <v/>
      </c>
      <c r="AU145" s="36">
        <f>IF(OR(AA9="",AA9&gt;=6),"","P")</f>
        <v/>
      </c>
    </row>
    <row r="146" hidden="1" outlineLevel="1" ht="15" customHeight="1" s="15">
      <c r="AT146" s="36">
        <f>IF(OR(AA9="",AA9=7),"","D")</f>
        <v/>
      </c>
      <c r="AU146" s="36">
        <f>IF(OR(AA9="",AA9&gt;=6),"","D")</f>
        <v/>
      </c>
    </row>
    <row r="147" hidden="1" outlineLevel="1" ht="15" customHeight="1" s="15">
      <c r="AT147" s="36">
        <f>IF(OR(AA9="",AA9=7),"","A")</f>
        <v/>
      </c>
      <c r="AU147" s="36">
        <f>IF(OR(AA9="",AA9&gt;=6),"","A")</f>
        <v/>
      </c>
    </row>
    <row r="148" hidden="1" outlineLevel="1" ht="15" customHeight="1" s="15">
      <c r="AT148" s="36">
        <f>IF(OR(AA9="",AA9=7),"","F")</f>
        <v/>
      </c>
      <c r="AU148" s="36">
        <f>IF(OR(AA9="",AA9&gt;=6),"","F")</f>
        <v/>
      </c>
    </row>
    <row r="149" hidden="1" outlineLevel="1" ht="15" customHeight="1" s="15">
      <c r="AT149" s="36">
        <f>IF(OR(AA9="",AA9=7),"","C")</f>
        <v/>
      </c>
      <c r="AU149" s="36">
        <f>IF(OR(AA9="",AA9&gt;=6),"","C")</f>
        <v/>
      </c>
    </row>
    <row r="150" hidden="1" outlineLevel="1" ht="15" customHeight="1" s="15">
      <c r="AT150" s="36">
        <f>IF(AND(AA9&lt;&gt;"",AA9=7),"R","")</f>
        <v/>
      </c>
      <c r="AU150" s="36">
        <f>IF(AND(AA9&lt;&gt;"",AA9&gt;=6),"R","")</f>
        <v/>
      </c>
    </row>
    <row r="151" hidden="1" outlineLevel="1" ht="15" customHeight="1" s="15">
      <c r="AT151" s="36">
        <f>IF(OR(AB9="",AB9=7),"","P")</f>
        <v/>
      </c>
      <c r="AU151" s="36">
        <f>IF(OR(AB9="",AB9&gt;=6),"","P")</f>
        <v/>
      </c>
    </row>
    <row r="152" hidden="1" outlineLevel="1" ht="15" customHeight="1" s="15">
      <c r="AT152" s="36">
        <f>IF(OR(AB9="",AB9=7),"","D")</f>
        <v/>
      </c>
      <c r="AU152" s="36">
        <f>IF(OR(AB9="",AB9&gt;=6),"","D")</f>
        <v/>
      </c>
    </row>
    <row r="153" hidden="1" outlineLevel="1" ht="15" customHeight="1" s="15">
      <c r="AT153" s="36">
        <f>IF(OR(AB9="",AB9=7),"","A")</f>
        <v/>
      </c>
      <c r="AU153" s="36">
        <f>IF(OR(AB9="",AB9&gt;=6),"","A")</f>
        <v/>
      </c>
    </row>
    <row r="154" hidden="1" outlineLevel="1" ht="15" customHeight="1" s="15">
      <c r="AT154" s="36">
        <f>IF(OR(AB9="",AB9=7),"","F")</f>
        <v/>
      </c>
      <c r="AU154" s="36">
        <f>IF(OR(AB9="",AB9&gt;=6),"","F")</f>
        <v/>
      </c>
    </row>
    <row r="155" hidden="1" outlineLevel="1" ht="15" customHeight="1" s="15">
      <c r="AT155" s="36">
        <f>IF(OR(AB9="",AB9=7),"","C")</f>
        <v/>
      </c>
      <c r="AU155" s="36">
        <f>IF(OR(AB9="",AB9&gt;=6),"","C")</f>
        <v/>
      </c>
    </row>
    <row r="156" hidden="1" outlineLevel="1" ht="15" customHeight="1" s="15">
      <c r="AT156" s="36">
        <f>IF(AND(AB9&lt;&gt;"",AB9=7),"R","")</f>
        <v/>
      </c>
      <c r="AU156" s="36">
        <f>IF(AND(AB9&lt;&gt;"",AB9&gt;=6),"R","")</f>
        <v/>
      </c>
    </row>
    <row r="157" hidden="1" outlineLevel="1" ht="15" customHeight="1" s="15">
      <c r="AT157" s="36">
        <f>IF(OR(AC9="",AC9=7),"","P")</f>
        <v/>
      </c>
      <c r="AU157" s="36">
        <f>IF(OR(AC9="",AC9&gt;=6),"","P")</f>
        <v/>
      </c>
    </row>
    <row r="158" hidden="1" outlineLevel="1" ht="15" customHeight="1" s="15">
      <c r="AT158" s="36">
        <f>IF(OR(AC9="",AC9=7),"","D")</f>
        <v/>
      </c>
      <c r="AU158" s="36">
        <f>IF(OR(AC9="",AC9&gt;=6),"","D")</f>
        <v/>
      </c>
    </row>
    <row r="159" hidden="1" outlineLevel="1" ht="15" customHeight="1" s="15">
      <c r="AT159" s="36">
        <f>IF(OR(AC9="",AC9=7),"","A")</f>
        <v/>
      </c>
      <c r="AU159" s="36">
        <f>IF(OR(AC9="",AC9&gt;=6),"","A")</f>
        <v/>
      </c>
    </row>
    <row r="160" hidden="1" outlineLevel="1" ht="15" customHeight="1" s="15">
      <c r="AT160" s="36">
        <f>IF(OR(AC9="",AC9=7),"","F")</f>
        <v/>
      </c>
      <c r="AU160" s="36">
        <f>IF(OR(AC9="",AC9&gt;=6),"","F")</f>
        <v/>
      </c>
    </row>
    <row r="161" hidden="1" outlineLevel="1" ht="15" customHeight="1" s="15">
      <c r="AT161" s="36">
        <f>IF(OR(AC9="",AC9=7),"","C")</f>
        <v/>
      </c>
      <c r="AU161" s="36">
        <f>IF(OR(AC9="",AC9&gt;=6),"","C")</f>
        <v/>
      </c>
    </row>
    <row r="162" hidden="1" outlineLevel="1" ht="15" customHeight="1" s="15">
      <c r="AT162" s="36">
        <f>IF(AND(AC9&lt;&gt;"",AC9=7),"R","")</f>
        <v/>
      </c>
      <c r="AU162" s="36">
        <f>IF(AND(AC9&lt;&gt;"",AC9&gt;=6),"R","")</f>
        <v/>
      </c>
    </row>
    <row r="163" hidden="1" outlineLevel="1" ht="15" customHeight="1" s="15">
      <c r="AT163" s="36">
        <f>IF(OR(AD9="",AD9=7),"","P")</f>
        <v/>
      </c>
      <c r="AU163" s="36">
        <f>IF(OR(AD9="",AD9&gt;=6),"","P")</f>
        <v/>
      </c>
    </row>
    <row r="164" hidden="1" outlineLevel="1" ht="15" customHeight="1" s="15">
      <c r="AT164" s="36">
        <f>IF(OR(AD9="",AD9=7),"","D")</f>
        <v/>
      </c>
      <c r="AU164" s="36">
        <f>IF(OR(AD9="",AD9&gt;=6),"","D")</f>
        <v/>
      </c>
    </row>
    <row r="165" hidden="1" outlineLevel="1" ht="15" customHeight="1" s="15">
      <c r="AT165" s="36">
        <f>IF(OR(AD9="",AD9=7),"","A")</f>
        <v/>
      </c>
      <c r="AU165" s="36">
        <f>IF(OR(AD9="",AD9&gt;=6),"","A")</f>
        <v/>
      </c>
    </row>
    <row r="166" hidden="1" outlineLevel="1" ht="15" customHeight="1" s="15">
      <c r="AT166" s="36">
        <f>IF(OR(AD9="",AD9=7),"","F")</f>
        <v/>
      </c>
      <c r="AU166" s="36">
        <f>IF(OR(AD9="",AD9&gt;=6),"","F")</f>
        <v/>
      </c>
    </row>
    <row r="167" hidden="1" outlineLevel="1" ht="15" customHeight="1" s="15">
      <c r="AT167" s="36">
        <f>IF(OR(AD9="",AD9=7),"","C")</f>
        <v/>
      </c>
      <c r="AU167" s="36">
        <f>IF(OR(AD9="",AD9&gt;=6),"","C")</f>
        <v/>
      </c>
    </row>
    <row r="168" hidden="1" outlineLevel="1" ht="15" customHeight="1" s="15">
      <c r="AT168" s="36">
        <f>IF(AND(AD9&lt;&gt;"",AD9=7),"R","")</f>
        <v/>
      </c>
      <c r="AU168" s="36">
        <f>IF(AND(AD9&lt;&gt;"",AD9&gt;=6),"R","")</f>
        <v/>
      </c>
    </row>
    <row r="169" hidden="1" outlineLevel="1" ht="15" customHeight="1" s="15">
      <c r="AT169" s="36">
        <f>IF(OR(AE9="",AE9=7),"","P")</f>
        <v/>
      </c>
      <c r="AU169" s="36">
        <f>IF(OR(AE9="",AE9&gt;=6),"","P")</f>
        <v/>
      </c>
    </row>
    <row r="170" hidden="1" outlineLevel="1" ht="15" customHeight="1" s="15">
      <c r="AT170" s="36">
        <f>IF(OR(AE9="",AE9=7),"","D")</f>
        <v/>
      </c>
      <c r="AU170" s="36">
        <f>IF(OR(AE9="",AE9&gt;=6),"","D")</f>
        <v/>
      </c>
    </row>
    <row r="171" hidden="1" outlineLevel="1" ht="15" customHeight="1" s="15">
      <c r="AT171" s="36">
        <f>IF(OR(AE9="",AE9=7),"","A")</f>
        <v/>
      </c>
      <c r="AU171" s="36">
        <f>IF(OR(AE9="",AE9&gt;=6),"","A")</f>
        <v/>
      </c>
    </row>
    <row r="172" hidden="1" outlineLevel="1" ht="15" customHeight="1" s="15">
      <c r="AT172" s="36">
        <f>IF(OR(AE9="",AE9=7),"","F")</f>
        <v/>
      </c>
      <c r="AU172" s="36">
        <f>IF(OR(AE9="",AE9&gt;=6),"","F")</f>
        <v/>
      </c>
    </row>
    <row r="173" hidden="1" outlineLevel="1" ht="15" customHeight="1" s="15">
      <c r="AT173" s="36">
        <f>IF(OR(AE9="",AE9=7),"","C")</f>
        <v/>
      </c>
      <c r="AU173" s="36">
        <f>IF(OR(AE9="",AE9&gt;=6),"","C")</f>
        <v/>
      </c>
    </row>
    <row r="174" hidden="1" outlineLevel="1" ht="15" customHeight="1" s="15">
      <c r="AT174" s="36">
        <f>IF(AND(AE9&lt;&gt;"",AE9=7),"R","")</f>
        <v/>
      </c>
      <c r="AU174" s="36">
        <f>IF(AND(AE9&lt;&gt;"",AE9&gt;=6),"R","")</f>
        <v/>
      </c>
    </row>
    <row r="175" hidden="1" outlineLevel="1" ht="15" customHeight="1" s="15">
      <c r="AT175" s="36">
        <f>IF(OR(AF9="",AF9=7),"","P")</f>
        <v/>
      </c>
      <c r="AU175" s="36">
        <f>IF(OR(AF9="",AF9&gt;=6),"","P")</f>
        <v/>
      </c>
    </row>
    <row r="176" hidden="1" outlineLevel="1" ht="15" customHeight="1" s="15">
      <c r="AT176" s="36">
        <f>IF(OR(AF9="",AF9=7),"","D")</f>
        <v/>
      </c>
      <c r="AU176" s="36">
        <f>IF(OR(AF9="",AF9&gt;=6),"","D")</f>
        <v/>
      </c>
    </row>
    <row r="177" hidden="1" outlineLevel="1" ht="15" customHeight="1" s="15">
      <c r="AT177" s="36">
        <f>IF(OR(AF9="",AF9=7),"","A")</f>
        <v/>
      </c>
      <c r="AU177" s="36">
        <f>IF(OR(AF9="",AF9&gt;=6),"","A")</f>
        <v/>
      </c>
    </row>
    <row r="178" hidden="1" outlineLevel="1" ht="15" customHeight="1" s="15">
      <c r="AT178" s="36">
        <f>IF(OR(AF9="",AF9=7),"","F")</f>
        <v/>
      </c>
      <c r="AU178" s="36">
        <f>IF(OR(AF9="",AF9&gt;=6),"","F")</f>
        <v/>
      </c>
    </row>
    <row r="179" hidden="1" outlineLevel="1" ht="15" customHeight="1" s="15">
      <c r="AT179" s="36">
        <f>IF(OR(AF9="",AF9=7),"","C")</f>
        <v/>
      </c>
      <c r="AU179" s="36">
        <f>IF(OR(AF9="",AF9&gt;=6),"","C")</f>
        <v/>
      </c>
    </row>
    <row r="180" hidden="1" outlineLevel="1" ht="15" customHeight="1" s="15">
      <c r="AT180" s="36">
        <f>IF(AND(AF9&lt;&gt;"",AF9=7),"R","")</f>
        <v/>
      </c>
      <c r="AU180" s="36">
        <f>IF(AND(AF9&lt;&gt;"",AF9&gt;=6),"R","")</f>
        <v/>
      </c>
    </row>
    <row r="181" hidden="1" outlineLevel="1" ht="15" customHeight="1" s="15">
      <c r="AT181" s="36">
        <f>IF(OR(AG9="",AG9=7),"","P")</f>
        <v/>
      </c>
      <c r="AU181" s="36">
        <f>IF(OR(AG9="",AG9&gt;=6),"","P")</f>
        <v/>
      </c>
    </row>
    <row r="182" hidden="1" outlineLevel="1" ht="15" customHeight="1" s="15">
      <c r="AT182" s="36">
        <f>IF(OR(AG9="",AG9=7),"","D")</f>
        <v/>
      </c>
      <c r="AU182" s="36">
        <f>IF(OR(AG9="",AG9&gt;=6),"","D")</f>
        <v/>
      </c>
    </row>
    <row r="183" hidden="1" outlineLevel="1" ht="15" customHeight="1" s="15">
      <c r="AT183" s="36">
        <f>IF(OR(AG9="",AG9=7),"","A")</f>
        <v/>
      </c>
      <c r="AU183" s="36">
        <f>IF(OR(AG9="",AG9&gt;=6),"","A")</f>
        <v/>
      </c>
    </row>
    <row r="184" hidden="1" outlineLevel="1" ht="15" customHeight="1" s="15">
      <c r="AT184" s="36">
        <f>IF(OR(AG9="",AG9=7),"","F")</f>
        <v/>
      </c>
      <c r="AU184" s="36">
        <f>IF(OR(AG9="",AG9&gt;=6),"","F")</f>
        <v/>
      </c>
    </row>
    <row r="185" hidden="1" outlineLevel="1" ht="15" customHeight="1" s="15">
      <c r="AT185" s="36">
        <f>IF(OR(AG9="",AG9=7),"","C")</f>
        <v/>
      </c>
      <c r="AU185" s="36">
        <f>IF(OR(AG9="",AG9&gt;=6),"","C")</f>
        <v/>
      </c>
    </row>
    <row r="186" hidden="1" outlineLevel="1" ht="15" customHeight="1" s="15">
      <c r="AT186" s="36">
        <f>IF(AND(AG9&lt;&gt;"",AG9=7),"R","")</f>
        <v/>
      </c>
      <c r="AU186" s="36">
        <f>IF(AND(AG9&lt;&gt;"",AG9&gt;=6),"R","")</f>
        <v/>
      </c>
    </row>
    <row r="187" hidden="1" outlineLevel="1" ht="15" customHeight="1" s="15">
      <c r="AT187" s="36">
        <f>IF(OR(AH9="",AH9=7),"","P")</f>
        <v/>
      </c>
      <c r="AU187" s="36">
        <f>IF(OR(AH9="",AH9&gt;=6),"","P")</f>
        <v/>
      </c>
    </row>
    <row r="188" hidden="1" outlineLevel="1" ht="15" customHeight="1" s="15">
      <c r="AT188" s="36">
        <f>IF(OR(AH9="",AH9=7),"","D")</f>
        <v/>
      </c>
      <c r="AU188" s="36">
        <f>IF(OR(AH9="",AH9&gt;=6),"","D")</f>
        <v/>
      </c>
    </row>
    <row r="189" hidden="1" outlineLevel="1" ht="15" customHeight="1" s="15">
      <c r="AT189" s="36">
        <f>IF(OR(AH9="",AH9=7),"","A")</f>
        <v/>
      </c>
      <c r="AU189" s="36">
        <f>IF(OR(AH9="",AH9&gt;=6),"","A")</f>
        <v/>
      </c>
    </row>
    <row r="190" hidden="1" outlineLevel="1" ht="15" customHeight="1" s="15">
      <c r="AT190" s="36">
        <f>IF(OR(AH9="",AH9=7),"","F")</f>
        <v/>
      </c>
      <c r="AU190" s="36">
        <f>IF(OR(AH9="",AH9&gt;=6),"","F")</f>
        <v/>
      </c>
    </row>
    <row r="191" hidden="1" outlineLevel="1" ht="15" customHeight="1" s="15">
      <c r="AT191" s="36">
        <f>IF(OR(AH9="",AH9=7),"","C")</f>
        <v/>
      </c>
      <c r="AU191" s="36">
        <f>IF(OR(AH9="",AH9&gt;=6),"","C")</f>
        <v/>
      </c>
    </row>
    <row r="192" hidden="1" outlineLevel="1" ht="15" customHeight="1" s="15">
      <c r="AT192" s="36">
        <f>IF(AND(AH9&lt;&gt;"",AH9=7),"R","")</f>
        <v/>
      </c>
      <c r="AU192" s="36">
        <f>IF(AND(AH9&lt;&gt;"",AH9&gt;=6),"R","")</f>
        <v/>
      </c>
    </row>
    <row r="193" hidden="1" outlineLevel="1" ht="15" customHeight="1" s="15">
      <c r="AT193" s="36">
        <f>IF(OR(AI9="",AI9=7),"","P")</f>
        <v/>
      </c>
      <c r="AU193" s="36">
        <f>IF(OR(AI9="",AI9&gt;=6),"","P")</f>
        <v/>
      </c>
    </row>
    <row r="194" hidden="1" outlineLevel="1" ht="15" customHeight="1" s="15">
      <c r="AT194" s="36">
        <f>IF(OR(AI9="",AI9=7),"","D")</f>
        <v/>
      </c>
      <c r="AU194" s="36">
        <f>IF(OR(AI9="",AI9&gt;=6),"","D")</f>
        <v/>
      </c>
    </row>
    <row r="195" hidden="1" outlineLevel="1" ht="15" customHeight="1" s="15">
      <c r="AT195" s="36">
        <f>IF(OR(AI9="",AI9=7),"","A")</f>
        <v/>
      </c>
      <c r="AU195" s="36">
        <f>IF(OR(AI9="",AI9&gt;=6),"","A")</f>
        <v/>
      </c>
    </row>
    <row r="196" hidden="1" outlineLevel="1" ht="15" customHeight="1" s="15">
      <c r="AT196" s="36">
        <f>IF(OR(AI9="",AI9=7),"","F")</f>
        <v/>
      </c>
      <c r="AU196" s="36">
        <f>IF(OR(AI9="",AI9&gt;=6),"","F")</f>
        <v/>
      </c>
    </row>
    <row r="197" hidden="1" outlineLevel="1" ht="15" customHeight="1" s="15">
      <c r="AT197" s="36">
        <f>IF(OR(AI9="",AI9=7),"","C")</f>
        <v/>
      </c>
      <c r="AU197" s="36">
        <f>IF(OR(AI9="",AI9&gt;=6),"","C")</f>
        <v/>
      </c>
    </row>
    <row r="198" hidden="1" outlineLevel="1" ht="15" customHeight="1" s="15">
      <c r="AT198" s="36">
        <f>IF(AND(AI9&lt;&gt;"",AI9=7),"R","")</f>
        <v/>
      </c>
      <c r="AU198" s="36">
        <f>IF(AND(AI9&lt;&gt;"",AI9&gt;=6),"R","")</f>
        <v/>
      </c>
    </row>
    <row r="199" hidden="1" outlineLevel="1" ht="15" customHeight="1" s="15">
      <c r="AT199" s="36">
        <f>IF(OR(AJ9="",AJ9=7),"","P")</f>
        <v/>
      </c>
      <c r="AU199" s="36">
        <f>IF(OR(AJ9="",AJ9&gt;=6),"","P")</f>
        <v/>
      </c>
    </row>
    <row r="200" hidden="1" outlineLevel="1" ht="15" customHeight="1" s="15">
      <c r="AT200" s="36">
        <f>IF(OR(AJ9="",AJ9=7),"","D")</f>
        <v/>
      </c>
      <c r="AU200" s="36">
        <f>IF(OR(AJ9="",AJ9&gt;=6),"","D")</f>
        <v/>
      </c>
    </row>
    <row r="201" hidden="1" outlineLevel="1" ht="15" customHeight="1" s="15">
      <c r="AT201" s="36">
        <f>IF(OR(AJ9="",AJ9=7),"","A")</f>
        <v/>
      </c>
      <c r="AU201" s="36">
        <f>IF(OR(AJ9="",AJ9&gt;=6),"","A")</f>
        <v/>
      </c>
    </row>
    <row r="202" hidden="1" outlineLevel="1" ht="15" customHeight="1" s="15">
      <c r="AT202" s="36">
        <f>IF(OR(AJ9="",AJ9=7),"","F")</f>
        <v/>
      </c>
      <c r="AU202" s="36">
        <f>IF(OR(AJ9="",AJ9&gt;=6),"","F")</f>
        <v/>
      </c>
    </row>
    <row r="203" hidden="1" outlineLevel="1" ht="15" customHeight="1" s="15">
      <c r="AT203" s="36">
        <f>IF(OR(AJ9="",AJ9=7),"","C")</f>
        <v/>
      </c>
      <c r="AU203" s="36">
        <f>IF(OR(AJ9="",AJ9&gt;=6),"","C")</f>
        <v/>
      </c>
    </row>
    <row r="204" hidden="1" outlineLevel="1" ht="15" customHeight="1" s="15">
      <c r="AT204" s="36">
        <f>IF(AND(AJ9&lt;&gt;"",AJ9=7),"R","")</f>
        <v/>
      </c>
      <c r="AU204" s="36">
        <f>IF(AND(AJ9&lt;&gt;"",AJ9&gt;=6),"R","")</f>
        <v/>
      </c>
    </row>
    <row r="205" hidden="1" outlineLevel="1" ht="15" customHeight="1" s="15">
      <c r="AT205" s="36">
        <f>IF(OR(AK9="",AK9=7),"","P")</f>
        <v/>
      </c>
      <c r="AU205" s="36">
        <f>IF(OR(AK9="",AK9&gt;=6),"","P")</f>
        <v/>
      </c>
    </row>
    <row r="206" hidden="1" outlineLevel="1" ht="15" customHeight="1" s="15">
      <c r="AT206" s="36">
        <f>IF(OR(AK9="",AK9=7),"","D")</f>
        <v/>
      </c>
      <c r="AU206" s="36">
        <f>IF(OR(AK9="",AK9&gt;=6),"","D")</f>
        <v/>
      </c>
    </row>
    <row r="207" hidden="1" outlineLevel="1" ht="15" customHeight="1" s="15">
      <c r="AT207" s="36">
        <f>IF(OR(AK9="",AK9=7),"","A")</f>
        <v/>
      </c>
      <c r="AU207" s="36">
        <f>IF(OR(AK9="",AK9&gt;=6),"","A")</f>
        <v/>
      </c>
    </row>
    <row r="208" hidden="1" outlineLevel="1" ht="15" customHeight="1" s="15">
      <c r="AT208" s="36">
        <f>IF(OR(AK9="",AK9=7),"","F")</f>
        <v/>
      </c>
      <c r="AU208" s="36">
        <f>IF(OR(AK9="",AK9&gt;=6),"","F")</f>
        <v/>
      </c>
    </row>
    <row r="209" hidden="1" outlineLevel="1" ht="15" customHeight="1" s="15">
      <c r="AT209" s="36">
        <f>IF(OR(AK9="",AK9=7),"","C")</f>
        <v/>
      </c>
      <c r="AU209" s="36">
        <f>IF(OR(AK9="",AK9&gt;=6),"","C")</f>
        <v/>
      </c>
    </row>
    <row r="210" hidden="1" outlineLevel="1" ht="15" customHeight="1" s="15">
      <c r="AT210" s="36">
        <f>IF(AND(AK9&lt;&gt;"",AK9=7),"R","")</f>
        <v/>
      </c>
      <c r="AU210" s="36">
        <f>IF(AND(AK9&lt;&gt;"",AK9&gt;=6),"R","")</f>
        <v/>
      </c>
    </row>
    <row r="211" hidden="1" outlineLevel="1" ht="15" customHeight="1" s="15">
      <c r="AT211" s="36">
        <f>IF(OR(AL9="",AL9=7),"","P")</f>
        <v/>
      </c>
      <c r="AU211" s="36">
        <f>IF(OR(AL9="",AL9&gt;=6),"","P")</f>
        <v/>
      </c>
    </row>
    <row r="212" hidden="1" outlineLevel="1" ht="15" customHeight="1" s="15">
      <c r="AT212" s="36">
        <f>IF(OR(AL9="",AL9=7),"","D")</f>
        <v/>
      </c>
      <c r="AU212" s="36">
        <f>IF(OR(AL9="",AL9&gt;=6),"","D")</f>
        <v/>
      </c>
    </row>
    <row r="213" hidden="1" outlineLevel="1" ht="15" customHeight="1" s="15">
      <c r="AT213" s="36">
        <f>IF(OR(AL9="",AL9=7),"","A")</f>
        <v/>
      </c>
      <c r="AU213" s="36">
        <f>IF(OR(AL9="",AL9&gt;=6),"","A")</f>
        <v/>
      </c>
    </row>
    <row r="214" hidden="1" outlineLevel="1" ht="15" customHeight="1" s="15">
      <c r="AT214" s="36">
        <f>IF(OR(AL9="",AL9=7),"","F")</f>
        <v/>
      </c>
      <c r="AU214" s="36">
        <f>IF(OR(AL9="",AL9&gt;=6),"","F")</f>
        <v/>
      </c>
    </row>
    <row r="215" hidden="1" outlineLevel="1" ht="15" customHeight="1" s="15">
      <c r="AT215" s="36">
        <f>IF(OR(AL9="",AL9=7),"","C")</f>
        <v/>
      </c>
      <c r="AU215" s="36">
        <f>IF(OR(AL9="",AL9&gt;=6),"","C")</f>
        <v/>
      </c>
    </row>
    <row r="216" hidden="1" outlineLevel="1" ht="15" customHeight="1" s="15">
      <c r="AT216" s="36">
        <f>IF(AND(AL9&lt;&gt;"",AL9=7),"R","")</f>
        <v/>
      </c>
      <c r="AU216" s="36">
        <f>IF(AND(AL9&lt;&gt;"",AL9&gt;=6),"R","")</f>
        <v/>
      </c>
    </row>
    <row r="217" hidden="1" outlineLevel="1" ht="15" customHeight="1" s="15">
      <c r="AT217" s="36">
        <f>IF(OR(AM9="",AM9=7),"","P")</f>
        <v/>
      </c>
      <c r="AU217" s="36">
        <f>IF(OR(AM9="",AM9&gt;=6),"","P")</f>
        <v/>
      </c>
    </row>
    <row r="218" hidden="1" outlineLevel="1" ht="15" customHeight="1" s="15">
      <c r="AT218" s="36">
        <f>IF(OR(AM9="",AM9=7),"","D")</f>
        <v/>
      </c>
      <c r="AU218" s="36">
        <f>IF(OR(AM9="",AM9&gt;=6),"","D")</f>
        <v/>
      </c>
    </row>
    <row r="219" hidden="1" outlineLevel="1" ht="15" customHeight="1" s="15">
      <c r="AT219" s="36">
        <f>IF(OR(AM9="",AM9=7),"","A")</f>
        <v/>
      </c>
      <c r="AU219" s="36">
        <f>IF(OR(AM9="",AM9&gt;=6),"","A")</f>
        <v/>
      </c>
    </row>
    <row r="220" hidden="1" outlineLevel="1" ht="15" customHeight="1" s="15">
      <c r="AT220" s="36">
        <f>IF(OR(AM9="",AM9=7),"","F")</f>
        <v/>
      </c>
      <c r="AU220" s="36">
        <f>IF(OR(AM9="",AM9&gt;=6),"","F")</f>
        <v/>
      </c>
    </row>
    <row r="221" hidden="1" outlineLevel="1" ht="15" customHeight="1" s="15">
      <c r="AT221" s="36">
        <f>IF(OR(AM9="",AM9=7),"","C")</f>
        <v/>
      </c>
      <c r="AU221" s="36">
        <f>IF(OR(AM9="",AM9&gt;=6),"","C")</f>
        <v/>
      </c>
    </row>
    <row r="222" hidden="1" outlineLevel="1" ht="15" customHeight="1" s="15">
      <c r="AT222" s="36">
        <f>IF(AND(AM9&lt;&gt;"",AM9=7),"R","")</f>
        <v/>
      </c>
      <c r="AU222" s="36">
        <f>IF(AND(AM9&lt;&gt;"",AM9&gt;=6),"R","")</f>
        <v/>
      </c>
    </row>
    <row r="223" hidden="1" outlineLevel="1" ht="15" customHeight="1" s="15">
      <c r="AT223" s="36">
        <f>IF(OR(AN9="",AN9=7),"","P")</f>
        <v/>
      </c>
      <c r="AU223" s="36">
        <f>IF(OR(AN9="",AN9&gt;=6),"","P")</f>
        <v/>
      </c>
    </row>
    <row r="224" hidden="1" outlineLevel="1" ht="15" customHeight="1" s="15">
      <c r="AT224" s="36">
        <f>IF(OR(AN9="",AN9=7),"","D")</f>
        <v/>
      </c>
      <c r="AU224" s="36">
        <f>IF(OR(AN9="",AN9&gt;=6),"","D")</f>
        <v/>
      </c>
    </row>
    <row r="225" hidden="1" outlineLevel="1" ht="15" customHeight="1" s="15">
      <c r="AT225" s="36">
        <f>IF(OR(AN9="",AN9=7),"","A")</f>
        <v/>
      </c>
      <c r="AU225" s="36">
        <f>IF(OR(AN9="",AN9&gt;=6),"","A")</f>
        <v/>
      </c>
    </row>
    <row r="226" hidden="1" outlineLevel="1" ht="15" customHeight="1" s="15">
      <c r="AT226" s="36">
        <f>IF(OR(AN9="",AN9=7),"","F")</f>
        <v/>
      </c>
      <c r="AU226" s="36">
        <f>IF(OR(AN9="",AN9&gt;=6),"","F")</f>
        <v/>
      </c>
    </row>
    <row r="227" hidden="1" outlineLevel="1" ht="15" customHeight="1" s="15">
      <c r="AT227" s="36">
        <f>IF(OR(AN9="",AN9=7),"","C")</f>
        <v/>
      </c>
      <c r="AU227" s="36">
        <f>IF(OR(AN9="",AN9&gt;=6),"","C")</f>
        <v/>
      </c>
    </row>
    <row r="228" hidden="1" outlineLevel="1" ht="15" customHeight="1" s="15">
      <c r="AT228" s="36">
        <f>IF(AND(AN9&lt;&gt;"",AN9=7),"R","")</f>
        <v/>
      </c>
      <c r="AU228" s="36">
        <f>IF(AND(AN9&lt;&gt;"",AN9&gt;=6),"R","")</f>
        <v/>
      </c>
    </row>
    <row r="229" hidden="1" outlineLevel="1" ht="15" customHeight="1" s="15">
      <c r="AT229" s="36">
        <f>IF(OR(AO9="",AO9=7),"","P")</f>
        <v/>
      </c>
      <c r="AU229" s="36">
        <f>IF(OR(AO9="",AO9&gt;=6),"","P")</f>
        <v/>
      </c>
    </row>
    <row r="230" hidden="1" outlineLevel="1" ht="15" customHeight="1" s="15">
      <c r="AT230" s="36">
        <f>IF(OR(AO9="",AO9=7),"","D")</f>
        <v/>
      </c>
      <c r="AU230" s="36">
        <f>IF(OR(AO9="",AO9&gt;=6),"","D")</f>
        <v/>
      </c>
    </row>
    <row r="231" hidden="1" outlineLevel="1" ht="15" customHeight="1" s="15">
      <c r="AT231" s="36">
        <f>IF(OR(AO9="",AO9=7),"","A")</f>
        <v/>
      </c>
      <c r="AU231" s="36">
        <f>IF(OR(AO9="",AO9&gt;=6),"","A")</f>
        <v/>
      </c>
    </row>
    <row r="232" hidden="1" outlineLevel="1" ht="15" customHeight="1" s="15">
      <c r="AT232" s="36">
        <f>IF(OR(AO9="",AO9=7),"","F")</f>
        <v/>
      </c>
      <c r="AU232" s="36">
        <f>IF(OR(AO9="",AO9&gt;=6),"","F")</f>
        <v/>
      </c>
    </row>
    <row r="233" hidden="1" outlineLevel="1" ht="15" customHeight="1" s="15">
      <c r="AT233" s="36">
        <f>IF(OR(AO9="",AO9=7),"","C")</f>
        <v/>
      </c>
      <c r="AU233" s="36">
        <f>IF(OR(AO9="",AO9&gt;=6),"","C")</f>
        <v/>
      </c>
    </row>
    <row r="234" hidden="1" outlineLevel="1" ht="15" customHeight="1" s="15">
      <c r="AT234" s="36">
        <f>IF(AND(AO9&lt;&gt;"",AO9=7),"R","")</f>
        <v/>
      </c>
      <c r="AU234" s="36">
        <f>IF(AND(AO9&lt;&gt;"",AO9&gt;=6),"R","")</f>
        <v/>
      </c>
    </row>
    <row r="235" hidden="1" outlineLevel="1" ht="15" customHeight="1" s="15">
      <c r="AT235" s="36">
        <f>IF(OR(AP9="",AP9=7),"","P")</f>
        <v/>
      </c>
      <c r="AU235" s="36">
        <f>IF(OR(AP9="",AP9&gt;=6),"","P")</f>
        <v/>
      </c>
    </row>
    <row r="236" hidden="1" outlineLevel="1" ht="15" customHeight="1" s="15">
      <c r="AT236" s="36">
        <f>IF(OR(AP9="",AP9=7),"","D")</f>
        <v/>
      </c>
      <c r="AU236" s="36">
        <f>IF(OR(AP9="",AP9&gt;=6),"","D")</f>
        <v/>
      </c>
    </row>
    <row r="237" hidden="1" outlineLevel="1" ht="15" customHeight="1" s="15">
      <c r="AT237" s="36">
        <f>IF(OR(AP9="",AP9=7),"","A")</f>
        <v/>
      </c>
      <c r="AU237" s="36">
        <f>IF(OR(AP9="",AP9&gt;=6),"","A")</f>
        <v/>
      </c>
    </row>
    <row r="238" hidden="1" outlineLevel="1" ht="15" customHeight="1" s="15">
      <c r="AT238" s="36">
        <f>IF(OR(AP9="",AP9=7),"","F")</f>
        <v/>
      </c>
      <c r="AU238" s="36">
        <f>IF(OR(AP9="",AP9&gt;=6),"","F")</f>
        <v/>
      </c>
    </row>
    <row r="239" hidden="1" outlineLevel="1" ht="15" customHeight="1" s="15">
      <c r="AT239" s="36">
        <f>IF(OR(AP9="",AP9=7),"","C")</f>
        <v/>
      </c>
      <c r="AU239" s="36">
        <f>IF(OR(AP9="",AP9&gt;=6),"","C")</f>
        <v/>
      </c>
    </row>
    <row r="240" hidden="1" outlineLevel="1" ht="15" customHeight="1" s="15">
      <c r="AT240" s="36">
        <f>IF(AND(AP9&lt;&gt;"",AP9=7),"R","")</f>
        <v/>
      </c>
      <c r="AU240" s="36">
        <f>IF(AND(AP9&lt;&gt;"",AP9&gt;=6),"R","")</f>
        <v/>
      </c>
    </row>
    <row r="241" hidden="1" outlineLevel="1" ht="15" customHeight="1" s="15">
      <c r="AT241" s="36">
        <f>IF(OR(AQ9="",AQ9=7),"","P")</f>
        <v/>
      </c>
      <c r="AU241" s="36">
        <f>IF(OR(AQ9="",AQ9&gt;=6),"","P")</f>
        <v/>
      </c>
    </row>
    <row r="242" hidden="1" outlineLevel="1" ht="15" customHeight="1" s="15">
      <c r="AT242" s="36">
        <f>IF(OR(AQ9="",AQ9=7),"","D")</f>
        <v/>
      </c>
      <c r="AU242" s="36">
        <f>IF(OR(AQ9="",AQ9&gt;=6),"","D")</f>
        <v/>
      </c>
    </row>
    <row r="243" hidden="1" outlineLevel="1" ht="15" customHeight="1" s="15">
      <c r="AT243" s="36">
        <f>IF(OR(AQ9="",AQ9=7),"","A")</f>
        <v/>
      </c>
      <c r="AU243" s="36">
        <f>IF(OR(AQ9="",AQ9&gt;=6),"","A")</f>
        <v/>
      </c>
    </row>
    <row r="244" hidden="1" outlineLevel="1" ht="15" customHeight="1" s="15">
      <c r="AT244" s="36">
        <f>IF(OR(AQ9="",AQ9=7),"","F")</f>
        <v/>
      </c>
      <c r="AU244" s="36">
        <f>IF(OR(AQ9="",AQ9&gt;=6),"","F")</f>
        <v/>
      </c>
    </row>
    <row r="245" hidden="1" outlineLevel="1" ht="15" customHeight="1" s="15">
      <c r="AT245" s="36">
        <f>IF(OR(AQ9="",AQ9=7),"","C")</f>
        <v/>
      </c>
      <c r="AU245" s="36">
        <f>IF(OR(AQ9="",AQ9&gt;=6),"","C")</f>
        <v/>
      </c>
    </row>
    <row r="246" hidden="1" outlineLevel="1" ht="15" customHeight="1" s="15">
      <c r="AT246" s="36">
        <f>IF(AND(AQ9&lt;&gt;"",AQ9=7),"R","")</f>
        <v/>
      </c>
      <c r="AU246" s="36">
        <f>IF(AND(AQ9&lt;&gt;"",AQ9&gt;=6),"R","")</f>
        <v/>
      </c>
    </row>
    <row r="247" hidden="1" outlineLevel="1" ht="15" customHeight="1" s="15">
      <c r="AT247" s="36">
        <f>IF(OR(AR9="",AR9=7),"","P")</f>
        <v/>
      </c>
      <c r="AU247" s="36">
        <f>IF(OR(AR9="",AR9&gt;=6),"","P")</f>
        <v/>
      </c>
    </row>
    <row r="248" hidden="1" outlineLevel="1" ht="15" customHeight="1" s="15">
      <c r="AT248" s="36">
        <f>IF(OR(AR9="",AR9=7),"","D")</f>
        <v/>
      </c>
      <c r="AU248" s="36">
        <f>IF(OR(AR9="",AR9&gt;=6),"","D")</f>
        <v/>
      </c>
    </row>
    <row r="249" hidden="1" outlineLevel="1" ht="15" customHeight="1" s="15">
      <c r="AT249" s="36">
        <f>IF(OR(AR9="",AR9=7),"","A")</f>
        <v/>
      </c>
      <c r="AU249" s="36">
        <f>IF(OR(AR9="",AR9&gt;=6),"","A")</f>
        <v/>
      </c>
    </row>
    <row r="250" hidden="1" outlineLevel="1" ht="15" customHeight="1" s="15">
      <c r="AT250" s="36">
        <f>IF(OR(AR9="",AR9=7),"","F")</f>
        <v/>
      </c>
      <c r="AU250" s="36">
        <f>IF(OR(AR9="",AR9&gt;=6),"","F")</f>
        <v/>
      </c>
    </row>
    <row r="251" hidden="1" outlineLevel="1" ht="15" customHeight="1" s="15">
      <c r="AT251" s="36">
        <f>IF(OR(AR9="",AR9=7),"","C")</f>
        <v/>
      </c>
      <c r="AU251" s="36">
        <f>IF(OR(AR9="",AR9&gt;=6),"","C")</f>
        <v/>
      </c>
    </row>
    <row r="252" hidden="1" outlineLevel="1" ht="15" customHeight="1" s="15">
      <c r="AT252" s="36">
        <f>IF(AND(AR9&lt;&gt;"",AR9=7),"R","")</f>
        <v/>
      </c>
      <c r="AU252" s="36">
        <f>IF(AND(AR9&lt;&gt;"",AR9&gt;=6),"R","")</f>
        <v/>
      </c>
    </row>
    <row r="253" hidden="1" outlineLevel="1" ht="15" customHeight="1" s="15">
      <c r="AT253" s="36">
        <f>IF(OR(AS9="",AS9=7),"","P")</f>
        <v/>
      </c>
      <c r="AU253" s="36">
        <f>IF(OR(AS9="",AS9&gt;=6),"","P")</f>
        <v/>
      </c>
    </row>
    <row r="254" hidden="1" outlineLevel="1" ht="15" customHeight="1" s="15">
      <c r="AT254" s="36">
        <f>IF(OR(AS9="",AS9=7),"","D")</f>
        <v/>
      </c>
      <c r="AU254" s="36">
        <f>IF(OR(AS9="",AS9&gt;=6),"","D")</f>
        <v/>
      </c>
    </row>
    <row r="255" hidden="1" outlineLevel="1" ht="15" customHeight="1" s="15">
      <c r="AT255" s="36">
        <f>IF(OR(AS9="",AS9=7),"","A")</f>
        <v/>
      </c>
      <c r="AU255" s="36">
        <f>IF(OR(AS9="",AS9&gt;=6),"","A")</f>
        <v/>
      </c>
    </row>
    <row r="256" hidden="1" outlineLevel="1" ht="15" customHeight="1" s="15">
      <c r="AT256" s="36">
        <f>IF(OR(AS9="",AS9=7),"","F")</f>
        <v/>
      </c>
      <c r="AU256" s="36">
        <f>IF(OR(AS9="",AS9&gt;=6),"","F")</f>
        <v/>
      </c>
    </row>
    <row r="257" hidden="1" outlineLevel="1" ht="15" customHeight="1" s="15">
      <c r="AT257" s="36">
        <f>IF(OR(AS9="",AS9=7),"","C")</f>
        <v/>
      </c>
      <c r="AU257" s="36">
        <f>IF(OR(AS9="",AS9&gt;=6),"","C")</f>
        <v/>
      </c>
    </row>
    <row r="258" hidden="1" outlineLevel="1" ht="15" customHeight="1" s="15">
      <c r="AT258" s="36">
        <f>IF(AND(AS9&lt;&gt;"",AS9=7),"R","")</f>
        <v/>
      </c>
      <c r="AU258" s="36">
        <f>IF(AND(AS9&lt;&gt;"",AS9&gt;=6),"R","")</f>
        <v/>
      </c>
    </row>
    <row r="259" ht="21.75" customHeight="1" s="15">
      <c r="B259" s="6" t="inlineStr">
        <is>
          <t>ℹ  Grille de pointage Janvier — P/D/A/F/C/R, jours prévus/réels/absence calculés (jours ouvrables réels, WEEKDAY). R ne se propose que le jour de repos (repos exceptionnellement travaillé, +majoration). Listes techniques et ligne de calendrier repliées par défaut.</t>
        </is>
      </c>
    </row>
    <row r="261" ht="19.5" customHeight="1" s="15">
      <c r="B261" s="71">
        <f>"  FÉVRIER " &amp; PARAMETRES!$C$29</f>
        <v/>
      </c>
    </row>
    <row r="262" hidden="1" ht="15" customHeight="1" s="15">
      <c r="B262" s="36" t="inlineStr">
        <is>
          <t>Jour sem. (technique)</t>
        </is>
      </c>
      <c r="O262" s="37">
        <f>IF(1&gt;DAY(EOMONTH(DATE(PARAMETRES!$C$29,2,1),0)),"",WEEKDAY(DATE(PARAMETRES!$C$29,2,1),2))</f>
        <v/>
      </c>
      <c r="P262" s="37">
        <f>IF(2&gt;DAY(EOMONTH(DATE(PARAMETRES!$C$29,2,1),0)),"",WEEKDAY(DATE(PARAMETRES!$C$29,2,2),2))</f>
        <v/>
      </c>
      <c r="Q262" s="37">
        <f>IF(3&gt;DAY(EOMONTH(DATE(PARAMETRES!$C$29,2,1),0)),"",WEEKDAY(DATE(PARAMETRES!$C$29,2,3),2))</f>
        <v/>
      </c>
      <c r="R262" s="37">
        <f>IF(4&gt;DAY(EOMONTH(DATE(PARAMETRES!$C$29,2,1),0)),"",WEEKDAY(DATE(PARAMETRES!$C$29,2,4),2))</f>
        <v/>
      </c>
      <c r="S262" s="37">
        <f>IF(5&gt;DAY(EOMONTH(DATE(PARAMETRES!$C$29,2,1),0)),"",WEEKDAY(DATE(PARAMETRES!$C$29,2,5),2))</f>
        <v/>
      </c>
      <c r="T262" s="37">
        <f>IF(6&gt;DAY(EOMONTH(DATE(PARAMETRES!$C$29,2,1),0)),"",WEEKDAY(DATE(PARAMETRES!$C$29,2,6),2))</f>
        <v/>
      </c>
      <c r="U262" s="37">
        <f>IF(7&gt;DAY(EOMONTH(DATE(PARAMETRES!$C$29,2,1),0)),"",WEEKDAY(DATE(PARAMETRES!$C$29,2,7),2))</f>
        <v/>
      </c>
      <c r="V262" s="37">
        <f>IF(8&gt;DAY(EOMONTH(DATE(PARAMETRES!$C$29,2,1),0)),"",WEEKDAY(DATE(PARAMETRES!$C$29,2,8),2))</f>
        <v/>
      </c>
      <c r="W262" s="37">
        <f>IF(9&gt;DAY(EOMONTH(DATE(PARAMETRES!$C$29,2,1),0)),"",WEEKDAY(DATE(PARAMETRES!$C$29,2,9),2))</f>
        <v/>
      </c>
      <c r="X262" s="37">
        <f>IF(10&gt;DAY(EOMONTH(DATE(PARAMETRES!$C$29,2,1),0)),"",WEEKDAY(DATE(PARAMETRES!$C$29,2,10),2))</f>
        <v/>
      </c>
      <c r="Y262" s="37">
        <f>IF(11&gt;DAY(EOMONTH(DATE(PARAMETRES!$C$29,2,1),0)),"",WEEKDAY(DATE(PARAMETRES!$C$29,2,11),2))</f>
        <v/>
      </c>
      <c r="Z262" s="37">
        <f>IF(12&gt;DAY(EOMONTH(DATE(PARAMETRES!$C$29,2,1),0)),"",WEEKDAY(DATE(PARAMETRES!$C$29,2,12),2))</f>
        <v/>
      </c>
      <c r="AA262" s="37">
        <f>IF(13&gt;DAY(EOMONTH(DATE(PARAMETRES!$C$29,2,1),0)),"",WEEKDAY(DATE(PARAMETRES!$C$29,2,13),2))</f>
        <v/>
      </c>
      <c r="AB262" s="37">
        <f>IF(14&gt;DAY(EOMONTH(DATE(PARAMETRES!$C$29,2,1),0)),"",WEEKDAY(DATE(PARAMETRES!$C$29,2,14),2))</f>
        <v/>
      </c>
      <c r="AC262" s="37">
        <f>IF(15&gt;DAY(EOMONTH(DATE(PARAMETRES!$C$29,2,1),0)),"",WEEKDAY(DATE(PARAMETRES!$C$29,2,15),2))</f>
        <v/>
      </c>
      <c r="AD262" s="37">
        <f>IF(16&gt;DAY(EOMONTH(DATE(PARAMETRES!$C$29,2,1),0)),"",WEEKDAY(DATE(PARAMETRES!$C$29,2,16),2))</f>
        <v/>
      </c>
      <c r="AE262" s="37">
        <f>IF(17&gt;DAY(EOMONTH(DATE(PARAMETRES!$C$29,2,1),0)),"",WEEKDAY(DATE(PARAMETRES!$C$29,2,17),2))</f>
        <v/>
      </c>
      <c r="AF262" s="37">
        <f>IF(18&gt;DAY(EOMONTH(DATE(PARAMETRES!$C$29,2,1),0)),"",WEEKDAY(DATE(PARAMETRES!$C$29,2,18),2))</f>
        <v/>
      </c>
      <c r="AG262" s="37">
        <f>IF(19&gt;DAY(EOMONTH(DATE(PARAMETRES!$C$29,2,1),0)),"",WEEKDAY(DATE(PARAMETRES!$C$29,2,19),2))</f>
        <v/>
      </c>
      <c r="AH262" s="37">
        <f>IF(20&gt;DAY(EOMONTH(DATE(PARAMETRES!$C$29,2,1),0)),"",WEEKDAY(DATE(PARAMETRES!$C$29,2,20),2))</f>
        <v/>
      </c>
      <c r="AI262" s="37">
        <f>IF(21&gt;DAY(EOMONTH(DATE(PARAMETRES!$C$29,2,1),0)),"",WEEKDAY(DATE(PARAMETRES!$C$29,2,21),2))</f>
        <v/>
      </c>
      <c r="AJ262" s="37">
        <f>IF(22&gt;DAY(EOMONTH(DATE(PARAMETRES!$C$29,2,1),0)),"",WEEKDAY(DATE(PARAMETRES!$C$29,2,22),2))</f>
        <v/>
      </c>
      <c r="AK262" s="37">
        <f>IF(23&gt;DAY(EOMONTH(DATE(PARAMETRES!$C$29,2,1),0)),"",WEEKDAY(DATE(PARAMETRES!$C$29,2,23),2))</f>
        <v/>
      </c>
      <c r="AL262" s="37">
        <f>IF(24&gt;DAY(EOMONTH(DATE(PARAMETRES!$C$29,2,1),0)),"",WEEKDAY(DATE(PARAMETRES!$C$29,2,24),2))</f>
        <v/>
      </c>
      <c r="AM262" s="37">
        <f>IF(25&gt;DAY(EOMONTH(DATE(PARAMETRES!$C$29,2,1),0)),"",WEEKDAY(DATE(PARAMETRES!$C$29,2,25),2))</f>
        <v/>
      </c>
      <c r="AN262" s="37">
        <f>IF(26&gt;DAY(EOMONTH(DATE(PARAMETRES!$C$29,2,1),0)),"",WEEKDAY(DATE(PARAMETRES!$C$29,2,26),2))</f>
        <v/>
      </c>
      <c r="AO262" s="37">
        <f>IF(27&gt;DAY(EOMONTH(DATE(PARAMETRES!$C$29,2,1),0)),"",WEEKDAY(DATE(PARAMETRES!$C$29,2,27),2))</f>
        <v/>
      </c>
      <c r="AP262" s="37">
        <f>IF(28&gt;DAY(EOMONTH(DATE(PARAMETRES!$C$29,2,1),0)),"",WEEKDAY(DATE(PARAMETRES!$C$29,2,28),2))</f>
        <v/>
      </c>
      <c r="AQ262" s="37">
        <f>IF(29&gt;DAY(EOMONTH(DATE(PARAMETRES!$C$29,2,1),0)),"",WEEKDAY(DATE(PARAMETRES!$C$29,2,29),2))</f>
        <v/>
      </c>
      <c r="AR262" s="37">
        <f>IF(30&gt;DAY(EOMONTH(DATE(PARAMETRES!$C$29,2,1),0)),"",WEEKDAY(DATE(PARAMETRES!$C$29,2,30),2))</f>
        <v/>
      </c>
      <c r="AS262" s="37">
        <f>IF(31&gt;DAY(EOMONTH(DATE(PARAMETRES!$C$29,2,1),0)),"",WEEKDAY(DATE(PARAMETRES!$C$29,2,31),2))</f>
        <v/>
      </c>
    </row>
    <row r="263" ht="15" customHeight="1" s="15">
      <c r="B263" s="38" t="inlineStr">
        <is>
          <t>Jour</t>
        </is>
      </c>
      <c r="O263" s="39">
        <f>IF(O262="","",CHOOSE(O262,"L","M","M","J","V","S","D"))</f>
        <v/>
      </c>
      <c r="P263" s="39">
        <f>IF(P262="","",CHOOSE(P262,"L","M","M","J","V","S","D"))</f>
        <v/>
      </c>
      <c r="Q263" s="39">
        <f>IF(Q262="","",CHOOSE(Q262,"L","M","M","J","V","S","D"))</f>
        <v/>
      </c>
      <c r="R263" s="39">
        <f>IF(R262="","",CHOOSE(R262,"L","M","M","J","V","S","D"))</f>
        <v/>
      </c>
      <c r="S263" s="39">
        <f>IF(S262="","",CHOOSE(S262,"L","M","M","J","V","S","D"))</f>
        <v/>
      </c>
      <c r="T263" s="39">
        <f>IF(T262="","",CHOOSE(T262,"L","M","M","J","V","S","D"))</f>
        <v/>
      </c>
      <c r="U263" s="39">
        <f>IF(U262="","",CHOOSE(U262,"L","M","M","J","V","S","D"))</f>
        <v/>
      </c>
      <c r="V263" s="39">
        <f>IF(V262="","",CHOOSE(V262,"L","M","M","J","V","S","D"))</f>
        <v/>
      </c>
      <c r="W263" s="39">
        <f>IF(W262="","",CHOOSE(W262,"L","M","M","J","V","S","D"))</f>
        <v/>
      </c>
      <c r="X263" s="39">
        <f>IF(X262="","",CHOOSE(X262,"L","M","M","J","V","S","D"))</f>
        <v/>
      </c>
      <c r="Y263" s="39">
        <f>IF(Y262="","",CHOOSE(Y262,"L","M","M","J","V","S","D"))</f>
        <v/>
      </c>
      <c r="Z263" s="39">
        <f>IF(Z262="","",CHOOSE(Z262,"L","M","M","J","V","S","D"))</f>
        <v/>
      </c>
      <c r="AA263" s="39">
        <f>IF(AA262="","",CHOOSE(AA262,"L","M","M","J","V","S","D"))</f>
        <v/>
      </c>
      <c r="AB263" s="39">
        <f>IF(AB262="","",CHOOSE(AB262,"L","M","M","J","V","S","D"))</f>
        <v/>
      </c>
      <c r="AC263" s="39">
        <f>IF(AC262="","",CHOOSE(AC262,"L","M","M","J","V","S","D"))</f>
        <v/>
      </c>
      <c r="AD263" s="39">
        <f>IF(AD262="","",CHOOSE(AD262,"L","M","M","J","V","S","D"))</f>
        <v/>
      </c>
      <c r="AE263" s="39">
        <f>IF(AE262="","",CHOOSE(AE262,"L","M","M","J","V","S","D"))</f>
        <v/>
      </c>
      <c r="AF263" s="39">
        <f>IF(AF262="","",CHOOSE(AF262,"L","M","M","J","V","S","D"))</f>
        <v/>
      </c>
      <c r="AG263" s="39">
        <f>IF(AG262="","",CHOOSE(AG262,"L","M","M","J","V","S","D"))</f>
        <v/>
      </c>
      <c r="AH263" s="39">
        <f>IF(AH262="","",CHOOSE(AH262,"L","M","M","J","V","S","D"))</f>
        <v/>
      </c>
      <c r="AI263" s="39">
        <f>IF(AI262="","",CHOOSE(AI262,"L","M","M","J","V","S","D"))</f>
        <v/>
      </c>
      <c r="AJ263" s="39">
        <f>IF(AJ262="","",CHOOSE(AJ262,"L","M","M","J","V","S","D"))</f>
        <v/>
      </c>
      <c r="AK263" s="39">
        <f>IF(AK262="","",CHOOSE(AK262,"L","M","M","J","V","S","D"))</f>
        <v/>
      </c>
      <c r="AL263" s="39">
        <f>IF(AL262="","",CHOOSE(AL262,"L","M","M","J","V","S","D"))</f>
        <v/>
      </c>
      <c r="AM263" s="39">
        <f>IF(AM262="","",CHOOSE(AM262,"L","M","M","J","V","S","D"))</f>
        <v/>
      </c>
      <c r="AN263" s="39">
        <f>IF(AN262="","",CHOOSE(AN262,"L","M","M","J","V","S","D"))</f>
        <v/>
      </c>
      <c r="AO263" s="39">
        <f>IF(AO262="","",CHOOSE(AO262,"L","M","M","J","V","S","D"))</f>
        <v/>
      </c>
      <c r="AP263" s="39">
        <f>IF(AP262="","",CHOOSE(AP262,"L","M","M","J","V","S","D"))</f>
        <v/>
      </c>
      <c r="AQ263" s="39">
        <f>IF(AQ262="","",CHOOSE(AQ262,"L","M","M","J","V","S","D"))</f>
        <v/>
      </c>
      <c r="AR263" s="39">
        <f>IF(AR262="","",CHOOSE(AR262,"L","M","M","J","V","S","D"))</f>
        <v/>
      </c>
      <c r="AS263" s="39">
        <f>IF(AS262="","",CHOOSE(AS262,"L","M","M","J","V","S","D"))</f>
        <v/>
      </c>
    </row>
    <row r="264" ht="24" customHeight="1" s="15">
      <c r="B264" s="40" t="inlineStr">
        <is>
          <t>Mois</t>
        </is>
      </c>
      <c r="C264" s="40" t="inlineStr">
        <is>
          <t>Matricule</t>
        </is>
      </c>
      <c r="D264" s="40" t="inlineStr">
        <is>
          <t>Nom complet</t>
        </is>
      </c>
      <c r="E264" s="40" t="inlineStr">
        <is>
          <t>Heures
sup.</t>
        </is>
      </c>
      <c r="F264" s="40" t="inlineStr">
        <is>
          <t>Primes
(CDF)</t>
        </is>
      </c>
      <c r="G264" s="40" t="inlineStr">
        <is>
          <t>Jours
abs.</t>
        </is>
      </c>
      <c r="H264" s="40" t="inlineStr">
        <is>
          <t>Avance
(CDF)</t>
        </is>
      </c>
      <c r="I264" s="40" t="inlineStr">
        <is>
          <t>Contrôle
auto.</t>
        </is>
      </c>
      <c r="J264" s="40" t="inlineStr">
        <is>
          <t>Retenues
(CDF)</t>
        </is>
      </c>
      <c r="K264" s="40" t="inlineStr">
        <is>
          <t>Motif</t>
        </is>
      </c>
      <c r="L264" s="40" t="inlineStr">
        <is>
          <t>Observ.</t>
        </is>
      </c>
      <c r="M264" s="40" t="inlineStr">
        <is>
          <t>Jours
prévus</t>
        </is>
      </c>
      <c r="N264" s="40" t="inlineStr">
        <is>
          <t>Jours
réels</t>
        </is>
      </c>
      <c r="O264" s="40" t="n">
        <v>1</v>
      </c>
      <c r="P264" s="40" t="n">
        <v>2</v>
      </c>
      <c r="Q264" s="40" t="n">
        <v>3</v>
      </c>
      <c r="R264" s="40" t="n">
        <v>4</v>
      </c>
      <c r="S264" s="40" t="n">
        <v>5</v>
      </c>
      <c r="T264" s="40" t="n">
        <v>6</v>
      </c>
      <c r="U264" s="40" t="n">
        <v>7</v>
      </c>
      <c r="V264" s="40" t="n">
        <v>8</v>
      </c>
      <c r="W264" s="40" t="n">
        <v>9</v>
      </c>
      <c r="X264" s="40" t="n">
        <v>10</v>
      </c>
      <c r="Y264" s="40" t="n">
        <v>11</v>
      </c>
      <c r="Z264" s="40" t="n">
        <v>12</v>
      </c>
      <c r="AA264" s="40" t="n">
        <v>13</v>
      </c>
      <c r="AB264" s="40" t="n">
        <v>14</v>
      </c>
      <c r="AC264" s="40" t="n">
        <v>15</v>
      </c>
      <c r="AD264" s="40" t="n">
        <v>16</v>
      </c>
      <c r="AE264" s="40" t="n">
        <v>17</v>
      </c>
      <c r="AF264" s="40" t="n">
        <v>18</v>
      </c>
      <c r="AG264" s="40" t="n">
        <v>19</v>
      </c>
      <c r="AH264" s="40" t="n">
        <v>20</v>
      </c>
      <c r="AI264" s="40" t="n">
        <v>21</v>
      </c>
      <c r="AJ264" s="40" t="n">
        <v>22</v>
      </c>
      <c r="AK264" s="40" t="n">
        <v>23</v>
      </c>
      <c r="AL264" s="40" t="n">
        <v>24</v>
      </c>
      <c r="AM264" s="40" t="n">
        <v>25</v>
      </c>
      <c r="AN264" s="40" t="n">
        <v>26</v>
      </c>
      <c r="AO264" s="40" t="n">
        <v>27</v>
      </c>
      <c r="AP264" s="40" t="n">
        <v>28</v>
      </c>
      <c r="AQ264" s="40" t="n">
        <v>29</v>
      </c>
      <c r="AR264" s="40" t="n">
        <v>30</v>
      </c>
      <c r="AS264" s="40" t="n">
        <v>31</v>
      </c>
      <c r="AY264" s="40" t="inlineStr">
        <is>
          <t>Heures
nuit</t>
        </is>
      </c>
    </row>
    <row r="265" hidden="1" outlineLevel="1" ht="15" customHeight="1" s="15">
      <c r="B265" s="41" t="n">
        <v>2</v>
      </c>
      <c r="C265" s="42">
        <f>IF(EMPLOYES!C15="","",EMPLOYES!C15)</f>
        <v/>
      </c>
      <c r="D265" s="43">
        <f>IF(EMPLOYES!C15="","",EMPLOYES!D15)</f>
        <v/>
      </c>
      <c r="E265" s="44" t="n"/>
      <c r="F265" s="42" t="n"/>
      <c r="G265" s="41">
        <f>IF($C265="",0,MAX(0,$M265-$N265))</f>
        <v/>
      </c>
      <c r="H265" s="45" t="n"/>
      <c r="I265" s="41">
        <f>IF($C265="","",IF(H265="","OK",IF(H265&gt;EMPLOYES!P15,"⚠ Avance &gt; salaire",IF(H265&gt;EMPLOYES!P15*PARAMETRES!$C$218,"⚠ Avance élevée","OK"))))</f>
        <v/>
      </c>
      <c r="J265" s="45" t="n"/>
      <c r="K265" s="46" t="n"/>
      <c r="L265" s="46" t="n"/>
      <c r="M265" s="41">
        <f>IF($C265="","",SUMPRODUCT((PARAMETRES!$B$38:$B$157=PARAMETRES!$C$29)*(PARAMETRES!$C$38:$C$157=2)*(IF(EMPLOYES!M15="5j",PARAMETRES!$I$38:$I$157,PARAMETRES!$H$38:$H$157))))</f>
        <v/>
      </c>
      <c r="N265" s="41">
        <f>IF($C265="","",SUMPRODUCT((O265:AS265="P")+(O265:AS265="F")+(O265:AS265="C")+0.5*(O265:AS265="D"),(1-((O262:AS262=6)*(EMPLOYES!M15="5j")))))</f>
        <v/>
      </c>
      <c r="O265" s="46" t="n"/>
      <c r="P265" s="46" t="n"/>
      <c r="Q265" s="46" t="n"/>
      <c r="R265" s="46" t="n"/>
      <c r="S265" s="46" t="n"/>
      <c r="T265" s="46" t="n"/>
      <c r="U265" s="46" t="n"/>
      <c r="V265" s="46" t="n"/>
      <c r="W265" s="46" t="n"/>
      <c r="X265" s="46" t="n"/>
      <c r="Y265" s="46" t="n"/>
      <c r="Z265" s="46" t="n"/>
      <c r="AA265" s="46" t="n"/>
      <c r="AB265" s="46" t="n"/>
      <c r="AC265" s="46" t="n"/>
      <c r="AD265" s="46" t="n"/>
      <c r="AE265" s="46" t="n"/>
      <c r="AF265" s="46" t="n"/>
      <c r="AG265" s="46" t="n"/>
      <c r="AH265" s="46" t="n"/>
      <c r="AI265" s="46" t="n"/>
      <c r="AJ265" s="46" t="n"/>
      <c r="AK265" s="46" t="n"/>
      <c r="AL265" s="46" t="n"/>
      <c r="AM265" s="46" t="n"/>
      <c r="AN265" s="46" t="n"/>
      <c r="AO265" s="46" t="n"/>
      <c r="AP265" s="46" t="n"/>
      <c r="AQ265" s="46" t="n"/>
      <c r="AR265" s="46" t="n"/>
      <c r="AS265" s="46" t="n"/>
      <c r="AV265" s="36">
        <f>IF($C265="","",EMPLOYES!M15)</f>
        <v/>
      </c>
      <c r="AW265" s="36">
        <f>IF($C265="",0,SUMPRODUCT(--(O265:AS265="C")))</f>
        <v/>
      </c>
      <c r="AX265" s="36">
        <f>IF($C265="",0,SUMPRODUCT(--(O265:AS265="R")))</f>
        <v/>
      </c>
      <c r="AY265" s="44" t="n"/>
    </row>
    <row r="266" hidden="1" outlineLevel="1" ht="15" customHeight="1" s="15">
      <c r="B266" s="41" t="n">
        <v>2</v>
      </c>
      <c r="C266" s="42">
        <f>IF(EMPLOYES!C16="","",EMPLOYES!C16)</f>
        <v/>
      </c>
      <c r="D266" s="43">
        <f>IF(EMPLOYES!C16="","",EMPLOYES!D16)</f>
        <v/>
      </c>
      <c r="E266" s="44" t="n"/>
      <c r="F266" s="42" t="n"/>
      <c r="G266" s="41">
        <f>IF($C266="",0,MAX(0,$M266-$N266))</f>
        <v/>
      </c>
      <c r="H266" s="45" t="n"/>
      <c r="I266" s="41">
        <f>IF($C266="","",IF(H266="","OK",IF(H266&gt;EMPLOYES!P16,"⚠ Avance &gt; salaire",IF(H266&gt;EMPLOYES!P16*PARAMETRES!$C$218,"⚠ Avance élevée","OK"))))</f>
        <v/>
      </c>
      <c r="J266" s="45" t="n"/>
      <c r="K266" s="46" t="n"/>
      <c r="L266" s="46" t="n"/>
      <c r="M266" s="41">
        <f>IF($C266="","",SUMPRODUCT((PARAMETRES!$B$38:$B$157=PARAMETRES!$C$29)*(PARAMETRES!$C$38:$C$157=2)*(IF(EMPLOYES!M16="5j",PARAMETRES!$I$38:$I$157,PARAMETRES!$H$38:$H$157))))</f>
        <v/>
      </c>
      <c r="N266" s="41">
        <f>IF($C266="","",SUMPRODUCT((O266:AS266="P")+(O266:AS266="F")+(O266:AS266="C")+0.5*(O266:AS266="D"),(1-((O262:AS262=6)*(EMPLOYES!M16="5j")))))</f>
        <v/>
      </c>
      <c r="O266" s="46" t="n"/>
      <c r="P266" s="46" t="n"/>
      <c r="Q266" s="46" t="n"/>
      <c r="R266" s="46" t="n"/>
      <c r="S266" s="46" t="n"/>
      <c r="T266" s="46" t="n"/>
      <c r="U266" s="46" t="n"/>
      <c r="V266" s="46" t="n"/>
      <c r="W266" s="46" t="n"/>
      <c r="X266" s="46" t="n"/>
      <c r="Y266" s="46" t="n"/>
      <c r="Z266" s="46" t="n"/>
      <c r="AA266" s="46" t="n"/>
      <c r="AB266" s="46" t="n"/>
      <c r="AC266" s="46" t="n"/>
      <c r="AD266" s="46" t="n"/>
      <c r="AE266" s="46" t="n"/>
      <c r="AF266" s="46" t="n"/>
      <c r="AG266" s="46" t="n"/>
      <c r="AH266" s="46" t="n"/>
      <c r="AI266" s="46" t="n"/>
      <c r="AJ266" s="46" t="n"/>
      <c r="AK266" s="46" t="n"/>
      <c r="AL266" s="46" t="n"/>
      <c r="AM266" s="46" t="n"/>
      <c r="AN266" s="46" t="n"/>
      <c r="AO266" s="46" t="n"/>
      <c r="AP266" s="46" t="n"/>
      <c r="AQ266" s="46" t="n"/>
      <c r="AR266" s="46" t="n"/>
      <c r="AS266" s="46" t="n"/>
      <c r="AV266" s="36">
        <f>IF($C266="","",EMPLOYES!M16)</f>
        <v/>
      </c>
      <c r="AW266" s="36">
        <f>IF($C266="",0,SUMPRODUCT(--(O266:AS266="C")))</f>
        <v/>
      </c>
      <c r="AX266" s="36">
        <f>IF($C266="",0,SUMPRODUCT(--(O266:AS266="R")))</f>
        <v/>
      </c>
      <c r="AY266" s="44" t="n"/>
    </row>
    <row r="267" hidden="1" outlineLevel="1" ht="15" customHeight="1" s="15">
      <c r="B267" s="41" t="n">
        <v>2</v>
      </c>
      <c r="C267" s="42">
        <f>IF(EMPLOYES!C17="","",EMPLOYES!C17)</f>
        <v/>
      </c>
      <c r="D267" s="43">
        <f>IF(EMPLOYES!C17="","",EMPLOYES!D17)</f>
        <v/>
      </c>
      <c r="E267" s="44" t="n"/>
      <c r="F267" s="42" t="n"/>
      <c r="G267" s="41">
        <f>IF($C267="",0,MAX(0,$M267-$N267))</f>
        <v/>
      </c>
      <c r="H267" s="45" t="n"/>
      <c r="I267" s="41">
        <f>IF($C267="","",IF(H267="","OK",IF(H267&gt;EMPLOYES!P17,"⚠ Avance &gt; salaire",IF(H267&gt;EMPLOYES!P17*PARAMETRES!$C$218,"⚠ Avance élevée","OK"))))</f>
        <v/>
      </c>
      <c r="J267" s="45" t="n"/>
      <c r="K267" s="46" t="n"/>
      <c r="L267" s="46" t="n"/>
      <c r="M267" s="41">
        <f>IF($C267="","",SUMPRODUCT((PARAMETRES!$B$38:$B$157=PARAMETRES!$C$29)*(PARAMETRES!$C$38:$C$157=2)*(IF(EMPLOYES!M17="5j",PARAMETRES!$I$38:$I$157,PARAMETRES!$H$38:$H$157))))</f>
        <v/>
      </c>
      <c r="N267" s="41">
        <f>IF($C267="","",SUMPRODUCT((O267:AS267="P")+(O267:AS267="F")+(O267:AS267="C")+0.5*(O267:AS267="D"),(1-((O262:AS262=6)*(EMPLOYES!M17="5j")))))</f>
        <v/>
      </c>
      <c r="O267" s="46" t="n"/>
      <c r="P267" s="46" t="n"/>
      <c r="Q267" s="46" t="n"/>
      <c r="R267" s="46" t="n"/>
      <c r="S267" s="46" t="n"/>
      <c r="T267" s="46" t="n"/>
      <c r="U267" s="46" t="n"/>
      <c r="V267" s="46" t="n"/>
      <c r="W267" s="46" t="n"/>
      <c r="X267" s="46" t="n"/>
      <c r="Y267" s="46" t="n"/>
      <c r="Z267" s="46" t="n"/>
      <c r="AA267" s="46" t="n"/>
      <c r="AB267" s="46" t="n"/>
      <c r="AC267" s="46" t="n"/>
      <c r="AD267" s="46" t="n"/>
      <c r="AE267" s="46" t="n"/>
      <c r="AF267" s="46" t="n"/>
      <c r="AG267" s="46" t="n"/>
      <c r="AH267" s="46" t="n"/>
      <c r="AI267" s="46" t="n"/>
      <c r="AJ267" s="46" t="n"/>
      <c r="AK267" s="46" t="n"/>
      <c r="AL267" s="46" t="n"/>
      <c r="AM267" s="46" t="n"/>
      <c r="AN267" s="46" t="n"/>
      <c r="AO267" s="46" t="n"/>
      <c r="AP267" s="46" t="n"/>
      <c r="AQ267" s="46" t="n"/>
      <c r="AR267" s="46" t="n"/>
      <c r="AS267" s="46" t="n"/>
      <c r="AV267" s="36">
        <f>IF($C267="","",EMPLOYES!M17)</f>
        <v/>
      </c>
      <c r="AW267" s="36">
        <f>IF($C267="",0,SUMPRODUCT(--(O267:AS267="C")))</f>
        <v/>
      </c>
      <c r="AX267" s="36">
        <f>IF($C267="",0,SUMPRODUCT(--(O267:AS267="R")))</f>
        <v/>
      </c>
      <c r="AY267" s="44" t="n"/>
    </row>
    <row r="268" hidden="1" outlineLevel="1" ht="15" customHeight="1" s="15">
      <c r="B268" s="41" t="n">
        <v>2</v>
      </c>
      <c r="C268" s="42">
        <f>IF(EMPLOYES!C18="","",EMPLOYES!C18)</f>
        <v/>
      </c>
      <c r="D268" s="43">
        <f>IF(EMPLOYES!C18="","",EMPLOYES!D18)</f>
        <v/>
      </c>
      <c r="E268" s="44" t="n"/>
      <c r="F268" s="42" t="n"/>
      <c r="G268" s="41">
        <f>IF($C268="",0,MAX(0,$M268-$N268))</f>
        <v/>
      </c>
      <c r="H268" s="45" t="n"/>
      <c r="I268" s="41">
        <f>IF($C268="","",IF(H268="","OK",IF(H268&gt;EMPLOYES!P18,"⚠ Avance &gt; salaire",IF(H268&gt;EMPLOYES!P18*PARAMETRES!$C$218,"⚠ Avance élevée","OK"))))</f>
        <v/>
      </c>
      <c r="J268" s="45" t="n"/>
      <c r="K268" s="46" t="n"/>
      <c r="L268" s="46" t="n"/>
      <c r="M268" s="41">
        <f>IF($C268="","",SUMPRODUCT((PARAMETRES!$B$38:$B$157=PARAMETRES!$C$29)*(PARAMETRES!$C$38:$C$157=2)*(IF(EMPLOYES!M18="5j",PARAMETRES!$I$38:$I$157,PARAMETRES!$H$38:$H$157))))</f>
        <v/>
      </c>
      <c r="N268" s="41">
        <f>IF($C268="","",SUMPRODUCT((O268:AS268="P")+(O268:AS268="F")+(O268:AS268="C")+0.5*(O268:AS268="D"),(1-((O262:AS262=6)*(EMPLOYES!M18="5j")))))</f>
        <v/>
      </c>
      <c r="O268" s="46" t="n"/>
      <c r="P268" s="46" t="n"/>
      <c r="Q268" s="46" t="n"/>
      <c r="R268" s="46" t="n"/>
      <c r="S268" s="46" t="n"/>
      <c r="T268" s="46" t="n"/>
      <c r="U268" s="46" t="n"/>
      <c r="V268" s="46" t="n"/>
      <c r="W268" s="46" t="n"/>
      <c r="X268" s="46" t="n"/>
      <c r="Y268" s="46" t="n"/>
      <c r="Z268" s="46" t="n"/>
      <c r="AA268" s="46" t="n"/>
      <c r="AB268" s="46" t="n"/>
      <c r="AC268" s="46" t="n"/>
      <c r="AD268" s="46" t="n"/>
      <c r="AE268" s="46" t="n"/>
      <c r="AF268" s="46" t="n"/>
      <c r="AG268" s="46" t="n"/>
      <c r="AH268" s="46" t="n"/>
      <c r="AI268" s="46" t="n"/>
      <c r="AJ268" s="46" t="n"/>
      <c r="AK268" s="46" t="n"/>
      <c r="AL268" s="46" t="n"/>
      <c r="AM268" s="46" t="n"/>
      <c r="AN268" s="46" t="n"/>
      <c r="AO268" s="46" t="n"/>
      <c r="AP268" s="46" t="n"/>
      <c r="AQ268" s="46" t="n"/>
      <c r="AR268" s="46" t="n"/>
      <c r="AS268" s="46" t="n"/>
      <c r="AV268" s="36">
        <f>IF($C268="","",EMPLOYES!M18)</f>
        <v/>
      </c>
      <c r="AW268" s="36">
        <f>IF($C268="",0,SUMPRODUCT(--(O268:AS268="C")))</f>
        <v/>
      </c>
      <c r="AX268" s="36">
        <f>IF($C268="",0,SUMPRODUCT(--(O268:AS268="R")))</f>
        <v/>
      </c>
      <c r="AY268" s="44" t="n"/>
    </row>
    <row r="269" hidden="1" outlineLevel="1" ht="15" customHeight="1" s="15">
      <c r="B269" s="41" t="n">
        <v>2</v>
      </c>
      <c r="C269" s="42">
        <f>IF(EMPLOYES!C19="","",EMPLOYES!C19)</f>
        <v/>
      </c>
      <c r="D269" s="43">
        <f>IF(EMPLOYES!C19="","",EMPLOYES!D19)</f>
        <v/>
      </c>
      <c r="E269" s="44" t="n"/>
      <c r="F269" s="42" t="n"/>
      <c r="G269" s="41">
        <f>IF($C269="",0,MAX(0,$M269-$N269))</f>
        <v/>
      </c>
      <c r="H269" s="45" t="n"/>
      <c r="I269" s="41">
        <f>IF($C269="","",IF(H269="","OK",IF(H269&gt;EMPLOYES!P19,"⚠ Avance &gt; salaire",IF(H269&gt;EMPLOYES!P19*PARAMETRES!$C$218,"⚠ Avance élevée","OK"))))</f>
        <v/>
      </c>
      <c r="J269" s="45" t="n"/>
      <c r="K269" s="46" t="n"/>
      <c r="L269" s="46" t="n"/>
      <c r="M269" s="41">
        <f>IF($C269="","",SUMPRODUCT((PARAMETRES!$B$38:$B$157=PARAMETRES!$C$29)*(PARAMETRES!$C$38:$C$157=2)*(IF(EMPLOYES!M19="5j",PARAMETRES!$I$38:$I$157,PARAMETRES!$H$38:$H$157))))</f>
        <v/>
      </c>
      <c r="N269" s="41">
        <f>IF($C269="","",SUMPRODUCT((O269:AS269="P")+(O269:AS269="F")+(O269:AS269="C")+0.5*(O269:AS269="D"),(1-((O262:AS262=6)*(EMPLOYES!M19="5j")))))</f>
        <v/>
      </c>
      <c r="O269" s="46" t="n"/>
      <c r="P269" s="46" t="n"/>
      <c r="Q269" s="46" t="n"/>
      <c r="R269" s="46" t="n"/>
      <c r="S269" s="46" t="n"/>
      <c r="T269" s="46" t="n"/>
      <c r="U269" s="46" t="n"/>
      <c r="V269" s="46" t="n"/>
      <c r="W269" s="46" t="n"/>
      <c r="X269" s="46" t="n"/>
      <c r="Y269" s="46" t="n"/>
      <c r="Z269" s="46" t="n"/>
      <c r="AA269" s="46" t="n"/>
      <c r="AB269" s="46" t="n"/>
      <c r="AC269" s="46" t="n"/>
      <c r="AD269" s="46" t="n"/>
      <c r="AE269" s="46" t="n"/>
      <c r="AF269" s="46" t="n"/>
      <c r="AG269" s="46" t="n"/>
      <c r="AH269" s="46" t="n"/>
      <c r="AI269" s="46" t="n"/>
      <c r="AJ269" s="46" t="n"/>
      <c r="AK269" s="46" t="n"/>
      <c r="AL269" s="46" t="n"/>
      <c r="AM269" s="46" t="n"/>
      <c r="AN269" s="46" t="n"/>
      <c r="AO269" s="46" t="n"/>
      <c r="AP269" s="46" t="n"/>
      <c r="AQ269" s="46" t="n"/>
      <c r="AR269" s="46" t="n"/>
      <c r="AS269" s="46" t="n"/>
      <c r="AV269" s="36">
        <f>IF($C269="","",EMPLOYES!M19)</f>
        <v/>
      </c>
      <c r="AW269" s="36">
        <f>IF($C269="",0,SUMPRODUCT(--(O269:AS269="C")))</f>
        <v/>
      </c>
      <c r="AX269" s="36">
        <f>IF($C269="",0,SUMPRODUCT(--(O269:AS269="R")))</f>
        <v/>
      </c>
      <c r="AY269" s="44" t="n"/>
    </row>
    <row r="270" hidden="1" outlineLevel="1" ht="15" customHeight="1" s="15">
      <c r="B270" s="41" t="n">
        <v>2</v>
      </c>
      <c r="C270" s="42">
        <f>IF(EMPLOYES!C20="","",EMPLOYES!C20)</f>
        <v/>
      </c>
      <c r="D270" s="43">
        <f>IF(EMPLOYES!C20="","",EMPLOYES!D20)</f>
        <v/>
      </c>
      <c r="E270" s="44" t="n"/>
      <c r="F270" s="42" t="n"/>
      <c r="G270" s="41">
        <f>IF($C270="",0,MAX(0,$M270-$N270))</f>
        <v/>
      </c>
      <c r="H270" s="45" t="n"/>
      <c r="I270" s="41">
        <f>IF($C270="","",IF(H270="","OK",IF(H270&gt;EMPLOYES!P20,"⚠ Avance &gt; salaire",IF(H270&gt;EMPLOYES!P20*PARAMETRES!$C$218,"⚠ Avance élevée","OK"))))</f>
        <v/>
      </c>
      <c r="J270" s="45" t="n"/>
      <c r="K270" s="46" t="n"/>
      <c r="L270" s="46" t="n"/>
      <c r="M270" s="41">
        <f>IF($C270="","",SUMPRODUCT((PARAMETRES!$B$38:$B$157=PARAMETRES!$C$29)*(PARAMETRES!$C$38:$C$157=2)*(IF(EMPLOYES!M20="5j",PARAMETRES!$I$38:$I$157,PARAMETRES!$H$38:$H$157))))</f>
        <v/>
      </c>
      <c r="N270" s="41">
        <f>IF($C270="","",SUMPRODUCT((O270:AS270="P")+(O270:AS270="F")+(O270:AS270="C")+0.5*(O270:AS270="D"),(1-((O262:AS262=6)*(EMPLOYES!M20="5j")))))</f>
        <v/>
      </c>
      <c r="O270" s="46" t="n"/>
      <c r="P270" s="46" t="n"/>
      <c r="Q270" s="46" t="n"/>
      <c r="R270" s="46" t="n"/>
      <c r="S270" s="46" t="n"/>
      <c r="T270" s="46" t="n"/>
      <c r="U270" s="46" t="n"/>
      <c r="V270" s="46" t="n"/>
      <c r="W270" s="46" t="n"/>
      <c r="X270" s="46" t="n"/>
      <c r="Y270" s="46" t="n"/>
      <c r="Z270" s="46" t="n"/>
      <c r="AA270" s="46" t="n"/>
      <c r="AB270" s="46" t="n"/>
      <c r="AC270" s="46" t="n"/>
      <c r="AD270" s="46" t="n"/>
      <c r="AE270" s="46" t="n"/>
      <c r="AF270" s="46" t="n"/>
      <c r="AG270" s="46" t="n"/>
      <c r="AH270" s="46" t="n"/>
      <c r="AI270" s="46" t="n"/>
      <c r="AJ270" s="46" t="n"/>
      <c r="AK270" s="46" t="n"/>
      <c r="AL270" s="46" t="n"/>
      <c r="AM270" s="46" t="n"/>
      <c r="AN270" s="46" t="n"/>
      <c r="AO270" s="46" t="n"/>
      <c r="AP270" s="46" t="n"/>
      <c r="AQ270" s="46" t="n"/>
      <c r="AR270" s="46" t="n"/>
      <c r="AS270" s="46" t="n"/>
      <c r="AV270" s="36">
        <f>IF($C270="","",EMPLOYES!M20)</f>
        <v/>
      </c>
      <c r="AW270" s="36">
        <f>IF($C270="",0,SUMPRODUCT(--(O270:AS270="C")))</f>
        <v/>
      </c>
      <c r="AX270" s="36">
        <f>IF($C270="",0,SUMPRODUCT(--(O270:AS270="R")))</f>
        <v/>
      </c>
      <c r="AY270" s="44" t="n"/>
    </row>
    <row r="271" hidden="1" outlineLevel="1" ht="15" customHeight="1" s="15">
      <c r="B271" s="41" t="n">
        <v>2</v>
      </c>
      <c r="C271" s="42">
        <f>IF(EMPLOYES!C21="","",EMPLOYES!C21)</f>
        <v/>
      </c>
      <c r="D271" s="43">
        <f>IF(EMPLOYES!C21="","",EMPLOYES!D21)</f>
        <v/>
      </c>
      <c r="E271" s="44" t="n"/>
      <c r="F271" s="42" t="n"/>
      <c r="G271" s="41">
        <f>IF($C271="",0,MAX(0,$M271-$N271))</f>
        <v/>
      </c>
      <c r="H271" s="45" t="n"/>
      <c r="I271" s="41">
        <f>IF($C271="","",IF(H271="","OK",IF(H271&gt;EMPLOYES!P21,"⚠ Avance &gt; salaire",IF(H271&gt;EMPLOYES!P21*PARAMETRES!$C$218,"⚠ Avance élevée","OK"))))</f>
        <v/>
      </c>
      <c r="J271" s="45" t="n"/>
      <c r="K271" s="46" t="n"/>
      <c r="L271" s="46" t="n"/>
      <c r="M271" s="41">
        <f>IF($C271="","",SUMPRODUCT((PARAMETRES!$B$38:$B$157=PARAMETRES!$C$29)*(PARAMETRES!$C$38:$C$157=2)*(IF(EMPLOYES!M21="5j",PARAMETRES!$I$38:$I$157,PARAMETRES!$H$38:$H$157))))</f>
        <v/>
      </c>
      <c r="N271" s="41">
        <f>IF($C271="","",SUMPRODUCT((O271:AS271="P")+(O271:AS271="F")+(O271:AS271="C")+0.5*(O271:AS271="D"),(1-((O262:AS262=6)*(EMPLOYES!M21="5j")))))</f>
        <v/>
      </c>
      <c r="O271" s="46" t="n"/>
      <c r="P271" s="46" t="n"/>
      <c r="Q271" s="46" t="n"/>
      <c r="R271" s="46" t="n"/>
      <c r="S271" s="46" t="n"/>
      <c r="T271" s="46" t="n"/>
      <c r="U271" s="46" t="n"/>
      <c r="V271" s="46" t="n"/>
      <c r="W271" s="46" t="n"/>
      <c r="X271" s="46" t="n"/>
      <c r="Y271" s="46" t="n"/>
      <c r="Z271" s="46" t="n"/>
      <c r="AA271" s="46" t="n"/>
      <c r="AB271" s="46" t="n"/>
      <c r="AC271" s="46" t="n"/>
      <c r="AD271" s="46" t="n"/>
      <c r="AE271" s="46" t="n"/>
      <c r="AF271" s="46" t="n"/>
      <c r="AG271" s="46" t="n"/>
      <c r="AH271" s="46" t="n"/>
      <c r="AI271" s="46" t="n"/>
      <c r="AJ271" s="46" t="n"/>
      <c r="AK271" s="46" t="n"/>
      <c r="AL271" s="46" t="n"/>
      <c r="AM271" s="46" t="n"/>
      <c r="AN271" s="46" t="n"/>
      <c r="AO271" s="46" t="n"/>
      <c r="AP271" s="46" t="n"/>
      <c r="AQ271" s="46" t="n"/>
      <c r="AR271" s="46" t="n"/>
      <c r="AS271" s="46" t="n"/>
      <c r="AV271" s="36">
        <f>IF($C271="","",EMPLOYES!M21)</f>
        <v/>
      </c>
      <c r="AW271" s="36">
        <f>IF($C271="",0,SUMPRODUCT(--(O271:AS271="C")))</f>
        <v/>
      </c>
      <c r="AX271" s="36">
        <f>IF($C271="",0,SUMPRODUCT(--(O271:AS271="R")))</f>
        <v/>
      </c>
      <c r="AY271" s="44" t="n"/>
    </row>
    <row r="272" hidden="1" outlineLevel="1" ht="15" customHeight="1" s="15">
      <c r="B272" s="41" t="n">
        <v>2</v>
      </c>
      <c r="C272" s="42">
        <f>IF(EMPLOYES!C22="","",EMPLOYES!C22)</f>
        <v/>
      </c>
      <c r="D272" s="43">
        <f>IF(EMPLOYES!C22="","",EMPLOYES!D22)</f>
        <v/>
      </c>
      <c r="E272" s="44" t="n"/>
      <c r="F272" s="42" t="n"/>
      <c r="G272" s="41">
        <f>IF($C272="",0,MAX(0,$M272-$N272))</f>
        <v/>
      </c>
      <c r="H272" s="45" t="n"/>
      <c r="I272" s="41">
        <f>IF($C272="","",IF(H272="","OK",IF(H272&gt;EMPLOYES!P22,"⚠ Avance &gt; salaire",IF(H272&gt;EMPLOYES!P22*PARAMETRES!$C$218,"⚠ Avance élevée","OK"))))</f>
        <v/>
      </c>
      <c r="J272" s="45" t="n"/>
      <c r="K272" s="46" t="n"/>
      <c r="L272" s="46" t="n"/>
      <c r="M272" s="41">
        <f>IF($C272="","",SUMPRODUCT((PARAMETRES!$B$38:$B$157=PARAMETRES!$C$29)*(PARAMETRES!$C$38:$C$157=2)*(IF(EMPLOYES!M22="5j",PARAMETRES!$I$38:$I$157,PARAMETRES!$H$38:$H$157))))</f>
        <v/>
      </c>
      <c r="N272" s="41">
        <f>IF($C272="","",SUMPRODUCT((O272:AS272="P")+(O272:AS272="F")+(O272:AS272="C")+0.5*(O272:AS272="D"),(1-((O262:AS262=6)*(EMPLOYES!M22="5j")))))</f>
        <v/>
      </c>
      <c r="O272" s="46" t="n"/>
      <c r="P272" s="46" t="n"/>
      <c r="Q272" s="46" t="n"/>
      <c r="R272" s="46" t="n"/>
      <c r="S272" s="46" t="n"/>
      <c r="T272" s="46" t="n"/>
      <c r="U272" s="46" t="n"/>
      <c r="V272" s="46" t="n"/>
      <c r="W272" s="46" t="n"/>
      <c r="X272" s="46" t="n"/>
      <c r="Y272" s="46" t="n"/>
      <c r="Z272" s="46" t="n"/>
      <c r="AA272" s="46" t="n"/>
      <c r="AB272" s="46" t="n"/>
      <c r="AC272" s="46" t="n"/>
      <c r="AD272" s="46" t="n"/>
      <c r="AE272" s="46" t="n"/>
      <c r="AF272" s="46" t="n"/>
      <c r="AG272" s="46" t="n"/>
      <c r="AH272" s="46" t="n"/>
      <c r="AI272" s="46" t="n"/>
      <c r="AJ272" s="46" t="n"/>
      <c r="AK272" s="46" t="n"/>
      <c r="AL272" s="46" t="n"/>
      <c r="AM272" s="46" t="n"/>
      <c r="AN272" s="46" t="n"/>
      <c r="AO272" s="46" t="n"/>
      <c r="AP272" s="46" t="n"/>
      <c r="AQ272" s="46" t="n"/>
      <c r="AR272" s="46" t="n"/>
      <c r="AS272" s="46" t="n"/>
      <c r="AV272" s="36">
        <f>IF($C272="","",EMPLOYES!M22)</f>
        <v/>
      </c>
      <c r="AW272" s="36">
        <f>IF($C272="",0,SUMPRODUCT(--(O272:AS272="C")))</f>
        <v/>
      </c>
      <c r="AX272" s="36">
        <f>IF($C272="",0,SUMPRODUCT(--(O272:AS272="R")))</f>
        <v/>
      </c>
      <c r="AY272" s="44" t="n"/>
    </row>
    <row r="273" hidden="1" outlineLevel="1" ht="15" customHeight="1" s="15">
      <c r="B273" s="41" t="n">
        <v>2</v>
      </c>
      <c r="C273" s="42">
        <f>IF(EMPLOYES!C23="","",EMPLOYES!C23)</f>
        <v/>
      </c>
      <c r="D273" s="43">
        <f>IF(EMPLOYES!C23="","",EMPLOYES!D23)</f>
        <v/>
      </c>
      <c r="E273" s="44" t="n"/>
      <c r="F273" s="42" t="n"/>
      <c r="G273" s="41">
        <f>IF($C273="",0,MAX(0,$M273-$N273))</f>
        <v/>
      </c>
      <c r="H273" s="45" t="n"/>
      <c r="I273" s="41">
        <f>IF($C273="","",IF(H273="","OK",IF(H273&gt;EMPLOYES!P23,"⚠ Avance &gt; salaire",IF(H273&gt;EMPLOYES!P23*PARAMETRES!$C$218,"⚠ Avance élevée","OK"))))</f>
        <v/>
      </c>
      <c r="J273" s="45" t="n"/>
      <c r="K273" s="46" t="n"/>
      <c r="L273" s="46" t="n"/>
      <c r="M273" s="41">
        <f>IF($C273="","",SUMPRODUCT((PARAMETRES!$B$38:$B$157=PARAMETRES!$C$29)*(PARAMETRES!$C$38:$C$157=2)*(IF(EMPLOYES!M23="5j",PARAMETRES!$I$38:$I$157,PARAMETRES!$H$38:$H$157))))</f>
        <v/>
      </c>
      <c r="N273" s="41">
        <f>IF($C273="","",SUMPRODUCT((O273:AS273="P")+(O273:AS273="F")+(O273:AS273="C")+0.5*(O273:AS273="D"),(1-((O262:AS262=6)*(EMPLOYES!M23="5j")))))</f>
        <v/>
      </c>
      <c r="O273" s="46" t="n"/>
      <c r="P273" s="46" t="n"/>
      <c r="Q273" s="46" t="n"/>
      <c r="R273" s="46" t="n"/>
      <c r="S273" s="46" t="n"/>
      <c r="T273" s="46" t="n"/>
      <c r="U273" s="46" t="n"/>
      <c r="V273" s="46" t="n"/>
      <c r="W273" s="46" t="n"/>
      <c r="X273" s="46" t="n"/>
      <c r="Y273" s="46" t="n"/>
      <c r="Z273" s="46" t="n"/>
      <c r="AA273" s="46" t="n"/>
      <c r="AB273" s="46" t="n"/>
      <c r="AC273" s="46" t="n"/>
      <c r="AD273" s="46" t="n"/>
      <c r="AE273" s="46" t="n"/>
      <c r="AF273" s="46" t="n"/>
      <c r="AG273" s="46" t="n"/>
      <c r="AH273" s="46" t="n"/>
      <c r="AI273" s="46" t="n"/>
      <c r="AJ273" s="46" t="n"/>
      <c r="AK273" s="46" t="n"/>
      <c r="AL273" s="46" t="n"/>
      <c r="AM273" s="46" t="n"/>
      <c r="AN273" s="46" t="n"/>
      <c r="AO273" s="46" t="n"/>
      <c r="AP273" s="46" t="n"/>
      <c r="AQ273" s="46" t="n"/>
      <c r="AR273" s="46" t="n"/>
      <c r="AS273" s="46" t="n"/>
      <c r="AV273" s="36">
        <f>IF($C273="","",EMPLOYES!M23)</f>
        <v/>
      </c>
      <c r="AW273" s="36">
        <f>IF($C273="",0,SUMPRODUCT(--(O273:AS273="C")))</f>
        <v/>
      </c>
      <c r="AX273" s="36">
        <f>IF($C273="",0,SUMPRODUCT(--(O273:AS273="R")))</f>
        <v/>
      </c>
      <c r="AY273" s="44" t="n"/>
    </row>
    <row r="274" hidden="1" outlineLevel="1" ht="15" customHeight="1" s="15">
      <c r="B274" s="41" t="n">
        <v>2</v>
      </c>
      <c r="C274" s="42">
        <f>IF(EMPLOYES!C24="","",EMPLOYES!C24)</f>
        <v/>
      </c>
      <c r="D274" s="43">
        <f>IF(EMPLOYES!C24="","",EMPLOYES!D24)</f>
        <v/>
      </c>
      <c r="E274" s="44" t="n"/>
      <c r="F274" s="42" t="n"/>
      <c r="G274" s="41">
        <f>IF($C274="",0,MAX(0,$M274-$N274))</f>
        <v/>
      </c>
      <c r="H274" s="45" t="n"/>
      <c r="I274" s="41">
        <f>IF($C274="","",IF(H274="","OK",IF(H274&gt;EMPLOYES!P24,"⚠ Avance &gt; salaire",IF(H274&gt;EMPLOYES!P24*PARAMETRES!$C$218,"⚠ Avance élevée","OK"))))</f>
        <v/>
      </c>
      <c r="J274" s="45" t="n"/>
      <c r="K274" s="46" t="n"/>
      <c r="L274" s="46" t="n"/>
      <c r="M274" s="41">
        <f>IF($C274="","",SUMPRODUCT((PARAMETRES!$B$38:$B$157=PARAMETRES!$C$29)*(PARAMETRES!$C$38:$C$157=2)*(IF(EMPLOYES!M24="5j",PARAMETRES!$I$38:$I$157,PARAMETRES!$H$38:$H$157))))</f>
        <v/>
      </c>
      <c r="N274" s="41">
        <f>IF($C274="","",SUMPRODUCT((O274:AS274="P")+(O274:AS274="F")+(O274:AS274="C")+0.5*(O274:AS274="D"),(1-((O262:AS262=6)*(EMPLOYES!M24="5j")))))</f>
        <v/>
      </c>
      <c r="O274" s="46" t="n"/>
      <c r="P274" s="46" t="n"/>
      <c r="Q274" s="46" t="n"/>
      <c r="R274" s="46" t="n"/>
      <c r="S274" s="46" t="n"/>
      <c r="T274" s="46" t="n"/>
      <c r="U274" s="46" t="n"/>
      <c r="V274" s="46" t="n"/>
      <c r="W274" s="46" t="n"/>
      <c r="X274" s="46" t="n"/>
      <c r="Y274" s="46" t="n"/>
      <c r="Z274" s="46" t="n"/>
      <c r="AA274" s="46" t="n"/>
      <c r="AB274" s="46" t="n"/>
      <c r="AC274" s="46" t="n"/>
      <c r="AD274" s="46" t="n"/>
      <c r="AE274" s="46" t="n"/>
      <c r="AF274" s="46" t="n"/>
      <c r="AG274" s="46" t="n"/>
      <c r="AH274" s="46" t="n"/>
      <c r="AI274" s="46" t="n"/>
      <c r="AJ274" s="46" t="n"/>
      <c r="AK274" s="46" t="n"/>
      <c r="AL274" s="46" t="n"/>
      <c r="AM274" s="46" t="n"/>
      <c r="AN274" s="46" t="n"/>
      <c r="AO274" s="46" t="n"/>
      <c r="AP274" s="46" t="n"/>
      <c r="AQ274" s="46" t="n"/>
      <c r="AR274" s="46" t="n"/>
      <c r="AS274" s="46" t="n"/>
      <c r="AV274" s="36">
        <f>IF($C274="","",EMPLOYES!M24)</f>
        <v/>
      </c>
      <c r="AW274" s="36">
        <f>IF($C274="",0,SUMPRODUCT(--(O274:AS274="C")))</f>
        <v/>
      </c>
      <c r="AX274" s="36">
        <f>IF($C274="",0,SUMPRODUCT(--(O274:AS274="R")))</f>
        <v/>
      </c>
      <c r="AY274" s="44" t="n"/>
    </row>
    <row r="275" hidden="1" outlineLevel="1" ht="15" customHeight="1" s="15">
      <c r="B275" s="41" t="n">
        <v>2</v>
      </c>
      <c r="C275" s="42">
        <f>IF(EMPLOYES!C25="","",EMPLOYES!C25)</f>
        <v/>
      </c>
      <c r="D275" s="43">
        <f>IF(EMPLOYES!C25="","",EMPLOYES!D25)</f>
        <v/>
      </c>
      <c r="E275" s="44" t="n"/>
      <c r="F275" s="42" t="n"/>
      <c r="G275" s="41">
        <f>IF($C275="",0,MAX(0,$M275-$N275))</f>
        <v/>
      </c>
      <c r="H275" s="45" t="n"/>
      <c r="I275" s="41">
        <f>IF($C275="","",IF(H275="","OK",IF(H275&gt;EMPLOYES!P25,"⚠ Avance &gt; salaire",IF(H275&gt;EMPLOYES!P25*PARAMETRES!$C$218,"⚠ Avance élevée","OK"))))</f>
        <v/>
      </c>
      <c r="J275" s="45" t="n"/>
      <c r="K275" s="46" t="n"/>
      <c r="L275" s="46" t="n"/>
      <c r="M275" s="41">
        <f>IF($C275="","",SUMPRODUCT((PARAMETRES!$B$38:$B$157=PARAMETRES!$C$29)*(PARAMETRES!$C$38:$C$157=2)*(IF(EMPLOYES!M25="5j",PARAMETRES!$I$38:$I$157,PARAMETRES!$H$38:$H$157))))</f>
        <v/>
      </c>
      <c r="N275" s="41">
        <f>IF($C275="","",SUMPRODUCT((O275:AS275="P")+(O275:AS275="F")+(O275:AS275="C")+0.5*(O275:AS275="D"),(1-((O262:AS262=6)*(EMPLOYES!M25="5j")))))</f>
        <v/>
      </c>
      <c r="O275" s="46" t="n"/>
      <c r="P275" s="46" t="n"/>
      <c r="Q275" s="46" t="n"/>
      <c r="R275" s="46" t="n"/>
      <c r="S275" s="46" t="n"/>
      <c r="T275" s="46" t="n"/>
      <c r="U275" s="46" t="n"/>
      <c r="V275" s="46" t="n"/>
      <c r="W275" s="46" t="n"/>
      <c r="X275" s="46" t="n"/>
      <c r="Y275" s="46" t="n"/>
      <c r="Z275" s="46" t="n"/>
      <c r="AA275" s="46" t="n"/>
      <c r="AB275" s="46" t="n"/>
      <c r="AC275" s="46" t="n"/>
      <c r="AD275" s="46" t="n"/>
      <c r="AE275" s="46" t="n"/>
      <c r="AF275" s="46" t="n"/>
      <c r="AG275" s="46" t="n"/>
      <c r="AH275" s="46" t="n"/>
      <c r="AI275" s="46" t="n"/>
      <c r="AJ275" s="46" t="n"/>
      <c r="AK275" s="46" t="n"/>
      <c r="AL275" s="46" t="n"/>
      <c r="AM275" s="46" t="n"/>
      <c r="AN275" s="46" t="n"/>
      <c r="AO275" s="46" t="n"/>
      <c r="AP275" s="46" t="n"/>
      <c r="AQ275" s="46" t="n"/>
      <c r="AR275" s="46" t="n"/>
      <c r="AS275" s="46" t="n"/>
      <c r="AV275" s="36">
        <f>IF($C275="","",EMPLOYES!M25)</f>
        <v/>
      </c>
      <c r="AW275" s="36">
        <f>IF($C275="",0,SUMPRODUCT(--(O275:AS275="C")))</f>
        <v/>
      </c>
      <c r="AX275" s="36">
        <f>IF($C275="",0,SUMPRODUCT(--(O275:AS275="R")))</f>
        <v/>
      </c>
      <c r="AY275" s="44" t="n"/>
    </row>
    <row r="276" hidden="1" outlineLevel="1" ht="15" customHeight="1" s="15">
      <c r="B276" s="41" t="n">
        <v>2</v>
      </c>
      <c r="C276" s="42">
        <f>IF(EMPLOYES!C26="","",EMPLOYES!C26)</f>
        <v/>
      </c>
      <c r="D276" s="43">
        <f>IF(EMPLOYES!C26="","",EMPLOYES!D26)</f>
        <v/>
      </c>
      <c r="E276" s="44" t="n"/>
      <c r="F276" s="42" t="n"/>
      <c r="G276" s="41">
        <f>IF($C276="",0,MAX(0,$M276-$N276))</f>
        <v/>
      </c>
      <c r="H276" s="45" t="n"/>
      <c r="I276" s="41">
        <f>IF($C276="","",IF(H276="","OK",IF(H276&gt;EMPLOYES!P26,"⚠ Avance &gt; salaire",IF(H276&gt;EMPLOYES!P26*PARAMETRES!$C$218,"⚠ Avance élevée","OK"))))</f>
        <v/>
      </c>
      <c r="J276" s="45" t="n"/>
      <c r="K276" s="46" t="n"/>
      <c r="L276" s="46" t="n"/>
      <c r="M276" s="41">
        <f>IF($C276="","",SUMPRODUCT((PARAMETRES!$B$38:$B$157=PARAMETRES!$C$29)*(PARAMETRES!$C$38:$C$157=2)*(IF(EMPLOYES!M26="5j",PARAMETRES!$I$38:$I$157,PARAMETRES!$H$38:$H$157))))</f>
        <v/>
      </c>
      <c r="N276" s="41">
        <f>IF($C276="","",SUMPRODUCT((O276:AS276="P")+(O276:AS276="F")+(O276:AS276="C")+0.5*(O276:AS276="D"),(1-((O262:AS262=6)*(EMPLOYES!M26="5j")))))</f>
        <v/>
      </c>
      <c r="O276" s="46" t="n"/>
      <c r="P276" s="46" t="n"/>
      <c r="Q276" s="46" t="n"/>
      <c r="R276" s="46" t="n"/>
      <c r="S276" s="46" t="n"/>
      <c r="T276" s="46" t="n"/>
      <c r="U276" s="46" t="n"/>
      <c r="V276" s="46" t="n"/>
      <c r="W276" s="46" t="n"/>
      <c r="X276" s="46" t="n"/>
      <c r="Y276" s="46" t="n"/>
      <c r="Z276" s="46" t="n"/>
      <c r="AA276" s="46" t="n"/>
      <c r="AB276" s="46" t="n"/>
      <c r="AC276" s="46" t="n"/>
      <c r="AD276" s="46" t="n"/>
      <c r="AE276" s="46" t="n"/>
      <c r="AF276" s="46" t="n"/>
      <c r="AG276" s="46" t="n"/>
      <c r="AH276" s="46" t="n"/>
      <c r="AI276" s="46" t="n"/>
      <c r="AJ276" s="46" t="n"/>
      <c r="AK276" s="46" t="n"/>
      <c r="AL276" s="46" t="n"/>
      <c r="AM276" s="46" t="n"/>
      <c r="AN276" s="46" t="n"/>
      <c r="AO276" s="46" t="n"/>
      <c r="AP276" s="46" t="n"/>
      <c r="AQ276" s="46" t="n"/>
      <c r="AR276" s="46" t="n"/>
      <c r="AS276" s="46" t="n"/>
      <c r="AV276" s="36">
        <f>IF($C276="","",EMPLOYES!M26)</f>
        <v/>
      </c>
      <c r="AW276" s="36">
        <f>IF($C276="",0,SUMPRODUCT(--(O276:AS276="C")))</f>
        <v/>
      </c>
      <c r="AX276" s="36">
        <f>IF($C276="",0,SUMPRODUCT(--(O276:AS276="R")))</f>
        <v/>
      </c>
      <c r="AY276" s="44" t="n"/>
    </row>
    <row r="277" hidden="1" outlineLevel="1" ht="15" customHeight="1" s="15">
      <c r="B277" s="41" t="n">
        <v>2</v>
      </c>
      <c r="C277" s="42">
        <f>IF(EMPLOYES!C27="","",EMPLOYES!C27)</f>
        <v/>
      </c>
      <c r="D277" s="43">
        <f>IF(EMPLOYES!C27="","",EMPLOYES!D27)</f>
        <v/>
      </c>
      <c r="E277" s="44" t="n"/>
      <c r="F277" s="42" t="n"/>
      <c r="G277" s="41">
        <f>IF($C277="",0,MAX(0,$M277-$N277))</f>
        <v/>
      </c>
      <c r="H277" s="45" t="n"/>
      <c r="I277" s="41">
        <f>IF($C277="","",IF(H277="","OK",IF(H277&gt;EMPLOYES!P27,"⚠ Avance &gt; salaire",IF(H277&gt;EMPLOYES!P27*PARAMETRES!$C$218,"⚠ Avance élevée","OK"))))</f>
        <v/>
      </c>
      <c r="J277" s="45" t="n"/>
      <c r="K277" s="46" t="n"/>
      <c r="L277" s="46" t="n"/>
      <c r="M277" s="41">
        <f>IF($C277="","",SUMPRODUCT((PARAMETRES!$B$38:$B$157=PARAMETRES!$C$29)*(PARAMETRES!$C$38:$C$157=2)*(IF(EMPLOYES!M27="5j",PARAMETRES!$I$38:$I$157,PARAMETRES!$H$38:$H$157))))</f>
        <v/>
      </c>
      <c r="N277" s="41">
        <f>IF($C277="","",SUMPRODUCT((O277:AS277="P")+(O277:AS277="F")+(O277:AS277="C")+0.5*(O277:AS277="D"),(1-((O262:AS262=6)*(EMPLOYES!M27="5j")))))</f>
        <v/>
      </c>
      <c r="O277" s="46" t="n"/>
      <c r="P277" s="46" t="n"/>
      <c r="Q277" s="46" t="n"/>
      <c r="R277" s="46" t="n"/>
      <c r="S277" s="46" t="n"/>
      <c r="T277" s="46" t="n"/>
      <c r="U277" s="46" t="n"/>
      <c r="V277" s="46" t="n"/>
      <c r="W277" s="46" t="n"/>
      <c r="X277" s="46" t="n"/>
      <c r="Y277" s="46" t="n"/>
      <c r="Z277" s="46" t="n"/>
      <c r="AA277" s="46" t="n"/>
      <c r="AB277" s="46" t="n"/>
      <c r="AC277" s="46" t="n"/>
      <c r="AD277" s="46" t="n"/>
      <c r="AE277" s="46" t="n"/>
      <c r="AF277" s="46" t="n"/>
      <c r="AG277" s="46" t="n"/>
      <c r="AH277" s="46" t="n"/>
      <c r="AI277" s="46" t="n"/>
      <c r="AJ277" s="46" t="n"/>
      <c r="AK277" s="46" t="n"/>
      <c r="AL277" s="46" t="n"/>
      <c r="AM277" s="46" t="n"/>
      <c r="AN277" s="46" t="n"/>
      <c r="AO277" s="46" t="n"/>
      <c r="AP277" s="46" t="n"/>
      <c r="AQ277" s="46" t="n"/>
      <c r="AR277" s="46" t="n"/>
      <c r="AS277" s="46" t="n"/>
      <c r="AV277" s="36">
        <f>IF($C277="","",EMPLOYES!M27)</f>
        <v/>
      </c>
      <c r="AW277" s="36">
        <f>IF($C277="",0,SUMPRODUCT(--(O277:AS277="C")))</f>
        <v/>
      </c>
      <c r="AX277" s="36">
        <f>IF($C277="",0,SUMPRODUCT(--(O277:AS277="R")))</f>
        <v/>
      </c>
      <c r="AY277" s="44" t="n"/>
    </row>
    <row r="278" hidden="1" outlineLevel="1" ht="15" customHeight="1" s="15">
      <c r="B278" s="41" t="n">
        <v>2</v>
      </c>
      <c r="C278" s="42">
        <f>IF(EMPLOYES!C28="","",EMPLOYES!C28)</f>
        <v/>
      </c>
      <c r="D278" s="43">
        <f>IF(EMPLOYES!C28="","",EMPLOYES!D28)</f>
        <v/>
      </c>
      <c r="E278" s="44" t="n"/>
      <c r="F278" s="42" t="n"/>
      <c r="G278" s="41">
        <f>IF($C278="",0,MAX(0,$M278-$N278))</f>
        <v/>
      </c>
      <c r="H278" s="45" t="n"/>
      <c r="I278" s="41">
        <f>IF($C278="","",IF(H278="","OK",IF(H278&gt;EMPLOYES!P28,"⚠ Avance &gt; salaire",IF(H278&gt;EMPLOYES!P28*PARAMETRES!$C$218,"⚠ Avance élevée","OK"))))</f>
        <v/>
      </c>
      <c r="J278" s="45" t="n"/>
      <c r="K278" s="46" t="n"/>
      <c r="L278" s="46" t="n"/>
      <c r="M278" s="41">
        <f>IF($C278="","",SUMPRODUCT((PARAMETRES!$B$38:$B$157=PARAMETRES!$C$29)*(PARAMETRES!$C$38:$C$157=2)*(IF(EMPLOYES!M28="5j",PARAMETRES!$I$38:$I$157,PARAMETRES!$H$38:$H$157))))</f>
        <v/>
      </c>
      <c r="N278" s="41">
        <f>IF($C278="","",SUMPRODUCT((O278:AS278="P")+(O278:AS278="F")+(O278:AS278="C")+0.5*(O278:AS278="D"),(1-((O262:AS262=6)*(EMPLOYES!M28="5j")))))</f>
        <v/>
      </c>
      <c r="O278" s="46" t="n"/>
      <c r="P278" s="46" t="n"/>
      <c r="Q278" s="46" t="n"/>
      <c r="R278" s="46" t="n"/>
      <c r="S278" s="46" t="n"/>
      <c r="T278" s="46" t="n"/>
      <c r="U278" s="46" t="n"/>
      <c r="V278" s="46" t="n"/>
      <c r="W278" s="46" t="n"/>
      <c r="X278" s="46" t="n"/>
      <c r="Y278" s="46" t="n"/>
      <c r="Z278" s="46" t="n"/>
      <c r="AA278" s="46" t="n"/>
      <c r="AB278" s="46" t="n"/>
      <c r="AC278" s="46" t="n"/>
      <c r="AD278" s="46" t="n"/>
      <c r="AE278" s="46" t="n"/>
      <c r="AF278" s="46" t="n"/>
      <c r="AG278" s="46" t="n"/>
      <c r="AH278" s="46" t="n"/>
      <c r="AI278" s="46" t="n"/>
      <c r="AJ278" s="46" t="n"/>
      <c r="AK278" s="46" t="n"/>
      <c r="AL278" s="46" t="n"/>
      <c r="AM278" s="46" t="n"/>
      <c r="AN278" s="46" t="n"/>
      <c r="AO278" s="46" t="n"/>
      <c r="AP278" s="46" t="n"/>
      <c r="AQ278" s="46" t="n"/>
      <c r="AR278" s="46" t="n"/>
      <c r="AS278" s="46" t="n"/>
      <c r="AV278" s="36">
        <f>IF($C278="","",EMPLOYES!M28)</f>
        <v/>
      </c>
      <c r="AW278" s="36">
        <f>IF($C278="",0,SUMPRODUCT(--(O278:AS278="C")))</f>
        <v/>
      </c>
      <c r="AX278" s="36">
        <f>IF($C278="",0,SUMPRODUCT(--(O278:AS278="R")))</f>
        <v/>
      </c>
      <c r="AY278" s="44" t="n"/>
    </row>
    <row r="279" hidden="1" outlineLevel="1" ht="15" customHeight="1" s="15">
      <c r="B279" s="41" t="n">
        <v>2</v>
      </c>
      <c r="C279" s="42">
        <f>IF(EMPLOYES!C29="","",EMPLOYES!C29)</f>
        <v/>
      </c>
      <c r="D279" s="43">
        <f>IF(EMPLOYES!C29="","",EMPLOYES!D29)</f>
        <v/>
      </c>
      <c r="E279" s="44" t="n"/>
      <c r="F279" s="42" t="n"/>
      <c r="G279" s="41">
        <f>IF($C279="",0,MAX(0,$M279-$N279))</f>
        <v/>
      </c>
      <c r="H279" s="45" t="n"/>
      <c r="I279" s="41">
        <f>IF($C279="","",IF(H279="","OK",IF(H279&gt;EMPLOYES!P29,"⚠ Avance &gt; salaire",IF(H279&gt;EMPLOYES!P29*PARAMETRES!$C$218,"⚠ Avance élevée","OK"))))</f>
        <v/>
      </c>
      <c r="J279" s="45" t="n"/>
      <c r="K279" s="46" t="n"/>
      <c r="L279" s="46" t="n"/>
      <c r="M279" s="41">
        <f>IF($C279="","",SUMPRODUCT((PARAMETRES!$B$38:$B$157=PARAMETRES!$C$29)*(PARAMETRES!$C$38:$C$157=2)*(IF(EMPLOYES!M29="5j",PARAMETRES!$I$38:$I$157,PARAMETRES!$H$38:$H$157))))</f>
        <v/>
      </c>
      <c r="N279" s="41">
        <f>IF($C279="","",SUMPRODUCT((O279:AS279="P")+(O279:AS279="F")+(O279:AS279="C")+0.5*(O279:AS279="D"),(1-((O262:AS262=6)*(EMPLOYES!M29="5j")))))</f>
        <v/>
      </c>
      <c r="O279" s="46" t="n"/>
      <c r="P279" s="46" t="n"/>
      <c r="Q279" s="46" t="n"/>
      <c r="R279" s="46" t="n"/>
      <c r="S279" s="46" t="n"/>
      <c r="T279" s="46" t="n"/>
      <c r="U279" s="46" t="n"/>
      <c r="V279" s="46" t="n"/>
      <c r="W279" s="46" t="n"/>
      <c r="X279" s="46" t="n"/>
      <c r="Y279" s="46" t="n"/>
      <c r="Z279" s="46" t="n"/>
      <c r="AA279" s="46" t="n"/>
      <c r="AB279" s="46" t="n"/>
      <c r="AC279" s="46" t="n"/>
      <c r="AD279" s="46" t="n"/>
      <c r="AE279" s="46" t="n"/>
      <c r="AF279" s="46" t="n"/>
      <c r="AG279" s="46" t="n"/>
      <c r="AH279" s="46" t="n"/>
      <c r="AI279" s="46" t="n"/>
      <c r="AJ279" s="46" t="n"/>
      <c r="AK279" s="46" t="n"/>
      <c r="AL279" s="46" t="n"/>
      <c r="AM279" s="46" t="n"/>
      <c r="AN279" s="46" t="n"/>
      <c r="AO279" s="46" t="n"/>
      <c r="AP279" s="46" t="n"/>
      <c r="AQ279" s="46" t="n"/>
      <c r="AR279" s="46" t="n"/>
      <c r="AS279" s="46" t="n"/>
      <c r="AV279" s="36">
        <f>IF($C279="","",EMPLOYES!M29)</f>
        <v/>
      </c>
      <c r="AW279" s="36">
        <f>IF($C279="",0,SUMPRODUCT(--(O279:AS279="C")))</f>
        <v/>
      </c>
      <c r="AX279" s="36">
        <f>IF($C279="",0,SUMPRODUCT(--(O279:AS279="R")))</f>
        <v/>
      </c>
      <c r="AY279" s="44" t="n"/>
    </row>
    <row r="280" hidden="1" outlineLevel="1" ht="15" customHeight="1" s="15">
      <c r="B280" s="41" t="n">
        <v>2</v>
      </c>
      <c r="C280" s="42">
        <f>IF(EMPLOYES!C30="","",EMPLOYES!C30)</f>
        <v/>
      </c>
      <c r="D280" s="43">
        <f>IF(EMPLOYES!C30="","",EMPLOYES!D30)</f>
        <v/>
      </c>
      <c r="E280" s="44" t="n"/>
      <c r="F280" s="42" t="n"/>
      <c r="G280" s="41">
        <f>IF($C280="",0,MAX(0,$M280-$N280))</f>
        <v/>
      </c>
      <c r="H280" s="45" t="n"/>
      <c r="I280" s="41">
        <f>IF($C280="","",IF(H280="","OK",IF(H280&gt;EMPLOYES!P30,"⚠ Avance &gt; salaire",IF(H280&gt;EMPLOYES!P30*PARAMETRES!$C$218,"⚠ Avance élevée","OK"))))</f>
        <v/>
      </c>
      <c r="J280" s="45" t="n"/>
      <c r="K280" s="46" t="n"/>
      <c r="L280" s="46" t="n"/>
      <c r="M280" s="41">
        <f>IF($C280="","",SUMPRODUCT((PARAMETRES!$B$38:$B$157=PARAMETRES!$C$29)*(PARAMETRES!$C$38:$C$157=2)*(IF(EMPLOYES!M30="5j",PARAMETRES!$I$38:$I$157,PARAMETRES!$H$38:$H$157))))</f>
        <v/>
      </c>
      <c r="N280" s="41">
        <f>IF($C280="","",SUMPRODUCT((O280:AS280="P")+(O280:AS280="F")+(O280:AS280="C")+0.5*(O280:AS280="D"),(1-((O262:AS262=6)*(EMPLOYES!M30="5j")))))</f>
        <v/>
      </c>
      <c r="O280" s="46" t="n"/>
      <c r="P280" s="46" t="n"/>
      <c r="Q280" s="46" t="n"/>
      <c r="R280" s="46" t="n"/>
      <c r="S280" s="46" t="n"/>
      <c r="T280" s="46" t="n"/>
      <c r="U280" s="46" t="n"/>
      <c r="V280" s="46" t="n"/>
      <c r="W280" s="46" t="n"/>
      <c r="X280" s="46" t="n"/>
      <c r="Y280" s="46" t="n"/>
      <c r="Z280" s="46" t="n"/>
      <c r="AA280" s="46" t="n"/>
      <c r="AB280" s="46" t="n"/>
      <c r="AC280" s="46" t="n"/>
      <c r="AD280" s="46" t="n"/>
      <c r="AE280" s="46" t="n"/>
      <c r="AF280" s="46" t="n"/>
      <c r="AG280" s="46" t="n"/>
      <c r="AH280" s="46" t="n"/>
      <c r="AI280" s="46" t="n"/>
      <c r="AJ280" s="46" t="n"/>
      <c r="AK280" s="46" t="n"/>
      <c r="AL280" s="46" t="n"/>
      <c r="AM280" s="46" t="n"/>
      <c r="AN280" s="46" t="n"/>
      <c r="AO280" s="46" t="n"/>
      <c r="AP280" s="46" t="n"/>
      <c r="AQ280" s="46" t="n"/>
      <c r="AR280" s="46" t="n"/>
      <c r="AS280" s="46" t="n"/>
      <c r="AV280" s="36">
        <f>IF($C280="","",EMPLOYES!M30)</f>
        <v/>
      </c>
      <c r="AW280" s="36">
        <f>IF($C280="",0,SUMPRODUCT(--(O280:AS280="C")))</f>
        <v/>
      </c>
      <c r="AX280" s="36">
        <f>IF($C280="",0,SUMPRODUCT(--(O280:AS280="R")))</f>
        <v/>
      </c>
      <c r="AY280" s="44" t="n"/>
    </row>
    <row r="281" hidden="1" outlineLevel="1" ht="15" customHeight="1" s="15">
      <c r="B281" s="41" t="n">
        <v>2</v>
      </c>
      <c r="C281" s="42">
        <f>IF(EMPLOYES!C31="","",EMPLOYES!C31)</f>
        <v/>
      </c>
      <c r="D281" s="43">
        <f>IF(EMPLOYES!C31="","",EMPLOYES!D31)</f>
        <v/>
      </c>
      <c r="E281" s="44" t="n"/>
      <c r="F281" s="42" t="n"/>
      <c r="G281" s="41">
        <f>IF($C281="",0,MAX(0,$M281-$N281))</f>
        <v/>
      </c>
      <c r="H281" s="45" t="n"/>
      <c r="I281" s="41">
        <f>IF($C281="","",IF(H281="","OK",IF(H281&gt;EMPLOYES!P31,"⚠ Avance &gt; salaire",IF(H281&gt;EMPLOYES!P31*PARAMETRES!$C$218,"⚠ Avance élevée","OK"))))</f>
        <v/>
      </c>
      <c r="J281" s="45" t="n"/>
      <c r="K281" s="46" t="n"/>
      <c r="L281" s="46" t="n"/>
      <c r="M281" s="41">
        <f>IF($C281="","",SUMPRODUCT((PARAMETRES!$B$38:$B$157=PARAMETRES!$C$29)*(PARAMETRES!$C$38:$C$157=2)*(IF(EMPLOYES!M31="5j",PARAMETRES!$I$38:$I$157,PARAMETRES!$H$38:$H$157))))</f>
        <v/>
      </c>
      <c r="N281" s="41">
        <f>IF($C281="","",SUMPRODUCT((O281:AS281="P")+(O281:AS281="F")+(O281:AS281="C")+0.5*(O281:AS281="D"),(1-((O262:AS262=6)*(EMPLOYES!M31="5j")))))</f>
        <v/>
      </c>
      <c r="O281" s="46" t="n"/>
      <c r="P281" s="46" t="n"/>
      <c r="Q281" s="46" t="n"/>
      <c r="R281" s="46" t="n"/>
      <c r="S281" s="46" t="n"/>
      <c r="T281" s="46" t="n"/>
      <c r="U281" s="46" t="n"/>
      <c r="V281" s="46" t="n"/>
      <c r="W281" s="46" t="n"/>
      <c r="X281" s="46" t="n"/>
      <c r="Y281" s="46" t="n"/>
      <c r="Z281" s="46" t="n"/>
      <c r="AA281" s="46" t="n"/>
      <c r="AB281" s="46" t="n"/>
      <c r="AC281" s="46" t="n"/>
      <c r="AD281" s="46" t="n"/>
      <c r="AE281" s="46" t="n"/>
      <c r="AF281" s="46" t="n"/>
      <c r="AG281" s="46" t="n"/>
      <c r="AH281" s="46" t="n"/>
      <c r="AI281" s="46" t="n"/>
      <c r="AJ281" s="46" t="n"/>
      <c r="AK281" s="46" t="n"/>
      <c r="AL281" s="46" t="n"/>
      <c r="AM281" s="46" t="n"/>
      <c r="AN281" s="46" t="n"/>
      <c r="AO281" s="46" t="n"/>
      <c r="AP281" s="46" t="n"/>
      <c r="AQ281" s="46" t="n"/>
      <c r="AR281" s="46" t="n"/>
      <c r="AS281" s="46" t="n"/>
      <c r="AV281" s="36">
        <f>IF($C281="","",EMPLOYES!M31)</f>
        <v/>
      </c>
      <c r="AW281" s="36">
        <f>IF($C281="",0,SUMPRODUCT(--(O281:AS281="C")))</f>
        <v/>
      </c>
      <c r="AX281" s="36">
        <f>IF($C281="",0,SUMPRODUCT(--(O281:AS281="R")))</f>
        <v/>
      </c>
      <c r="AY281" s="44" t="n"/>
    </row>
    <row r="282" hidden="1" outlineLevel="1" ht="15" customHeight="1" s="15">
      <c r="B282" s="41" t="n">
        <v>2</v>
      </c>
      <c r="C282" s="42">
        <f>IF(EMPLOYES!C32="","",EMPLOYES!C32)</f>
        <v/>
      </c>
      <c r="D282" s="43">
        <f>IF(EMPLOYES!C32="","",EMPLOYES!D32)</f>
        <v/>
      </c>
      <c r="E282" s="44" t="n"/>
      <c r="F282" s="42" t="n"/>
      <c r="G282" s="41">
        <f>IF($C282="",0,MAX(0,$M282-$N282))</f>
        <v/>
      </c>
      <c r="H282" s="45" t="n"/>
      <c r="I282" s="41">
        <f>IF($C282="","",IF(H282="","OK",IF(H282&gt;EMPLOYES!P32,"⚠ Avance &gt; salaire",IF(H282&gt;EMPLOYES!P32*PARAMETRES!$C$218,"⚠ Avance élevée","OK"))))</f>
        <v/>
      </c>
      <c r="J282" s="45" t="n"/>
      <c r="K282" s="46" t="n"/>
      <c r="L282" s="46" t="n"/>
      <c r="M282" s="41">
        <f>IF($C282="","",SUMPRODUCT((PARAMETRES!$B$38:$B$157=PARAMETRES!$C$29)*(PARAMETRES!$C$38:$C$157=2)*(IF(EMPLOYES!M32="5j",PARAMETRES!$I$38:$I$157,PARAMETRES!$H$38:$H$157))))</f>
        <v/>
      </c>
      <c r="N282" s="41">
        <f>IF($C282="","",SUMPRODUCT((O282:AS282="P")+(O282:AS282="F")+(O282:AS282="C")+0.5*(O282:AS282="D"),(1-((O262:AS262=6)*(EMPLOYES!M32="5j")))))</f>
        <v/>
      </c>
      <c r="O282" s="46" t="n"/>
      <c r="P282" s="46" t="n"/>
      <c r="Q282" s="46" t="n"/>
      <c r="R282" s="46" t="n"/>
      <c r="S282" s="46" t="n"/>
      <c r="T282" s="46" t="n"/>
      <c r="U282" s="46" t="n"/>
      <c r="V282" s="46" t="n"/>
      <c r="W282" s="46" t="n"/>
      <c r="X282" s="46" t="n"/>
      <c r="Y282" s="46" t="n"/>
      <c r="Z282" s="46" t="n"/>
      <c r="AA282" s="46" t="n"/>
      <c r="AB282" s="46" t="n"/>
      <c r="AC282" s="46" t="n"/>
      <c r="AD282" s="46" t="n"/>
      <c r="AE282" s="46" t="n"/>
      <c r="AF282" s="46" t="n"/>
      <c r="AG282" s="46" t="n"/>
      <c r="AH282" s="46" t="n"/>
      <c r="AI282" s="46" t="n"/>
      <c r="AJ282" s="46" t="n"/>
      <c r="AK282" s="46" t="n"/>
      <c r="AL282" s="46" t="n"/>
      <c r="AM282" s="46" t="n"/>
      <c r="AN282" s="46" t="n"/>
      <c r="AO282" s="46" t="n"/>
      <c r="AP282" s="46" t="n"/>
      <c r="AQ282" s="46" t="n"/>
      <c r="AR282" s="46" t="n"/>
      <c r="AS282" s="46" t="n"/>
      <c r="AV282" s="36">
        <f>IF($C282="","",EMPLOYES!M32)</f>
        <v/>
      </c>
      <c r="AW282" s="36">
        <f>IF($C282="",0,SUMPRODUCT(--(O282:AS282="C")))</f>
        <v/>
      </c>
      <c r="AX282" s="36">
        <f>IF($C282="",0,SUMPRODUCT(--(O282:AS282="R")))</f>
        <v/>
      </c>
      <c r="AY282" s="44" t="n"/>
    </row>
    <row r="283" hidden="1" outlineLevel="1" ht="15" customHeight="1" s="15">
      <c r="B283" s="41" t="n">
        <v>2</v>
      </c>
      <c r="C283" s="42">
        <f>IF(EMPLOYES!C33="","",EMPLOYES!C33)</f>
        <v/>
      </c>
      <c r="D283" s="43">
        <f>IF(EMPLOYES!C33="","",EMPLOYES!D33)</f>
        <v/>
      </c>
      <c r="E283" s="44" t="n"/>
      <c r="F283" s="42" t="n"/>
      <c r="G283" s="41">
        <f>IF($C283="",0,MAX(0,$M283-$N283))</f>
        <v/>
      </c>
      <c r="H283" s="45" t="n"/>
      <c r="I283" s="41">
        <f>IF($C283="","",IF(H283="","OK",IF(H283&gt;EMPLOYES!P33,"⚠ Avance &gt; salaire",IF(H283&gt;EMPLOYES!P33*PARAMETRES!$C$218,"⚠ Avance élevée","OK"))))</f>
        <v/>
      </c>
      <c r="J283" s="45" t="n"/>
      <c r="K283" s="46" t="n"/>
      <c r="L283" s="46" t="n"/>
      <c r="M283" s="41">
        <f>IF($C283="","",SUMPRODUCT((PARAMETRES!$B$38:$B$157=PARAMETRES!$C$29)*(PARAMETRES!$C$38:$C$157=2)*(IF(EMPLOYES!M33="5j",PARAMETRES!$I$38:$I$157,PARAMETRES!$H$38:$H$157))))</f>
        <v/>
      </c>
      <c r="N283" s="41">
        <f>IF($C283="","",SUMPRODUCT((O283:AS283="P")+(O283:AS283="F")+(O283:AS283="C")+0.5*(O283:AS283="D"),(1-((O262:AS262=6)*(EMPLOYES!M33="5j")))))</f>
        <v/>
      </c>
      <c r="O283" s="46" t="n"/>
      <c r="P283" s="46" t="n"/>
      <c r="Q283" s="46" t="n"/>
      <c r="R283" s="46" t="n"/>
      <c r="S283" s="46" t="n"/>
      <c r="T283" s="46" t="n"/>
      <c r="U283" s="46" t="n"/>
      <c r="V283" s="46" t="n"/>
      <c r="W283" s="46" t="n"/>
      <c r="X283" s="46" t="n"/>
      <c r="Y283" s="46" t="n"/>
      <c r="Z283" s="46" t="n"/>
      <c r="AA283" s="46" t="n"/>
      <c r="AB283" s="46" t="n"/>
      <c r="AC283" s="46" t="n"/>
      <c r="AD283" s="46" t="n"/>
      <c r="AE283" s="46" t="n"/>
      <c r="AF283" s="46" t="n"/>
      <c r="AG283" s="46" t="n"/>
      <c r="AH283" s="46" t="n"/>
      <c r="AI283" s="46" t="n"/>
      <c r="AJ283" s="46" t="n"/>
      <c r="AK283" s="46" t="n"/>
      <c r="AL283" s="46" t="n"/>
      <c r="AM283" s="46" t="n"/>
      <c r="AN283" s="46" t="n"/>
      <c r="AO283" s="46" t="n"/>
      <c r="AP283" s="46" t="n"/>
      <c r="AQ283" s="46" t="n"/>
      <c r="AR283" s="46" t="n"/>
      <c r="AS283" s="46" t="n"/>
      <c r="AV283" s="36">
        <f>IF($C283="","",EMPLOYES!M33)</f>
        <v/>
      </c>
      <c r="AW283" s="36">
        <f>IF($C283="",0,SUMPRODUCT(--(O283:AS283="C")))</f>
        <v/>
      </c>
      <c r="AX283" s="36">
        <f>IF($C283="",0,SUMPRODUCT(--(O283:AS283="R")))</f>
        <v/>
      </c>
      <c r="AY283" s="44" t="n"/>
    </row>
    <row r="284" hidden="1" outlineLevel="1" ht="15" customHeight="1" s="15">
      <c r="B284" s="41" t="n">
        <v>2</v>
      </c>
      <c r="C284" s="42">
        <f>IF(EMPLOYES!C34="","",EMPLOYES!C34)</f>
        <v/>
      </c>
      <c r="D284" s="43">
        <f>IF(EMPLOYES!C34="","",EMPLOYES!D34)</f>
        <v/>
      </c>
      <c r="E284" s="44" t="n"/>
      <c r="F284" s="42" t="n"/>
      <c r="G284" s="41">
        <f>IF($C284="",0,MAX(0,$M284-$N284))</f>
        <v/>
      </c>
      <c r="H284" s="45" t="n"/>
      <c r="I284" s="41">
        <f>IF($C284="","",IF(H284="","OK",IF(H284&gt;EMPLOYES!P34,"⚠ Avance &gt; salaire",IF(H284&gt;EMPLOYES!P34*PARAMETRES!$C$218,"⚠ Avance élevée","OK"))))</f>
        <v/>
      </c>
      <c r="J284" s="45" t="n"/>
      <c r="K284" s="46" t="n"/>
      <c r="L284" s="46" t="n"/>
      <c r="M284" s="41">
        <f>IF($C284="","",SUMPRODUCT((PARAMETRES!$B$38:$B$157=PARAMETRES!$C$29)*(PARAMETRES!$C$38:$C$157=2)*(IF(EMPLOYES!M34="5j",PARAMETRES!$I$38:$I$157,PARAMETRES!$H$38:$H$157))))</f>
        <v/>
      </c>
      <c r="N284" s="41">
        <f>IF($C284="","",SUMPRODUCT((O284:AS284="P")+(O284:AS284="F")+(O284:AS284="C")+0.5*(O284:AS284="D"),(1-((O262:AS262=6)*(EMPLOYES!M34="5j")))))</f>
        <v/>
      </c>
      <c r="O284" s="46" t="n"/>
      <c r="P284" s="46" t="n"/>
      <c r="Q284" s="46" t="n"/>
      <c r="R284" s="46" t="n"/>
      <c r="S284" s="46" t="n"/>
      <c r="T284" s="46" t="n"/>
      <c r="U284" s="46" t="n"/>
      <c r="V284" s="46" t="n"/>
      <c r="W284" s="46" t="n"/>
      <c r="X284" s="46" t="n"/>
      <c r="Y284" s="46" t="n"/>
      <c r="Z284" s="46" t="n"/>
      <c r="AA284" s="46" t="n"/>
      <c r="AB284" s="46" t="n"/>
      <c r="AC284" s="46" t="n"/>
      <c r="AD284" s="46" t="n"/>
      <c r="AE284" s="46" t="n"/>
      <c r="AF284" s="46" t="n"/>
      <c r="AG284" s="46" t="n"/>
      <c r="AH284" s="46" t="n"/>
      <c r="AI284" s="46" t="n"/>
      <c r="AJ284" s="46" t="n"/>
      <c r="AK284" s="46" t="n"/>
      <c r="AL284" s="46" t="n"/>
      <c r="AM284" s="46" t="n"/>
      <c r="AN284" s="46" t="n"/>
      <c r="AO284" s="46" t="n"/>
      <c r="AP284" s="46" t="n"/>
      <c r="AQ284" s="46" t="n"/>
      <c r="AR284" s="46" t="n"/>
      <c r="AS284" s="46" t="n"/>
      <c r="AV284" s="36">
        <f>IF($C284="","",EMPLOYES!M34)</f>
        <v/>
      </c>
      <c r="AW284" s="36">
        <f>IF($C284="",0,SUMPRODUCT(--(O284:AS284="C")))</f>
        <v/>
      </c>
      <c r="AX284" s="36">
        <f>IF($C284="",0,SUMPRODUCT(--(O284:AS284="R")))</f>
        <v/>
      </c>
      <c r="AY284" s="44" t="n"/>
    </row>
    <row r="285" hidden="1" outlineLevel="1" ht="15" customHeight="1" s="15">
      <c r="B285" s="41" t="n">
        <v>2</v>
      </c>
      <c r="C285" s="42">
        <f>IF(EMPLOYES!C35="","",EMPLOYES!C35)</f>
        <v/>
      </c>
      <c r="D285" s="43">
        <f>IF(EMPLOYES!C35="","",EMPLOYES!D35)</f>
        <v/>
      </c>
      <c r="E285" s="44" t="n"/>
      <c r="F285" s="42" t="n"/>
      <c r="G285" s="41">
        <f>IF($C285="",0,MAX(0,$M285-$N285))</f>
        <v/>
      </c>
      <c r="H285" s="45" t="n"/>
      <c r="I285" s="41">
        <f>IF($C285="","",IF(H285="","OK",IF(H285&gt;EMPLOYES!P35,"⚠ Avance &gt; salaire",IF(H285&gt;EMPLOYES!P35*PARAMETRES!$C$218,"⚠ Avance élevée","OK"))))</f>
        <v/>
      </c>
      <c r="J285" s="45" t="n"/>
      <c r="K285" s="46" t="n"/>
      <c r="L285" s="46" t="n"/>
      <c r="M285" s="41">
        <f>IF($C285="","",SUMPRODUCT((PARAMETRES!$B$38:$B$157=PARAMETRES!$C$29)*(PARAMETRES!$C$38:$C$157=2)*(IF(EMPLOYES!M35="5j",PARAMETRES!$I$38:$I$157,PARAMETRES!$H$38:$H$157))))</f>
        <v/>
      </c>
      <c r="N285" s="41">
        <f>IF($C285="","",SUMPRODUCT((O285:AS285="P")+(O285:AS285="F")+(O285:AS285="C")+0.5*(O285:AS285="D"),(1-((O262:AS262=6)*(EMPLOYES!M35="5j")))))</f>
        <v/>
      </c>
      <c r="O285" s="46" t="n"/>
      <c r="P285" s="46" t="n"/>
      <c r="Q285" s="46" t="n"/>
      <c r="R285" s="46" t="n"/>
      <c r="S285" s="46" t="n"/>
      <c r="T285" s="46" t="n"/>
      <c r="U285" s="46" t="n"/>
      <c r="V285" s="46" t="n"/>
      <c r="W285" s="46" t="n"/>
      <c r="X285" s="46" t="n"/>
      <c r="Y285" s="46" t="n"/>
      <c r="Z285" s="46" t="n"/>
      <c r="AA285" s="46" t="n"/>
      <c r="AB285" s="46" t="n"/>
      <c r="AC285" s="46" t="n"/>
      <c r="AD285" s="46" t="n"/>
      <c r="AE285" s="46" t="n"/>
      <c r="AF285" s="46" t="n"/>
      <c r="AG285" s="46" t="n"/>
      <c r="AH285" s="46" t="n"/>
      <c r="AI285" s="46" t="n"/>
      <c r="AJ285" s="46" t="n"/>
      <c r="AK285" s="46" t="n"/>
      <c r="AL285" s="46" t="n"/>
      <c r="AM285" s="46" t="n"/>
      <c r="AN285" s="46" t="n"/>
      <c r="AO285" s="46" t="n"/>
      <c r="AP285" s="46" t="n"/>
      <c r="AQ285" s="46" t="n"/>
      <c r="AR285" s="46" t="n"/>
      <c r="AS285" s="46" t="n"/>
      <c r="AV285" s="36">
        <f>IF($C285="","",EMPLOYES!M35)</f>
        <v/>
      </c>
      <c r="AW285" s="36">
        <f>IF($C285="",0,SUMPRODUCT(--(O285:AS285="C")))</f>
        <v/>
      </c>
      <c r="AX285" s="36">
        <f>IF($C285="",0,SUMPRODUCT(--(O285:AS285="R")))</f>
        <v/>
      </c>
      <c r="AY285" s="44" t="n"/>
    </row>
    <row r="286" hidden="1" outlineLevel="1" ht="15" customHeight="1" s="15">
      <c r="B286" s="41" t="n">
        <v>2</v>
      </c>
      <c r="C286" s="42">
        <f>IF(EMPLOYES!C36="","",EMPLOYES!C36)</f>
        <v/>
      </c>
      <c r="D286" s="43">
        <f>IF(EMPLOYES!C36="","",EMPLOYES!D36)</f>
        <v/>
      </c>
      <c r="E286" s="44" t="n"/>
      <c r="F286" s="42" t="n"/>
      <c r="G286" s="41">
        <f>IF($C286="",0,MAX(0,$M286-$N286))</f>
        <v/>
      </c>
      <c r="H286" s="45" t="n"/>
      <c r="I286" s="41">
        <f>IF($C286="","",IF(H286="","OK",IF(H286&gt;EMPLOYES!P36,"⚠ Avance &gt; salaire",IF(H286&gt;EMPLOYES!P36*PARAMETRES!$C$218,"⚠ Avance élevée","OK"))))</f>
        <v/>
      </c>
      <c r="J286" s="45" t="n"/>
      <c r="K286" s="46" t="n"/>
      <c r="L286" s="46" t="n"/>
      <c r="M286" s="41">
        <f>IF($C286="","",SUMPRODUCT((PARAMETRES!$B$38:$B$157=PARAMETRES!$C$29)*(PARAMETRES!$C$38:$C$157=2)*(IF(EMPLOYES!M36="5j",PARAMETRES!$I$38:$I$157,PARAMETRES!$H$38:$H$157))))</f>
        <v/>
      </c>
      <c r="N286" s="41">
        <f>IF($C286="","",SUMPRODUCT((O286:AS286="P")+(O286:AS286="F")+(O286:AS286="C")+0.5*(O286:AS286="D"),(1-((O262:AS262=6)*(EMPLOYES!M36="5j")))))</f>
        <v/>
      </c>
      <c r="O286" s="46" t="n"/>
      <c r="P286" s="46" t="n"/>
      <c r="Q286" s="46" t="n"/>
      <c r="R286" s="46" t="n"/>
      <c r="S286" s="46" t="n"/>
      <c r="T286" s="46" t="n"/>
      <c r="U286" s="46" t="n"/>
      <c r="V286" s="46" t="n"/>
      <c r="W286" s="46" t="n"/>
      <c r="X286" s="46" t="n"/>
      <c r="Y286" s="46" t="n"/>
      <c r="Z286" s="46" t="n"/>
      <c r="AA286" s="46" t="n"/>
      <c r="AB286" s="46" t="n"/>
      <c r="AC286" s="46" t="n"/>
      <c r="AD286" s="46" t="n"/>
      <c r="AE286" s="46" t="n"/>
      <c r="AF286" s="46" t="n"/>
      <c r="AG286" s="46" t="n"/>
      <c r="AH286" s="46" t="n"/>
      <c r="AI286" s="46" t="n"/>
      <c r="AJ286" s="46" t="n"/>
      <c r="AK286" s="46" t="n"/>
      <c r="AL286" s="46" t="n"/>
      <c r="AM286" s="46" t="n"/>
      <c r="AN286" s="46" t="n"/>
      <c r="AO286" s="46" t="n"/>
      <c r="AP286" s="46" t="n"/>
      <c r="AQ286" s="46" t="n"/>
      <c r="AR286" s="46" t="n"/>
      <c r="AS286" s="46" t="n"/>
      <c r="AV286" s="36">
        <f>IF($C286="","",EMPLOYES!M36)</f>
        <v/>
      </c>
      <c r="AW286" s="36">
        <f>IF($C286="",0,SUMPRODUCT(--(O286:AS286="C")))</f>
        <v/>
      </c>
      <c r="AX286" s="36">
        <f>IF($C286="",0,SUMPRODUCT(--(O286:AS286="R")))</f>
        <v/>
      </c>
      <c r="AY286" s="44" t="n"/>
    </row>
    <row r="287" hidden="1" outlineLevel="1" ht="15" customHeight="1" s="15">
      <c r="B287" s="41" t="n">
        <v>2</v>
      </c>
      <c r="C287" s="42">
        <f>IF(EMPLOYES!C37="","",EMPLOYES!C37)</f>
        <v/>
      </c>
      <c r="D287" s="43">
        <f>IF(EMPLOYES!C37="","",EMPLOYES!D37)</f>
        <v/>
      </c>
      <c r="E287" s="44" t="n"/>
      <c r="F287" s="42" t="n"/>
      <c r="G287" s="41">
        <f>IF($C287="",0,MAX(0,$M287-$N287))</f>
        <v/>
      </c>
      <c r="H287" s="45" t="n"/>
      <c r="I287" s="41">
        <f>IF($C287="","",IF(H287="","OK",IF(H287&gt;EMPLOYES!P37,"⚠ Avance &gt; salaire",IF(H287&gt;EMPLOYES!P37*PARAMETRES!$C$218,"⚠ Avance élevée","OK"))))</f>
        <v/>
      </c>
      <c r="J287" s="45" t="n"/>
      <c r="K287" s="46" t="n"/>
      <c r="L287" s="46" t="n"/>
      <c r="M287" s="41">
        <f>IF($C287="","",SUMPRODUCT((PARAMETRES!$B$38:$B$157=PARAMETRES!$C$29)*(PARAMETRES!$C$38:$C$157=2)*(IF(EMPLOYES!M37="5j",PARAMETRES!$I$38:$I$157,PARAMETRES!$H$38:$H$157))))</f>
        <v/>
      </c>
      <c r="N287" s="41">
        <f>IF($C287="","",SUMPRODUCT((O287:AS287="P")+(O287:AS287="F")+(O287:AS287="C")+0.5*(O287:AS287="D"),(1-((O262:AS262=6)*(EMPLOYES!M37="5j")))))</f>
        <v/>
      </c>
      <c r="O287" s="46" t="n"/>
      <c r="P287" s="46" t="n"/>
      <c r="Q287" s="46" t="n"/>
      <c r="R287" s="46" t="n"/>
      <c r="S287" s="46" t="n"/>
      <c r="T287" s="46" t="n"/>
      <c r="U287" s="46" t="n"/>
      <c r="V287" s="46" t="n"/>
      <c r="W287" s="46" t="n"/>
      <c r="X287" s="46" t="n"/>
      <c r="Y287" s="46" t="n"/>
      <c r="Z287" s="46" t="n"/>
      <c r="AA287" s="46" t="n"/>
      <c r="AB287" s="46" t="n"/>
      <c r="AC287" s="46" t="n"/>
      <c r="AD287" s="46" t="n"/>
      <c r="AE287" s="46" t="n"/>
      <c r="AF287" s="46" t="n"/>
      <c r="AG287" s="46" t="n"/>
      <c r="AH287" s="46" t="n"/>
      <c r="AI287" s="46" t="n"/>
      <c r="AJ287" s="46" t="n"/>
      <c r="AK287" s="46" t="n"/>
      <c r="AL287" s="46" t="n"/>
      <c r="AM287" s="46" t="n"/>
      <c r="AN287" s="46" t="n"/>
      <c r="AO287" s="46" t="n"/>
      <c r="AP287" s="46" t="n"/>
      <c r="AQ287" s="46" t="n"/>
      <c r="AR287" s="46" t="n"/>
      <c r="AS287" s="46" t="n"/>
      <c r="AV287" s="36">
        <f>IF($C287="","",EMPLOYES!M37)</f>
        <v/>
      </c>
      <c r="AW287" s="36">
        <f>IF($C287="",0,SUMPRODUCT(--(O287:AS287="C")))</f>
        <v/>
      </c>
      <c r="AX287" s="36">
        <f>IF($C287="",0,SUMPRODUCT(--(O287:AS287="R")))</f>
        <v/>
      </c>
      <c r="AY287" s="44" t="n"/>
    </row>
    <row r="288" hidden="1" outlineLevel="1" ht="15" customHeight="1" s="15">
      <c r="B288" s="41" t="n">
        <v>2</v>
      </c>
      <c r="C288" s="42">
        <f>IF(EMPLOYES!C38="","",EMPLOYES!C38)</f>
        <v/>
      </c>
      <c r="D288" s="43">
        <f>IF(EMPLOYES!C38="","",EMPLOYES!D38)</f>
        <v/>
      </c>
      <c r="E288" s="44" t="n"/>
      <c r="F288" s="42" t="n"/>
      <c r="G288" s="41">
        <f>IF($C288="",0,MAX(0,$M288-$N288))</f>
        <v/>
      </c>
      <c r="H288" s="45" t="n"/>
      <c r="I288" s="41">
        <f>IF($C288="","",IF(H288="","OK",IF(H288&gt;EMPLOYES!P38,"⚠ Avance &gt; salaire",IF(H288&gt;EMPLOYES!P38*PARAMETRES!$C$218,"⚠ Avance élevée","OK"))))</f>
        <v/>
      </c>
      <c r="J288" s="45" t="n"/>
      <c r="K288" s="46" t="n"/>
      <c r="L288" s="46" t="n"/>
      <c r="M288" s="41">
        <f>IF($C288="","",SUMPRODUCT((PARAMETRES!$B$38:$B$157=PARAMETRES!$C$29)*(PARAMETRES!$C$38:$C$157=2)*(IF(EMPLOYES!M38="5j",PARAMETRES!$I$38:$I$157,PARAMETRES!$H$38:$H$157))))</f>
        <v/>
      </c>
      <c r="N288" s="41">
        <f>IF($C288="","",SUMPRODUCT((O288:AS288="P")+(O288:AS288="F")+(O288:AS288="C")+0.5*(O288:AS288="D"),(1-((O262:AS262=6)*(EMPLOYES!M38="5j")))))</f>
        <v/>
      </c>
      <c r="O288" s="46" t="n"/>
      <c r="P288" s="46" t="n"/>
      <c r="Q288" s="46" t="n"/>
      <c r="R288" s="46" t="n"/>
      <c r="S288" s="46" t="n"/>
      <c r="T288" s="46" t="n"/>
      <c r="U288" s="46" t="n"/>
      <c r="V288" s="46" t="n"/>
      <c r="W288" s="46" t="n"/>
      <c r="X288" s="46" t="n"/>
      <c r="Y288" s="46" t="n"/>
      <c r="Z288" s="46" t="n"/>
      <c r="AA288" s="46" t="n"/>
      <c r="AB288" s="46" t="n"/>
      <c r="AC288" s="46" t="n"/>
      <c r="AD288" s="46" t="n"/>
      <c r="AE288" s="46" t="n"/>
      <c r="AF288" s="46" t="n"/>
      <c r="AG288" s="46" t="n"/>
      <c r="AH288" s="46" t="n"/>
      <c r="AI288" s="46" t="n"/>
      <c r="AJ288" s="46" t="n"/>
      <c r="AK288" s="46" t="n"/>
      <c r="AL288" s="46" t="n"/>
      <c r="AM288" s="46" t="n"/>
      <c r="AN288" s="46" t="n"/>
      <c r="AO288" s="46" t="n"/>
      <c r="AP288" s="46" t="n"/>
      <c r="AQ288" s="46" t="n"/>
      <c r="AR288" s="46" t="n"/>
      <c r="AS288" s="46" t="n"/>
      <c r="AV288" s="36">
        <f>IF($C288="","",EMPLOYES!M38)</f>
        <v/>
      </c>
      <c r="AW288" s="36">
        <f>IF($C288="",0,SUMPRODUCT(--(O288:AS288="C")))</f>
        <v/>
      </c>
      <c r="AX288" s="36">
        <f>IF($C288="",0,SUMPRODUCT(--(O288:AS288="R")))</f>
        <v/>
      </c>
      <c r="AY288" s="44" t="n"/>
    </row>
    <row r="289" hidden="1" outlineLevel="1" ht="15" customHeight="1" s="15">
      <c r="B289" s="41" t="n">
        <v>2</v>
      </c>
      <c r="C289" s="42">
        <f>IF(EMPLOYES!C39="","",EMPLOYES!C39)</f>
        <v/>
      </c>
      <c r="D289" s="43">
        <f>IF(EMPLOYES!C39="","",EMPLOYES!D39)</f>
        <v/>
      </c>
      <c r="E289" s="44" t="n"/>
      <c r="F289" s="42" t="n"/>
      <c r="G289" s="41">
        <f>IF($C289="",0,MAX(0,$M289-$N289))</f>
        <v/>
      </c>
      <c r="H289" s="45" t="n"/>
      <c r="I289" s="41">
        <f>IF($C289="","",IF(H289="","OK",IF(H289&gt;EMPLOYES!P39,"⚠ Avance &gt; salaire",IF(H289&gt;EMPLOYES!P39*PARAMETRES!$C$218,"⚠ Avance élevée","OK"))))</f>
        <v/>
      </c>
      <c r="J289" s="45" t="n"/>
      <c r="K289" s="46" t="n"/>
      <c r="L289" s="46" t="n"/>
      <c r="M289" s="41">
        <f>IF($C289="","",SUMPRODUCT((PARAMETRES!$B$38:$B$157=PARAMETRES!$C$29)*(PARAMETRES!$C$38:$C$157=2)*(IF(EMPLOYES!M39="5j",PARAMETRES!$I$38:$I$157,PARAMETRES!$H$38:$H$157))))</f>
        <v/>
      </c>
      <c r="N289" s="41">
        <f>IF($C289="","",SUMPRODUCT((O289:AS289="P")+(O289:AS289="F")+(O289:AS289="C")+0.5*(O289:AS289="D"),(1-((O262:AS262=6)*(EMPLOYES!M39="5j")))))</f>
        <v/>
      </c>
      <c r="O289" s="46" t="n"/>
      <c r="P289" s="46" t="n"/>
      <c r="Q289" s="46" t="n"/>
      <c r="R289" s="46" t="n"/>
      <c r="S289" s="46" t="n"/>
      <c r="T289" s="46" t="n"/>
      <c r="U289" s="46" t="n"/>
      <c r="V289" s="46" t="n"/>
      <c r="W289" s="46" t="n"/>
      <c r="X289" s="46" t="n"/>
      <c r="Y289" s="46" t="n"/>
      <c r="Z289" s="46" t="n"/>
      <c r="AA289" s="46" t="n"/>
      <c r="AB289" s="46" t="n"/>
      <c r="AC289" s="46" t="n"/>
      <c r="AD289" s="46" t="n"/>
      <c r="AE289" s="46" t="n"/>
      <c r="AF289" s="46" t="n"/>
      <c r="AG289" s="46" t="n"/>
      <c r="AH289" s="46" t="n"/>
      <c r="AI289" s="46" t="n"/>
      <c r="AJ289" s="46" t="n"/>
      <c r="AK289" s="46" t="n"/>
      <c r="AL289" s="46" t="n"/>
      <c r="AM289" s="46" t="n"/>
      <c r="AN289" s="46" t="n"/>
      <c r="AO289" s="46" t="n"/>
      <c r="AP289" s="46" t="n"/>
      <c r="AQ289" s="46" t="n"/>
      <c r="AR289" s="46" t="n"/>
      <c r="AS289" s="46" t="n"/>
      <c r="AV289" s="36">
        <f>IF($C289="","",EMPLOYES!M39)</f>
        <v/>
      </c>
      <c r="AW289" s="36">
        <f>IF($C289="",0,SUMPRODUCT(--(O289:AS289="C")))</f>
        <v/>
      </c>
      <c r="AX289" s="36">
        <f>IF($C289="",0,SUMPRODUCT(--(O289:AS289="R")))</f>
        <v/>
      </c>
      <c r="AY289" s="44" t="n"/>
    </row>
    <row r="290" hidden="1" outlineLevel="1" ht="15" customHeight="1" s="15">
      <c r="B290" s="41" t="n">
        <v>2</v>
      </c>
      <c r="C290" s="42">
        <f>IF(EMPLOYES!C40="","",EMPLOYES!C40)</f>
        <v/>
      </c>
      <c r="D290" s="43">
        <f>IF(EMPLOYES!C40="","",EMPLOYES!D40)</f>
        <v/>
      </c>
      <c r="E290" s="44" t="n"/>
      <c r="F290" s="42" t="n"/>
      <c r="G290" s="41">
        <f>IF($C290="",0,MAX(0,$M290-$N290))</f>
        <v/>
      </c>
      <c r="H290" s="45" t="n"/>
      <c r="I290" s="41">
        <f>IF($C290="","",IF(H290="","OK",IF(H290&gt;EMPLOYES!P40,"⚠ Avance &gt; salaire",IF(H290&gt;EMPLOYES!P40*PARAMETRES!$C$218,"⚠ Avance élevée","OK"))))</f>
        <v/>
      </c>
      <c r="J290" s="45" t="n"/>
      <c r="K290" s="46" t="n"/>
      <c r="L290" s="46" t="n"/>
      <c r="M290" s="41">
        <f>IF($C290="","",SUMPRODUCT((PARAMETRES!$B$38:$B$157=PARAMETRES!$C$29)*(PARAMETRES!$C$38:$C$157=2)*(IF(EMPLOYES!M40="5j",PARAMETRES!$I$38:$I$157,PARAMETRES!$H$38:$H$157))))</f>
        <v/>
      </c>
      <c r="N290" s="41">
        <f>IF($C290="","",SUMPRODUCT((O290:AS290="P")+(O290:AS290="F")+(O290:AS290="C")+0.5*(O290:AS290="D"),(1-((O262:AS262=6)*(EMPLOYES!M40="5j")))))</f>
        <v/>
      </c>
      <c r="O290" s="46" t="n"/>
      <c r="P290" s="46" t="n"/>
      <c r="Q290" s="46" t="n"/>
      <c r="R290" s="46" t="n"/>
      <c r="S290" s="46" t="n"/>
      <c r="T290" s="46" t="n"/>
      <c r="U290" s="46" t="n"/>
      <c r="V290" s="46" t="n"/>
      <c r="W290" s="46" t="n"/>
      <c r="X290" s="46" t="n"/>
      <c r="Y290" s="46" t="n"/>
      <c r="Z290" s="46" t="n"/>
      <c r="AA290" s="46" t="n"/>
      <c r="AB290" s="46" t="n"/>
      <c r="AC290" s="46" t="n"/>
      <c r="AD290" s="46" t="n"/>
      <c r="AE290" s="46" t="n"/>
      <c r="AF290" s="46" t="n"/>
      <c r="AG290" s="46" t="n"/>
      <c r="AH290" s="46" t="n"/>
      <c r="AI290" s="46" t="n"/>
      <c r="AJ290" s="46" t="n"/>
      <c r="AK290" s="46" t="n"/>
      <c r="AL290" s="46" t="n"/>
      <c r="AM290" s="46" t="n"/>
      <c r="AN290" s="46" t="n"/>
      <c r="AO290" s="46" t="n"/>
      <c r="AP290" s="46" t="n"/>
      <c r="AQ290" s="46" t="n"/>
      <c r="AR290" s="46" t="n"/>
      <c r="AS290" s="46" t="n"/>
      <c r="AV290" s="36">
        <f>IF($C290="","",EMPLOYES!M40)</f>
        <v/>
      </c>
      <c r="AW290" s="36">
        <f>IF($C290="",0,SUMPRODUCT(--(O290:AS290="C")))</f>
        <v/>
      </c>
      <c r="AX290" s="36">
        <f>IF($C290="",0,SUMPRODUCT(--(O290:AS290="R")))</f>
        <v/>
      </c>
      <c r="AY290" s="44" t="n"/>
    </row>
    <row r="291" hidden="1" outlineLevel="1" ht="15" customHeight="1" s="15">
      <c r="B291" s="41" t="n">
        <v>2</v>
      </c>
      <c r="C291" s="42">
        <f>IF(EMPLOYES!C41="","",EMPLOYES!C41)</f>
        <v/>
      </c>
      <c r="D291" s="43">
        <f>IF(EMPLOYES!C41="","",EMPLOYES!D41)</f>
        <v/>
      </c>
      <c r="E291" s="44" t="n"/>
      <c r="F291" s="42" t="n"/>
      <c r="G291" s="41">
        <f>IF($C291="",0,MAX(0,$M291-$N291))</f>
        <v/>
      </c>
      <c r="H291" s="45" t="n"/>
      <c r="I291" s="41">
        <f>IF($C291="","",IF(H291="","OK",IF(H291&gt;EMPLOYES!P41,"⚠ Avance &gt; salaire",IF(H291&gt;EMPLOYES!P41*PARAMETRES!$C$218,"⚠ Avance élevée","OK"))))</f>
        <v/>
      </c>
      <c r="J291" s="45" t="n"/>
      <c r="K291" s="46" t="n"/>
      <c r="L291" s="46" t="n"/>
      <c r="M291" s="41">
        <f>IF($C291="","",SUMPRODUCT((PARAMETRES!$B$38:$B$157=PARAMETRES!$C$29)*(PARAMETRES!$C$38:$C$157=2)*(IF(EMPLOYES!M41="5j",PARAMETRES!$I$38:$I$157,PARAMETRES!$H$38:$H$157))))</f>
        <v/>
      </c>
      <c r="N291" s="41">
        <f>IF($C291="","",SUMPRODUCT((O291:AS291="P")+(O291:AS291="F")+(O291:AS291="C")+0.5*(O291:AS291="D"),(1-((O262:AS262=6)*(EMPLOYES!M41="5j")))))</f>
        <v/>
      </c>
      <c r="O291" s="46" t="n"/>
      <c r="P291" s="46" t="n"/>
      <c r="Q291" s="46" t="n"/>
      <c r="R291" s="46" t="n"/>
      <c r="S291" s="46" t="n"/>
      <c r="T291" s="46" t="n"/>
      <c r="U291" s="46" t="n"/>
      <c r="V291" s="46" t="n"/>
      <c r="W291" s="46" t="n"/>
      <c r="X291" s="46" t="n"/>
      <c r="Y291" s="46" t="n"/>
      <c r="Z291" s="46" t="n"/>
      <c r="AA291" s="46" t="n"/>
      <c r="AB291" s="46" t="n"/>
      <c r="AC291" s="46" t="n"/>
      <c r="AD291" s="46" t="n"/>
      <c r="AE291" s="46" t="n"/>
      <c r="AF291" s="46" t="n"/>
      <c r="AG291" s="46" t="n"/>
      <c r="AH291" s="46" t="n"/>
      <c r="AI291" s="46" t="n"/>
      <c r="AJ291" s="46" t="n"/>
      <c r="AK291" s="46" t="n"/>
      <c r="AL291" s="46" t="n"/>
      <c r="AM291" s="46" t="n"/>
      <c r="AN291" s="46" t="n"/>
      <c r="AO291" s="46" t="n"/>
      <c r="AP291" s="46" t="n"/>
      <c r="AQ291" s="46" t="n"/>
      <c r="AR291" s="46" t="n"/>
      <c r="AS291" s="46" t="n"/>
      <c r="AV291" s="36">
        <f>IF($C291="","",EMPLOYES!M41)</f>
        <v/>
      </c>
      <c r="AW291" s="36">
        <f>IF($C291="",0,SUMPRODUCT(--(O291:AS291="C")))</f>
        <v/>
      </c>
      <c r="AX291" s="36">
        <f>IF($C291="",0,SUMPRODUCT(--(O291:AS291="R")))</f>
        <v/>
      </c>
      <c r="AY291" s="44" t="n"/>
    </row>
    <row r="292" hidden="1" outlineLevel="1" ht="15" customHeight="1" s="15">
      <c r="B292" s="41" t="n">
        <v>2</v>
      </c>
      <c r="C292" s="42">
        <f>IF(EMPLOYES!C42="","",EMPLOYES!C42)</f>
        <v/>
      </c>
      <c r="D292" s="43">
        <f>IF(EMPLOYES!C42="","",EMPLOYES!D42)</f>
        <v/>
      </c>
      <c r="E292" s="44" t="n"/>
      <c r="F292" s="42" t="n"/>
      <c r="G292" s="41">
        <f>IF($C292="",0,MAX(0,$M292-$N292))</f>
        <v/>
      </c>
      <c r="H292" s="45" t="n"/>
      <c r="I292" s="41">
        <f>IF($C292="","",IF(H292="","OK",IF(H292&gt;EMPLOYES!P42,"⚠ Avance &gt; salaire",IF(H292&gt;EMPLOYES!P42*PARAMETRES!$C$218,"⚠ Avance élevée","OK"))))</f>
        <v/>
      </c>
      <c r="J292" s="45" t="n"/>
      <c r="K292" s="46" t="n"/>
      <c r="L292" s="46" t="n"/>
      <c r="M292" s="41">
        <f>IF($C292="","",SUMPRODUCT((PARAMETRES!$B$38:$B$157=PARAMETRES!$C$29)*(PARAMETRES!$C$38:$C$157=2)*(IF(EMPLOYES!M42="5j",PARAMETRES!$I$38:$I$157,PARAMETRES!$H$38:$H$157))))</f>
        <v/>
      </c>
      <c r="N292" s="41">
        <f>IF($C292="","",SUMPRODUCT((O292:AS292="P")+(O292:AS292="F")+(O292:AS292="C")+0.5*(O292:AS292="D"),(1-((O262:AS262=6)*(EMPLOYES!M42="5j")))))</f>
        <v/>
      </c>
      <c r="O292" s="46" t="n"/>
      <c r="P292" s="46" t="n"/>
      <c r="Q292" s="46" t="n"/>
      <c r="R292" s="46" t="n"/>
      <c r="S292" s="46" t="n"/>
      <c r="T292" s="46" t="n"/>
      <c r="U292" s="46" t="n"/>
      <c r="V292" s="46" t="n"/>
      <c r="W292" s="46" t="n"/>
      <c r="X292" s="46" t="n"/>
      <c r="Y292" s="46" t="n"/>
      <c r="Z292" s="46" t="n"/>
      <c r="AA292" s="46" t="n"/>
      <c r="AB292" s="46" t="n"/>
      <c r="AC292" s="46" t="n"/>
      <c r="AD292" s="46" t="n"/>
      <c r="AE292" s="46" t="n"/>
      <c r="AF292" s="46" t="n"/>
      <c r="AG292" s="46" t="n"/>
      <c r="AH292" s="46" t="n"/>
      <c r="AI292" s="46" t="n"/>
      <c r="AJ292" s="46" t="n"/>
      <c r="AK292" s="46" t="n"/>
      <c r="AL292" s="46" t="n"/>
      <c r="AM292" s="46" t="n"/>
      <c r="AN292" s="46" t="n"/>
      <c r="AO292" s="46" t="n"/>
      <c r="AP292" s="46" t="n"/>
      <c r="AQ292" s="46" t="n"/>
      <c r="AR292" s="46" t="n"/>
      <c r="AS292" s="46" t="n"/>
      <c r="AV292" s="36">
        <f>IF($C292="","",EMPLOYES!M42)</f>
        <v/>
      </c>
      <c r="AW292" s="36">
        <f>IF($C292="",0,SUMPRODUCT(--(O292:AS292="C")))</f>
        <v/>
      </c>
      <c r="AX292" s="36">
        <f>IF($C292="",0,SUMPRODUCT(--(O292:AS292="R")))</f>
        <v/>
      </c>
      <c r="AY292" s="44" t="n"/>
    </row>
    <row r="293" hidden="1" outlineLevel="1" ht="15" customHeight="1" s="15">
      <c r="B293" s="41" t="n">
        <v>2</v>
      </c>
      <c r="C293" s="42">
        <f>IF(EMPLOYES!C43="","",EMPLOYES!C43)</f>
        <v/>
      </c>
      <c r="D293" s="43">
        <f>IF(EMPLOYES!C43="","",EMPLOYES!D43)</f>
        <v/>
      </c>
      <c r="E293" s="44" t="n"/>
      <c r="F293" s="42" t="n"/>
      <c r="G293" s="41">
        <f>IF($C293="",0,MAX(0,$M293-$N293))</f>
        <v/>
      </c>
      <c r="H293" s="45" t="n"/>
      <c r="I293" s="41">
        <f>IF($C293="","",IF(H293="","OK",IF(H293&gt;EMPLOYES!P43,"⚠ Avance &gt; salaire",IF(H293&gt;EMPLOYES!P43*PARAMETRES!$C$218,"⚠ Avance élevée","OK"))))</f>
        <v/>
      </c>
      <c r="J293" s="45" t="n"/>
      <c r="K293" s="46" t="n"/>
      <c r="L293" s="46" t="n"/>
      <c r="M293" s="41">
        <f>IF($C293="","",SUMPRODUCT((PARAMETRES!$B$38:$B$157=PARAMETRES!$C$29)*(PARAMETRES!$C$38:$C$157=2)*(IF(EMPLOYES!M43="5j",PARAMETRES!$I$38:$I$157,PARAMETRES!$H$38:$H$157))))</f>
        <v/>
      </c>
      <c r="N293" s="41">
        <f>IF($C293="","",SUMPRODUCT((O293:AS293="P")+(O293:AS293="F")+(O293:AS293="C")+0.5*(O293:AS293="D"),(1-((O262:AS262=6)*(EMPLOYES!M43="5j")))))</f>
        <v/>
      </c>
      <c r="O293" s="46" t="n"/>
      <c r="P293" s="46" t="n"/>
      <c r="Q293" s="46" t="n"/>
      <c r="R293" s="46" t="n"/>
      <c r="S293" s="46" t="n"/>
      <c r="T293" s="46" t="n"/>
      <c r="U293" s="46" t="n"/>
      <c r="V293" s="46" t="n"/>
      <c r="W293" s="46" t="n"/>
      <c r="X293" s="46" t="n"/>
      <c r="Y293" s="46" t="n"/>
      <c r="Z293" s="46" t="n"/>
      <c r="AA293" s="46" t="n"/>
      <c r="AB293" s="46" t="n"/>
      <c r="AC293" s="46" t="n"/>
      <c r="AD293" s="46" t="n"/>
      <c r="AE293" s="46" t="n"/>
      <c r="AF293" s="46" t="n"/>
      <c r="AG293" s="46" t="n"/>
      <c r="AH293" s="46" t="n"/>
      <c r="AI293" s="46" t="n"/>
      <c r="AJ293" s="46" t="n"/>
      <c r="AK293" s="46" t="n"/>
      <c r="AL293" s="46" t="n"/>
      <c r="AM293" s="46" t="n"/>
      <c r="AN293" s="46" t="n"/>
      <c r="AO293" s="46" t="n"/>
      <c r="AP293" s="46" t="n"/>
      <c r="AQ293" s="46" t="n"/>
      <c r="AR293" s="46" t="n"/>
      <c r="AS293" s="46" t="n"/>
      <c r="AV293" s="36">
        <f>IF($C293="","",EMPLOYES!M43)</f>
        <v/>
      </c>
      <c r="AW293" s="36">
        <f>IF($C293="",0,SUMPRODUCT(--(O293:AS293="C")))</f>
        <v/>
      </c>
      <c r="AX293" s="36">
        <f>IF($C293="",0,SUMPRODUCT(--(O293:AS293="R")))</f>
        <v/>
      </c>
      <c r="AY293" s="44" t="n"/>
    </row>
    <row r="294" hidden="1" outlineLevel="1" ht="15" customHeight="1" s="15">
      <c r="B294" s="41" t="n">
        <v>2</v>
      </c>
      <c r="C294" s="42">
        <f>IF(EMPLOYES!C44="","",EMPLOYES!C44)</f>
        <v/>
      </c>
      <c r="D294" s="43">
        <f>IF(EMPLOYES!C44="","",EMPLOYES!D44)</f>
        <v/>
      </c>
      <c r="E294" s="44" t="n"/>
      <c r="F294" s="42" t="n"/>
      <c r="G294" s="41">
        <f>IF($C294="",0,MAX(0,$M294-$N294))</f>
        <v/>
      </c>
      <c r="H294" s="45" t="n"/>
      <c r="I294" s="41">
        <f>IF($C294="","",IF(H294="","OK",IF(H294&gt;EMPLOYES!P44,"⚠ Avance &gt; salaire",IF(H294&gt;EMPLOYES!P44*PARAMETRES!$C$218,"⚠ Avance élevée","OK"))))</f>
        <v/>
      </c>
      <c r="J294" s="45" t="n"/>
      <c r="K294" s="46" t="n"/>
      <c r="L294" s="46" t="n"/>
      <c r="M294" s="41">
        <f>IF($C294="","",SUMPRODUCT((PARAMETRES!$B$38:$B$157=PARAMETRES!$C$29)*(PARAMETRES!$C$38:$C$157=2)*(IF(EMPLOYES!M44="5j",PARAMETRES!$I$38:$I$157,PARAMETRES!$H$38:$H$157))))</f>
        <v/>
      </c>
      <c r="N294" s="41">
        <f>IF($C294="","",SUMPRODUCT((O294:AS294="P")+(O294:AS294="F")+(O294:AS294="C")+0.5*(O294:AS294="D"),(1-((O262:AS262=6)*(EMPLOYES!M44="5j")))))</f>
        <v/>
      </c>
      <c r="O294" s="46" t="n"/>
      <c r="P294" s="46" t="n"/>
      <c r="Q294" s="46" t="n"/>
      <c r="R294" s="46" t="n"/>
      <c r="S294" s="46" t="n"/>
      <c r="T294" s="46" t="n"/>
      <c r="U294" s="46" t="n"/>
      <c r="V294" s="46" t="n"/>
      <c r="W294" s="46" t="n"/>
      <c r="X294" s="46" t="n"/>
      <c r="Y294" s="46" t="n"/>
      <c r="Z294" s="46" t="n"/>
      <c r="AA294" s="46" t="n"/>
      <c r="AB294" s="46" t="n"/>
      <c r="AC294" s="46" t="n"/>
      <c r="AD294" s="46" t="n"/>
      <c r="AE294" s="46" t="n"/>
      <c r="AF294" s="46" t="n"/>
      <c r="AG294" s="46" t="n"/>
      <c r="AH294" s="46" t="n"/>
      <c r="AI294" s="46" t="n"/>
      <c r="AJ294" s="46" t="n"/>
      <c r="AK294" s="46" t="n"/>
      <c r="AL294" s="46" t="n"/>
      <c r="AM294" s="46" t="n"/>
      <c r="AN294" s="46" t="n"/>
      <c r="AO294" s="46" t="n"/>
      <c r="AP294" s="46" t="n"/>
      <c r="AQ294" s="46" t="n"/>
      <c r="AR294" s="46" t="n"/>
      <c r="AS294" s="46" t="n"/>
      <c r="AV294" s="36">
        <f>IF($C294="","",EMPLOYES!M44)</f>
        <v/>
      </c>
      <c r="AW294" s="36">
        <f>IF($C294="",0,SUMPRODUCT(--(O294:AS294="C")))</f>
        <v/>
      </c>
      <c r="AX294" s="36">
        <f>IF($C294="",0,SUMPRODUCT(--(O294:AS294="R")))</f>
        <v/>
      </c>
      <c r="AY294" s="44" t="n"/>
    </row>
    <row r="295" hidden="1" outlineLevel="1" ht="15" customHeight="1" s="15">
      <c r="B295" s="41" t="n">
        <v>2</v>
      </c>
      <c r="C295" s="42">
        <f>IF(EMPLOYES!C45="","",EMPLOYES!C45)</f>
        <v/>
      </c>
      <c r="D295" s="43">
        <f>IF(EMPLOYES!C45="","",EMPLOYES!D45)</f>
        <v/>
      </c>
      <c r="E295" s="44" t="n"/>
      <c r="F295" s="42" t="n"/>
      <c r="G295" s="41">
        <f>IF($C295="",0,MAX(0,$M295-$N295))</f>
        <v/>
      </c>
      <c r="H295" s="45" t="n"/>
      <c r="I295" s="41">
        <f>IF($C295="","",IF(H295="","OK",IF(H295&gt;EMPLOYES!P45,"⚠ Avance &gt; salaire",IF(H295&gt;EMPLOYES!P45*PARAMETRES!$C$218,"⚠ Avance élevée","OK"))))</f>
        <v/>
      </c>
      <c r="J295" s="45" t="n"/>
      <c r="K295" s="46" t="n"/>
      <c r="L295" s="46" t="n"/>
      <c r="M295" s="41">
        <f>IF($C295="","",SUMPRODUCT((PARAMETRES!$B$38:$B$157=PARAMETRES!$C$29)*(PARAMETRES!$C$38:$C$157=2)*(IF(EMPLOYES!M45="5j",PARAMETRES!$I$38:$I$157,PARAMETRES!$H$38:$H$157))))</f>
        <v/>
      </c>
      <c r="N295" s="41">
        <f>IF($C295="","",SUMPRODUCT((O295:AS295="P")+(O295:AS295="F")+(O295:AS295="C")+0.5*(O295:AS295="D"),(1-((O262:AS262=6)*(EMPLOYES!M45="5j")))))</f>
        <v/>
      </c>
      <c r="O295" s="46" t="n"/>
      <c r="P295" s="46" t="n"/>
      <c r="Q295" s="46" t="n"/>
      <c r="R295" s="46" t="n"/>
      <c r="S295" s="46" t="n"/>
      <c r="T295" s="46" t="n"/>
      <c r="U295" s="46" t="n"/>
      <c r="V295" s="46" t="n"/>
      <c r="W295" s="46" t="n"/>
      <c r="X295" s="46" t="n"/>
      <c r="Y295" s="46" t="n"/>
      <c r="Z295" s="46" t="n"/>
      <c r="AA295" s="46" t="n"/>
      <c r="AB295" s="46" t="n"/>
      <c r="AC295" s="46" t="n"/>
      <c r="AD295" s="46" t="n"/>
      <c r="AE295" s="46" t="n"/>
      <c r="AF295" s="46" t="n"/>
      <c r="AG295" s="46" t="n"/>
      <c r="AH295" s="46" t="n"/>
      <c r="AI295" s="46" t="n"/>
      <c r="AJ295" s="46" t="n"/>
      <c r="AK295" s="46" t="n"/>
      <c r="AL295" s="46" t="n"/>
      <c r="AM295" s="46" t="n"/>
      <c r="AN295" s="46" t="n"/>
      <c r="AO295" s="46" t="n"/>
      <c r="AP295" s="46" t="n"/>
      <c r="AQ295" s="46" t="n"/>
      <c r="AR295" s="46" t="n"/>
      <c r="AS295" s="46" t="n"/>
      <c r="AV295" s="36">
        <f>IF($C295="","",EMPLOYES!M45)</f>
        <v/>
      </c>
      <c r="AW295" s="36">
        <f>IF($C295="",0,SUMPRODUCT(--(O295:AS295="C")))</f>
        <v/>
      </c>
      <c r="AX295" s="36">
        <f>IF($C295="",0,SUMPRODUCT(--(O295:AS295="R")))</f>
        <v/>
      </c>
      <c r="AY295" s="44" t="n"/>
    </row>
    <row r="296" hidden="1" outlineLevel="1" ht="15" customHeight="1" s="15">
      <c r="B296" s="41" t="n">
        <v>2</v>
      </c>
      <c r="C296" s="42">
        <f>IF(EMPLOYES!C46="","",EMPLOYES!C46)</f>
        <v/>
      </c>
      <c r="D296" s="43">
        <f>IF(EMPLOYES!C46="","",EMPLOYES!D46)</f>
        <v/>
      </c>
      <c r="E296" s="44" t="n"/>
      <c r="F296" s="42" t="n"/>
      <c r="G296" s="41">
        <f>IF($C296="",0,MAX(0,$M296-$N296))</f>
        <v/>
      </c>
      <c r="H296" s="45" t="n"/>
      <c r="I296" s="41">
        <f>IF($C296="","",IF(H296="","OK",IF(H296&gt;EMPLOYES!P46,"⚠ Avance &gt; salaire",IF(H296&gt;EMPLOYES!P46*PARAMETRES!$C$218,"⚠ Avance élevée","OK"))))</f>
        <v/>
      </c>
      <c r="J296" s="45" t="n"/>
      <c r="K296" s="46" t="n"/>
      <c r="L296" s="46" t="n"/>
      <c r="M296" s="41">
        <f>IF($C296="","",SUMPRODUCT((PARAMETRES!$B$38:$B$157=PARAMETRES!$C$29)*(PARAMETRES!$C$38:$C$157=2)*(IF(EMPLOYES!M46="5j",PARAMETRES!$I$38:$I$157,PARAMETRES!$H$38:$H$157))))</f>
        <v/>
      </c>
      <c r="N296" s="41">
        <f>IF($C296="","",SUMPRODUCT((O296:AS296="P")+(O296:AS296="F")+(O296:AS296="C")+0.5*(O296:AS296="D"),(1-((O262:AS262=6)*(EMPLOYES!M46="5j")))))</f>
        <v/>
      </c>
      <c r="O296" s="46" t="n"/>
      <c r="P296" s="46" t="n"/>
      <c r="Q296" s="46" t="n"/>
      <c r="R296" s="46" t="n"/>
      <c r="S296" s="46" t="n"/>
      <c r="T296" s="46" t="n"/>
      <c r="U296" s="46" t="n"/>
      <c r="V296" s="46" t="n"/>
      <c r="W296" s="46" t="n"/>
      <c r="X296" s="46" t="n"/>
      <c r="Y296" s="46" t="n"/>
      <c r="Z296" s="46" t="n"/>
      <c r="AA296" s="46" t="n"/>
      <c r="AB296" s="46" t="n"/>
      <c r="AC296" s="46" t="n"/>
      <c r="AD296" s="46" t="n"/>
      <c r="AE296" s="46" t="n"/>
      <c r="AF296" s="46" t="n"/>
      <c r="AG296" s="46" t="n"/>
      <c r="AH296" s="46" t="n"/>
      <c r="AI296" s="46" t="n"/>
      <c r="AJ296" s="46" t="n"/>
      <c r="AK296" s="46" t="n"/>
      <c r="AL296" s="46" t="n"/>
      <c r="AM296" s="46" t="n"/>
      <c r="AN296" s="46" t="n"/>
      <c r="AO296" s="46" t="n"/>
      <c r="AP296" s="46" t="n"/>
      <c r="AQ296" s="46" t="n"/>
      <c r="AR296" s="46" t="n"/>
      <c r="AS296" s="46" t="n"/>
      <c r="AV296" s="36">
        <f>IF($C296="","",EMPLOYES!M46)</f>
        <v/>
      </c>
      <c r="AW296" s="36">
        <f>IF($C296="",0,SUMPRODUCT(--(O296:AS296="C")))</f>
        <v/>
      </c>
      <c r="AX296" s="36">
        <f>IF($C296="",0,SUMPRODUCT(--(O296:AS296="R")))</f>
        <v/>
      </c>
      <c r="AY296" s="44" t="n"/>
    </row>
    <row r="297" hidden="1" outlineLevel="1" ht="15" customHeight="1" s="15">
      <c r="B297" s="41" t="n">
        <v>2</v>
      </c>
      <c r="C297" s="42">
        <f>IF(EMPLOYES!C47="","",EMPLOYES!C47)</f>
        <v/>
      </c>
      <c r="D297" s="43">
        <f>IF(EMPLOYES!C47="","",EMPLOYES!D47)</f>
        <v/>
      </c>
      <c r="E297" s="44" t="n"/>
      <c r="F297" s="42" t="n"/>
      <c r="G297" s="41">
        <f>IF($C297="",0,MAX(0,$M297-$N297))</f>
        <v/>
      </c>
      <c r="H297" s="45" t="n"/>
      <c r="I297" s="41">
        <f>IF($C297="","",IF(H297="","OK",IF(H297&gt;EMPLOYES!P47,"⚠ Avance &gt; salaire",IF(H297&gt;EMPLOYES!P47*PARAMETRES!$C$218,"⚠ Avance élevée","OK"))))</f>
        <v/>
      </c>
      <c r="J297" s="45" t="n"/>
      <c r="K297" s="46" t="n"/>
      <c r="L297" s="46" t="n"/>
      <c r="M297" s="41">
        <f>IF($C297="","",SUMPRODUCT((PARAMETRES!$B$38:$B$157=PARAMETRES!$C$29)*(PARAMETRES!$C$38:$C$157=2)*(IF(EMPLOYES!M47="5j",PARAMETRES!$I$38:$I$157,PARAMETRES!$H$38:$H$157))))</f>
        <v/>
      </c>
      <c r="N297" s="41">
        <f>IF($C297="","",SUMPRODUCT((O297:AS297="P")+(O297:AS297="F")+(O297:AS297="C")+0.5*(O297:AS297="D"),(1-((O262:AS262=6)*(EMPLOYES!M47="5j")))))</f>
        <v/>
      </c>
      <c r="O297" s="46" t="n"/>
      <c r="P297" s="46" t="n"/>
      <c r="Q297" s="46" t="n"/>
      <c r="R297" s="46" t="n"/>
      <c r="S297" s="46" t="n"/>
      <c r="T297" s="46" t="n"/>
      <c r="U297" s="46" t="n"/>
      <c r="V297" s="46" t="n"/>
      <c r="W297" s="46" t="n"/>
      <c r="X297" s="46" t="n"/>
      <c r="Y297" s="46" t="n"/>
      <c r="Z297" s="46" t="n"/>
      <c r="AA297" s="46" t="n"/>
      <c r="AB297" s="46" t="n"/>
      <c r="AC297" s="46" t="n"/>
      <c r="AD297" s="46" t="n"/>
      <c r="AE297" s="46" t="n"/>
      <c r="AF297" s="46" t="n"/>
      <c r="AG297" s="46" t="n"/>
      <c r="AH297" s="46" t="n"/>
      <c r="AI297" s="46" t="n"/>
      <c r="AJ297" s="46" t="n"/>
      <c r="AK297" s="46" t="n"/>
      <c r="AL297" s="46" t="n"/>
      <c r="AM297" s="46" t="n"/>
      <c r="AN297" s="46" t="n"/>
      <c r="AO297" s="46" t="n"/>
      <c r="AP297" s="46" t="n"/>
      <c r="AQ297" s="46" t="n"/>
      <c r="AR297" s="46" t="n"/>
      <c r="AS297" s="46" t="n"/>
      <c r="AV297" s="36">
        <f>IF($C297="","",EMPLOYES!M47)</f>
        <v/>
      </c>
      <c r="AW297" s="36">
        <f>IF($C297="",0,SUMPRODUCT(--(O297:AS297="C")))</f>
        <v/>
      </c>
      <c r="AX297" s="36">
        <f>IF($C297="",0,SUMPRODUCT(--(O297:AS297="R")))</f>
        <v/>
      </c>
      <c r="AY297" s="44" t="n"/>
    </row>
    <row r="298" hidden="1" outlineLevel="1" ht="15" customHeight="1" s="15">
      <c r="B298" s="41" t="n">
        <v>2</v>
      </c>
      <c r="C298" s="42">
        <f>IF(EMPLOYES!C48="","",EMPLOYES!C48)</f>
        <v/>
      </c>
      <c r="D298" s="43">
        <f>IF(EMPLOYES!C48="","",EMPLOYES!D48)</f>
        <v/>
      </c>
      <c r="E298" s="44" t="n"/>
      <c r="F298" s="42" t="n"/>
      <c r="G298" s="41">
        <f>IF($C298="",0,MAX(0,$M298-$N298))</f>
        <v/>
      </c>
      <c r="H298" s="45" t="n"/>
      <c r="I298" s="41">
        <f>IF($C298="","",IF(H298="","OK",IF(H298&gt;EMPLOYES!P48,"⚠ Avance &gt; salaire",IF(H298&gt;EMPLOYES!P48*PARAMETRES!$C$218,"⚠ Avance élevée","OK"))))</f>
        <v/>
      </c>
      <c r="J298" s="45" t="n"/>
      <c r="K298" s="46" t="n"/>
      <c r="L298" s="46" t="n"/>
      <c r="M298" s="41">
        <f>IF($C298="","",SUMPRODUCT((PARAMETRES!$B$38:$B$157=PARAMETRES!$C$29)*(PARAMETRES!$C$38:$C$157=2)*(IF(EMPLOYES!M48="5j",PARAMETRES!$I$38:$I$157,PARAMETRES!$H$38:$H$157))))</f>
        <v/>
      </c>
      <c r="N298" s="41">
        <f>IF($C298="","",SUMPRODUCT((O298:AS298="P")+(O298:AS298="F")+(O298:AS298="C")+0.5*(O298:AS298="D"),(1-((O262:AS262=6)*(EMPLOYES!M48="5j")))))</f>
        <v/>
      </c>
      <c r="O298" s="46" t="n"/>
      <c r="P298" s="46" t="n"/>
      <c r="Q298" s="46" t="n"/>
      <c r="R298" s="46" t="n"/>
      <c r="S298" s="46" t="n"/>
      <c r="T298" s="46" t="n"/>
      <c r="U298" s="46" t="n"/>
      <c r="V298" s="46" t="n"/>
      <c r="W298" s="46" t="n"/>
      <c r="X298" s="46" t="n"/>
      <c r="Y298" s="46" t="n"/>
      <c r="Z298" s="46" t="n"/>
      <c r="AA298" s="46" t="n"/>
      <c r="AB298" s="46" t="n"/>
      <c r="AC298" s="46" t="n"/>
      <c r="AD298" s="46" t="n"/>
      <c r="AE298" s="46" t="n"/>
      <c r="AF298" s="46" t="n"/>
      <c r="AG298" s="46" t="n"/>
      <c r="AH298" s="46" t="n"/>
      <c r="AI298" s="46" t="n"/>
      <c r="AJ298" s="46" t="n"/>
      <c r="AK298" s="46" t="n"/>
      <c r="AL298" s="46" t="n"/>
      <c r="AM298" s="46" t="n"/>
      <c r="AN298" s="46" t="n"/>
      <c r="AO298" s="46" t="n"/>
      <c r="AP298" s="46" t="n"/>
      <c r="AQ298" s="46" t="n"/>
      <c r="AR298" s="46" t="n"/>
      <c r="AS298" s="46" t="n"/>
      <c r="AV298" s="36">
        <f>IF($C298="","",EMPLOYES!M48)</f>
        <v/>
      </c>
      <c r="AW298" s="36">
        <f>IF($C298="",0,SUMPRODUCT(--(O298:AS298="C")))</f>
        <v/>
      </c>
      <c r="AX298" s="36">
        <f>IF($C298="",0,SUMPRODUCT(--(O298:AS298="R")))</f>
        <v/>
      </c>
      <c r="AY298" s="44" t="n"/>
    </row>
    <row r="299" hidden="1" outlineLevel="1" ht="15" customHeight="1" s="15">
      <c r="B299" s="41" t="n">
        <v>2</v>
      </c>
      <c r="C299" s="42">
        <f>IF(EMPLOYES!C49="","",EMPLOYES!C49)</f>
        <v/>
      </c>
      <c r="D299" s="43">
        <f>IF(EMPLOYES!C49="","",EMPLOYES!D49)</f>
        <v/>
      </c>
      <c r="E299" s="44" t="n"/>
      <c r="F299" s="42" t="n"/>
      <c r="G299" s="41">
        <f>IF($C299="",0,MAX(0,$M299-$N299))</f>
        <v/>
      </c>
      <c r="H299" s="45" t="n"/>
      <c r="I299" s="41">
        <f>IF($C299="","",IF(H299="","OK",IF(H299&gt;EMPLOYES!P49,"⚠ Avance &gt; salaire",IF(H299&gt;EMPLOYES!P49*PARAMETRES!$C$218,"⚠ Avance élevée","OK"))))</f>
        <v/>
      </c>
      <c r="J299" s="45" t="n"/>
      <c r="K299" s="46" t="n"/>
      <c r="L299" s="46" t="n"/>
      <c r="M299" s="41">
        <f>IF($C299="","",SUMPRODUCT((PARAMETRES!$B$38:$B$157=PARAMETRES!$C$29)*(PARAMETRES!$C$38:$C$157=2)*(IF(EMPLOYES!M49="5j",PARAMETRES!$I$38:$I$157,PARAMETRES!$H$38:$H$157))))</f>
        <v/>
      </c>
      <c r="N299" s="41">
        <f>IF($C299="","",SUMPRODUCT((O299:AS299="P")+(O299:AS299="F")+(O299:AS299="C")+0.5*(O299:AS299="D"),(1-((O262:AS262=6)*(EMPLOYES!M49="5j")))))</f>
        <v/>
      </c>
      <c r="O299" s="46" t="n"/>
      <c r="P299" s="46" t="n"/>
      <c r="Q299" s="46" t="n"/>
      <c r="R299" s="46" t="n"/>
      <c r="S299" s="46" t="n"/>
      <c r="T299" s="46" t="n"/>
      <c r="U299" s="46" t="n"/>
      <c r="V299" s="46" t="n"/>
      <c r="W299" s="46" t="n"/>
      <c r="X299" s="46" t="n"/>
      <c r="Y299" s="46" t="n"/>
      <c r="Z299" s="46" t="n"/>
      <c r="AA299" s="46" t="n"/>
      <c r="AB299" s="46" t="n"/>
      <c r="AC299" s="46" t="n"/>
      <c r="AD299" s="46" t="n"/>
      <c r="AE299" s="46" t="n"/>
      <c r="AF299" s="46" t="n"/>
      <c r="AG299" s="46" t="n"/>
      <c r="AH299" s="46" t="n"/>
      <c r="AI299" s="46" t="n"/>
      <c r="AJ299" s="46" t="n"/>
      <c r="AK299" s="46" t="n"/>
      <c r="AL299" s="46" t="n"/>
      <c r="AM299" s="46" t="n"/>
      <c r="AN299" s="46" t="n"/>
      <c r="AO299" s="46" t="n"/>
      <c r="AP299" s="46" t="n"/>
      <c r="AQ299" s="46" t="n"/>
      <c r="AR299" s="46" t="n"/>
      <c r="AS299" s="46" t="n"/>
      <c r="AV299" s="36">
        <f>IF($C299="","",EMPLOYES!M49)</f>
        <v/>
      </c>
      <c r="AW299" s="36">
        <f>IF($C299="",0,SUMPRODUCT(--(O299:AS299="C")))</f>
        <v/>
      </c>
      <c r="AX299" s="36">
        <f>IF($C299="",0,SUMPRODUCT(--(O299:AS299="R")))</f>
        <v/>
      </c>
      <c r="AY299" s="44" t="n"/>
    </row>
    <row r="300" hidden="1" outlineLevel="1" ht="15" customHeight="1" s="15">
      <c r="B300" s="41" t="n">
        <v>2</v>
      </c>
      <c r="C300" s="42">
        <f>IF(EMPLOYES!C50="","",EMPLOYES!C50)</f>
        <v/>
      </c>
      <c r="D300" s="43">
        <f>IF(EMPLOYES!C50="","",EMPLOYES!D50)</f>
        <v/>
      </c>
      <c r="E300" s="44" t="n"/>
      <c r="F300" s="42" t="n"/>
      <c r="G300" s="41">
        <f>IF($C300="",0,MAX(0,$M300-$N300))</f>
        <v/>
      </c>
      <c r="H300" s="45" t="n"/>
      <c r="I300" s="41">
        <f>IF($C300="","",IF(H300="","OK",IF(H300&gt;EMPLOYES!P50,"⚠ Avance &gt; salaire",IF(H300&gt;EMPLOYES!P50*PARAMETRES!$C$218,"⚠ Avance élevée","OK"))))</f>
        <v/>
      </c>
      <c r="J300" s="45" t="n"/>
      <c r="K300" s="46" t="n"/>
      <c r="L300" s="46" t="n"/>
      <c r="M300" s="41">
        <f>IF($C300="","",SUMPRODUCT((PARAMETRES!$B$38:$B$157=PARAMETRES!$C$29)*(PARAMETRES!$C$38:$C$157=2)*(IF(EMPLOYES!M50="5j",PARAMETRES!$I$38:$I$157,PARAMETRES!$H$38:$H$157))))</f>
        <v/>
      </c>
      <c r="N300" s="41">
        <f>IF($C300="","",SUMPRODUCT((O300:AS300="P")+(O300:AS300="F")+(O300:AS300="C")+0.5*(O300:AS300="D"),(1-((O262:AS262=6)*(EMPLOYES!M50="5j")))))</f>
        <v/>
      </c>
      <c r="O300" s="46" t="n"/>
      <c r="P300" s="46" t="n"/>
      <c r="Q300" s="46" t="n"/>
      <c r="R300" s="46" t="n"/>
      <c r="S300" s="46" t="n"/>
      <c r="T300" s="46" t="n"/>
      <c r="U300" s="46" t="n"/>
      <c r="V300" s="46" t="n"/>
      <c r="W300" s="46" t="n"/>
      <c r="X300" s="46" t="n"/>
      <c r="Y300" s="46" t="n"/>
      <c r="Z300" s="46" t="n"/>
      <c r="AA300" s="46" t="n"/>
      <c r="AB300" s="46" t="n"/>
      <c r="AC300" s="46" t="n"/>
      <c r="AD300" s="46" t="n"/>
      <c r="AE300" s="46" t="n"/>
      <c r="AF300" s="46" t="n"/>
      <c r="AG300" s="46" t="n"/>
      <c r="AH300" s="46" t="n"/>
      <c r="AI300" s="46" t="n"/>
      <c r="AJ300" s="46" t="n"/>
      <c r="AK300" s="46" t="n"/>
      <c r="AL300" s="46" t="n"/>
      <c r="AM300" s="46" t="n"/>
      <c r="AN300" s="46" t="n"/>
      <c r="AO300" s="46" t="n"/>
      <c r="AP300" s="46" t="n"/>
      <c r="AQ300" s="46" t="n"/>
      <c r="AR300" s="46" t="n"/>
      <c r="AS300" s="46" t="n"/>
      <c r="AV300" s="36">
        <f>IF($C300="","",EMPLOYES!M50)</f>
        <v/>
      </c>
      <c r="AW300" s="36">
        <f>IF($C300="",0,SUMPRODUCT(--(O300:AS300="C")))</f>
        <v/>
      </c>
      <c r="AX300" s="36">
        <f>IF($C300="",0,SUMPRODUCT(--(O300:AS300="R")))</f>
        <v/>
      </c>
      <c r="AY300" s="44" t="n"/>
    </row>
    <row r="301" hidden="1" outlineLevel="1" ht="15" customHeight="1" s="15">
      <c r="B301" s="41" t="n">
        <v>2</v>
      </c>
      <c r="C301" s="42">
        <f>IF(EMPLOYES!C51="","",EMPLOYES!C51)</f>
        <v/>
      </c>
      <c r="D301" s="43">
        <f>IF(EMPLOYES!C51="","",EMPLOYES!D51)</f>
        <v/>
      </c>
      <c r="E301" s="44" t="n"/>
      <c r="F301" s="42" t="n"/>
      <c r="G301" s="41">
        <f>IF($C301="",0,MAX(0,$M301-$N301))</f>
        <v/>
      </c>
      <c r="H301" s="45" t="n"/>
      <c r="I301" s="41">
        <f>IF($C301="","",IF(H301="","OK",IF(H301&gt;EMPLOYES!P51,"⚠ Avance &gt; salaire",IF(H301&gt;EMPLOYES!P51*PARAMETRES!$C$218,"⚠ Avance élevée","OK"))))</f>
        <v/>
      </c>
      <c r="J301" s="45" t="n"/>
      <c r="K301" s="46" t="n"/>
      <c r="L301" s="46" t="n"/>
      <c r="M301" s="41">
        <f>IF($C301="","",SUMPRODUCT((PARAMETRES!$B$38:$B$157=PARAMETRES!$C$29)*(PARAMETRES!$C$38:$C$157=2)*(IF(EMPLOYES!M51="5j",PARAMETRES!$I$38:$I$157,PARAMETRES!$H$38:$H$157))))</f>
        <v/>
      </c>
      <c r="N301" s="41">
        <f>IF($C301="","",SUMPRODUCT((O301:AS301="P")+(O301:AS301="F")+(O301:AS301="C")+0.5*(O301:AS301="D"),(1-((O262:AS262=6)*(EMPLOYES!M51="5j")))))</f>
        <v/>
      </c>
      <c r="O301" s="46" t="n"/>
      <c r="P301" s="46" t="n"/>
      <c r="Q301" s="46" t="n"/>
      <c r="R301" s="46" t="n"/>
      <c r="S301" s="46" t="n"/>
      <c r="T301" s="46" t="n"/>
      <c r="U301" s="46" t="n"/>
      <c r="V301" s="46" t="n"/>
      <c r="W301" s="46" t="n"/>
      <c r="X301" s="46" t="n"/>
      <c r="Y301" s="46" t="n"/>
      <c r="Z301" s="46" t="n"/>
      <c r="AA301" s="46" t="n"/>
      <c r="AB301" s="46" t="n"/>
      <c r="AC301" s="46" t="n"/>
      <c r="AD301" s="46" t="n"/>
      <c r="AE301" s="46" t="n"/>
      <c r="AF301" s="46" t="n"/>
      <c r="AG301" s="46" t="n"/>
      <c r="AH301" s="46" t="n"/>
      <c r="AI301" s="46" t="n"/>
      <c r="AJ301" s="46" t="n"/>
      <c r="AK301" s="46" t="n"/>
      <c r="AL301" s="46" t="n"/>
      <c r="AM301" s="46" t="n"/>
      <c r="AN301" s="46" t="n"/>
      <c r="AO301" s="46" t="n"/>
      <c r="AP301" s="46" t="n"/>
      <c r="AQ301" s="46" t="n"/>
      <c r="AR301" s="46" t="n"/>
      <c r="AS301" s="46" t="n"/>
      <c r="AV301" s="36">
        <f>IF($C301="","",EMPLOYES!M51)</f>
        <v/>
      </c>
      <c r="AW301" s="36">
        <f>IF($C301="",0,SUMPRODUCT(--(O301:AS301="C")))</f>
        <v/>
      </c>
      <c r="AX301" s="36">
        <f>IF($C301="",0,SUMPRODUCT(--(O301:AS301="R")))</f>
        <v/>
      </c>
      <c r="AY301" s="44" t="n"/>
    </row>
    <row r="302" hidden="1" outlineLevel="1" ht="15" customHeight="1" s="15">
      <c r="B302" s="41" t="n">
        <v>2</v>
      </c>
      <c r="C302" s="42">
        <f>IF(EMPLOYES!C52="","",EMPLOYES!C52)</f>
        <v/>
      </c>
      <c r="D302" s="43">
        <f>IF(EMPLOYES!C52="","",EMPLOYES!D52)</f>
        <v/>
      </c>
      <c r="E302" s="44" t="n"/>
      <c r="F302" s="42" t="n"/>
      <c r="G302" s="41">
        <f>IF($C302="",0,MAX(0,$M302-$N302))</f>
        <v/>
      </c>
      <c r="H302" s="45" t="n"/>
      <c r="I302" s="41">
        <f>IF($C302="","",IF(H302="","OK",IF(H302&gt;EMPLOYES!P52,"⚠ Avance &gt; salaire",IF(H302&gt;EMPLOYES!P52*PARAMETRES!$C$218,"⚠ Avance élevée","OK"))))</f>
        <v/>
      </c>
      <c r="J302" s="45" t="n"/>
      <c r="K302" s="46" t="n"/>
      <c r="L302" s="46" t="n"/>
      <c r="M302" s="41">
        <f>IF($C302="","",SUMPRODUCT((PARAMETRES!$B$38:$B$157=PARAMETRES!$C$29)*(PARAMETRES!$C$38:$C$157=2)*(IF(EMPLOYES!M52="5j",PARAMETRES!$I$38:$I$157,PARAMETRES!$H$38:$H$157))))</f>
        <v/>
      </c>
      <c r="N302" s="41">
        <f>IF($C302="","",SUMPRODUCT((O302:AS302="P")+(O302:AS302="F")+(O302:AS302="C")+0.5*(O302:AS302="D"),(1-((O262:AS262=6)*(EMPLOYES!M52="5j")))))</f>
        <v/>
      </c>
      <c r="O302" s="46" t="n"/>
      <c r="P302" s="46" t="n"/>
      <c r="Q302" s="46" t="n"/>
      <c r="R302" s="46" t="n"/>
      <c r="S302" s="46" t="n"/>
      <c r="T302" s="46" t="n"/>
      <c r="U302" s="46" t="n"/>
      <c r="V302" s="46" t="n"/>
      <c r="W302" s="46" t="n"/>
      <c r="X302" s="46" t="n"/>
      <c r="Y302" s="46" t="n"/>
      <c r="Z302" s="46" t="n"/>
      <c r="AA302" s="46" t="n"/>
      <c r="AB302" s="46" t="n"/>
      <c r="AC302" s="46" t="n"/>
      <c r="AD302" s="46" t="n"/>
      <c r="AE302" s="46" t="n"/>
      <c r="AF302" s="46" t="n"/>
      <c r="AG302" s="46" t="n"/>
      <c r="AH302" s="46" t="n"/>
      <c r="AI302" s="46" t="n"/>
      <c r="AJ302" s="46" t="n"/>
      <c r="AK302" s="46" t="n"/>
      <c r="AL302" s="46" t="n"/>
      <c r="AM302" s="46" t="n"/>
      <c r="AN302" s="46" t="n"/>
      <c r="AO302" s="46" t="n"/>
      <c r="AP302" s="46" t="n"/>
      <c r="AQ302" s="46" t="n"/>
      <c r="AR302" s="46" t="n"/>
      <c r="AS302" s="46" t="n"/>
      <c r="AV302" s="36">
        <f>IF($C302="","",EMPLOYES!M52)</f>
        <v/>
      </c>
      <c r="AW302" s="36">
        <f>IF($C302="",0,SUMPRODUCT(--(O302:AS302="C")))</f>
        <v/>
      </c>
      <c r="AX302" s="36">
        <f>IF($C302="",0,SUMPRODUCT(--(O302:AS302="R")))</f>
        <v/>
      </c>
      <c r="AY302" s="44" t="n"/>
    </row>
    <row r="303" hidden="1" outlineLevel="1" ht="15" customHeight="1" s="15">
      <c r="B303" s="41" t="n">
        <v>2</v>
      </c>
      <c r="C303" s="42">
        <f>IF(EMPLOYES!C53="","",EMPLOYES!C53)</f>
        <v/>
      </c>
      <c r="D303" s="43">
        <f>IF(EMPLOYES!C53="","",EMPLOYES!D53)</f>
        <v/>
      </c>
      <c r="E303" s="44" t="n"/>
      <c r="F303" s="42" t="n"/>
      <c r="G303" s="41">
        <f>IF($C303="",0,MAX(0,$M303-$N303))</f>
        <v/>
      </c>
      <c r="H303" s="45" t="n"/>
      <c r="I303" s="41">
        <f>IF($C303="","",IF(H303="","OK",IF(H303&gt;EMPLOYES!P53,"⚠ Avance &gt; salaire",IF(H303&gt;EMPLOYES!P53*PARAMETRES!$C$218,"⚠ Avance élevée","OK"))))</f>
        <v/>
      </c>
      <c r="J303" s="45" t="n"/>
      <c r="K303" s="46" t="n"/>
      <c r="L303" s="46" t="n"/>
      <c r="M303" s="41">
        <f>IF($C303="","",SUMPRODUCT((PARAMETRES!$B$38:$B$157=PARAMETRES!$C$29)*(PARAMETRES!$C$38:$C$157=2)*(IF(EMPLOYES!M53="5j",PARAMETRES!$I$38:$I$157,PARAMETRES!$H$38:$H$157))))</f>
        <v/>
      </c>
      <c r="N303" s="41">
        <f>IF($C303="","",SUMPRODUCT((O303:AS303="P")+(O303:AS303="F")+(O303:AS303="C")+0.5*(O303:AS303="D"),(1-((O262:AS262=6)*(EMPLOYES!M53="5j")))))</f>
        <v/>
      </c>
      <c r="O303" s="46" t="n"/>
      <c r="P303" s="46" t="n"/>
      <c r="Q303" s="46" t="n"/>
      <c r="R303" s="46" t="n"/>
      <c r="S303" s="46" t="n"/>
      <c r="T303" s="46" t="n"/>
      <c r="U303" s="46" t="n"/>
      <c r="V303" s="46" t="n"/>
      <c r="W303" s="46" t="n"/>
      <c r="X303" s="46" t="n"/>
      <c r="Y303" s="46" t="n"/>
      <c r="Z303" s="46" t="n"/>
      <c r="AA303" s="46" t="n"/>
      <c r="AB303" s="46" t="n"/>
      <c r="AC303" s="46" t="n"/>
      <c r="AD303" s="46" t="n"/>
      <c r="AE303" s="46" t="n"/>
      <c r="AF303" s="46" t="n"/>
      <c r="AG303" s="46" t="n"/>
      <c r="AH303" s="46" t="n"/>
      <c r="AI303" s="46" t="n"/>
      <c r="AJ303" s="46" t="n"/>
      <c r="AK303" s="46" t="n"/>
      <c r="AL303" s="46" t="n"/>
      <c r="AM303" s="46" t="n"/>
      <c r="AN303" s="46" t="n"/>
      <c r="AO303" s="46" t="n"/>
      <c r="AP303" s="46" t="n"/>
      <c r="AQ303" s="46" t="n"/>
      <c r="AR303" s="46" t="n"/>
      <c r="AS303" s="46" t="n"/>
      <c r="AV303" s="36">
        <f>IF($C303="","",EMPLOYES!M53)</f>
        <v/>
      </c>
      <c r="AW303" s="36">
        <f>IF($C303="",0,SUMPRODUCT(--(O303:AS303="C")))</f>
        <v/>
      </c>
      <c r="AX303" s="36">
        <f>IF($C303="",0,SUMPRODUCT(--(O303:AS303="R")))</f>
        <v/>
      </c>
      <c r="AY303" s="44" t="n"/>
    </row>
    <row r="304" hidden="1" outlineLevel="1" ht="15" customHeight="1" s="15">
      <c r="B304" s="41" t="n">
        <v>2</v>
      </c>
      <c r="C304" s="42">
        <f>IF(EMPLOYES!C54="","",EMPLOYES!C54)</f>
        <v/>
      </c>
      <c r="D304" s="43">
        <f>IF(EMPLOYES!C54="","",EMPLOYES!D54)</f>
        <v/>
      </c>
      <c r="E304" s="44" t="n"/>
      <c r="F304" s="42" t="n"/>
      <c r="G304" s="41">
        <f>IF($C304="",0,MAX(0,$M304-$N304))</f>
        <v/>
      </c>
      <c r="H304" s="45" t="n"/>
      <c r="I304" s="41">
        <f>IF($C304="","",IF(H304="","OK",IF(H304&gt;EMPLOYES!P54,"⚠ Avance &gt; salaire",IF(H304&gt;EMPLOYES!P54*PARAMETRES!$C$218,"⚠ Avance élevée","OK"))))</f>
        <v/>
      </c>
      <c r="J304" s="45" t="n"/>
      <c r="K304" s="46" t="n"/>
      <c r="L304" s="46" t="n"/>
      <c r="M304" s="41">
        <f>IF($C304="","",SUMPRODUCT((PARAMETRES!$B$38:$B$157=PARAMETRES!$C$29)*(PARAMETRES!$C$38:$C$157=2)*(IF(EMPLOYES!M54="5j",PARAMETRES!$I$38:$I$157,PARAMETRES!$H$38:$H$157))))</f>
        <v/>
      </c>
      <c r="N304" s="41">
        <f>IF($C304="","",SUMPRODUCT((O304:AS304="P")+(O304:AS304="F")+(O304:AS304="C")+0.5*(O304:AS304="D"),(1-((O262:AS262=6)*(EMPLOYES!M54="5j")))))</f>
        <v/>
      </c>
      <c r="O304" s="46" t="n"/>
      <c r="P304" s="46" t="n"/>
      <c r="Q304" s="46" t="n"/>
      <c r="R304" s="46" t="n"/>
      <c r="S304" s="46" t="n"/>
      <c r="T304" s="46" t="n"/>
      <c r="U304" s="46" t="n"/>
      <c r="V304" s="46" t="n"/>
      <c r="W304" s="46" t="n"/>
      <c r="X304" s="46" t="n"/>
      <c r="Y304" s="46" t="n"/>
      <c r="Z304" s="46" t="n"/>
      <c r="AA304" s="46" t="n"/>
      <c r="AB304" s="46" t="n"/>
      <c r="AC304" s="46" t="n"/>
      <c r="AD304" s="46" t="n"/>
      <c r="AE304" s="46" t="n"/>
      <c r="AF304" s="46" t="n"/>
      <c r="AG304" s="46" t="n"/>
      <c r="AH304" s="46" t="n"/>
      <c r="AI304" s="46" t="n"/>
      <c r="AJ304" s="46" t="n"/>
      <c r="AK304" s="46" t="n"/>
      <c r="AL304" s="46" t="n"/>
      <c r="AM304" s="46" t="n"/>
      <c r="AN304" s="46" t="n"/>
      <c r="AO304" s="46" t="n"/>
      <c r="AP304" s="46" t="n"/>
      <c r="AQ304" s="46" t="n"/>
      <c r="AR304" s="46" t="n"/>
      <c r="AS304" s="46" t="n"/>
      <c r="AV304" s="36">
        <f>IF($C304="","",EMPLOYES!M54)</f>
        <v/>
      </c>
      <c r="AW304" s="36">
        <f>IF($C304="",0,SUMPRODUCT(--(O304:AS304="C")))</f>
        <v/>
      </c>
      <c r="AX304" s="36">
        <f>IF($C304="",0,SUMPRODUCT(--(O304:AS304="R")))</f>
        <v/>
      </c>
      <c r="AY304" s="44" t="n"/>
    </row>
    <row r="305" hidden="1" outlineLevel="1" ht="15" customHeight="1" s="15">
      <c r="B305" s="41" t="n">
        <v>2</v>
      </c>
      <c r="C305" s="42">
        <f>IF(EMPLOYES!C55="","",EMPLOYES!C55)</f>
        <v/>
      </c>
      <c r="D305" s="43">
        <f>IF(EMPLOYES!C55="","",EMPLOYES!D55)</f>
        <v/>
      </c>
      <c r="E305" s="44" t="n"/>
      <c r="F305" s="42" t="n"/>
      <c r="G305" s="41">
        <f>IF($C305="",0,MAX(0,$M305-$N305))</f>
        <v/>
      </c>
      <c r="H305" s="45" t="n"/>
      <c r="I305" s="41">
        <f>IF($C305="","",IF(H305="","OK",IF(H305&gt;EMPLOYES!P55,"⚠ Avance &gt; salaire",IF(H305&gt;EMPLOYES!P55*PARAMETRES!$C$218,"⚠ Avance élevée","OK"))))</f>
        <v/>
      </c>
      <c r="J305" s="45" t="n"/>
      <c r="K305" s="46" t="n"/>
      <c r="L305" s="46" t="n"/>
      <c r="M305" s="41">
        <f>IF($C305="","",SUMPRODUCT((PARAMETRES!$B$38:$B$157=PARAMETRES!$C$29)*(PARAMETRES!$C$38:$C$157=2)*(IF(EMPLOYES!M55="5j",PARAMETRES!$I$38:$I$157,PARAMETRES!$H$38:$H$157))))</f>
        <v/>
      </c>
      <c r="N305" s="41">
        <f>IF($C305="","",SUMPRODUCT((O305:AS305="P")+(O305:AS305="F")+(O305:AS305="C")+0.5*(O305:AS305="D"),(1-((O262:AS262=6)*(EMPLOYES!M55="5j")))))</f>
        <v/>
      </c>
      <c r="O305" s="46" t="n"/>
      <c r="P305" s="46" t="n"/>
      <c r="Q305" s="46" t="n"/>
      <c r="R305" s="46" t="n"/>
      <c r="S305" s="46" t="n"/>
      <c r="T305" s="46" t="n"/>
      <c r="U305" s="46" t="n"/>
      <c r="V305" s="46" t="n"/>
      <c r="W305" s="46" t="n"/>
      <c r="X305" s="46" t="n"/>
      <c r="Y305" s="46" t="n"/>
      <c r="Z305" s="46" t="n"/>
      <c r="AA305" s="46" t="n"/>
      <c r="AB305" s="46" t="n"/>
      <c r="AC305" s="46" t="n"/>
      <c r="AD305" s="46" t="n"/>
      <c r="AE305" s="46" t="n"/>
      <c r="AF305" s="46" t="n"/>
      <c r="AG305" s="46" t="n"/>
      <c r="AH305" s="46" t="n"/>
      <c r="AI305" s="46" t="n"/>
      <c r="AJ305" s="46" t="n"/>
      <c r="AK305" s="46" t="n"/>
      <c r="AL305" s="46" t="n"/>
      <c r="AM305" s="46" t="n"/>
      <c r="AN305" s="46" t="n"/>
      <c r="AO305" s="46" t="n"/>
      <c r="AP305" s="46" t="n"/>
      <c r="AQ305" s="46" t="n"/>
      <c r="AR305" s="46" t="n"/>
      <c r="AS305" s="46" t="n"/>
      <c r="AV305" s="36">
        <f>IF($C305="","",EMPLOYES!M55)</f>
        <v/>
      </c>
      <c r="AW305" s="36">
        <f>IF($C305="",0,SUMPRODUCT(--(O305:AS305="C")))</f>
        <v/>
      </c>
      <c r="AX305" s="36">
        <f>IF($C305="",0,SUMPRODUCT(--(O305:AS305="R")))</f>
        <v/>
      </c>
      <c r="AY305" s="44" t="n"/>
    </row>
    <row r="306" hidden="1" outlineLevel="1" ht="15" customHeight="1" s="15">
      <c r="B306" s="41" t="n">
        <v>2</v>
      </c>
      <c r="C306" s="42">
        <f>IF(EMPLOYES!C56="","",EMPLOYES!C56)</f>
        <v/>
      </c>
      <c r="D306" s="43">
        <f>IF(EMPLOYES!C56="","",EMPLOYES!D56)</f>
        <v/>
      </c>
      <c r="E306" s="44" t="n"/>
      <c r="F306" s="42" t="n"/>
      <c r="G306" s="41">
        <f>IF($C306="",0,MAX(0,$M306-$N306))</f>
        <v/>
      </c>
      <c r="H306" s="45" t="n"/>
      <c r="I306" s="41">
        <f>IF($C306="","",IF(H306="","OK",IF(H306&gt;EMPLOYES!P56,"⚠ Avance &gt; salaire",IF(H306&gt;EMPLOYES!P56*PARAMETRES!$C$218,"⚠ Avance élevée","OK"))))</f>
        <v/>
      </c>
      <c r="J306" s="45" t="n"/>
      <c r="K306" s="46" t="n"/>
      <c r="L306" s="46" t="n"/>
      <c r="M306" s="41">
        <f>IF($C306="","",SUMPRODUCT((PARAMETRES!$B$38:$B$157=PARAMETRES!$C$29)*(PARAMETRES!$C$38:$C$157=2)*(IF(EMPLOYES!M56="5j",PARAMETRES!$I$38:$I$157,PARAMETRES!$H$38:$H$157))))</f>
        <v/>
      </c>
      <c r="N306" s="41">
        <f>IF($C306="","",SUMPRODUCT((O306:AS306="P")+(O306:AS306="F")+(O306:AS306="C")+0.5*(O306:AS306="D"),(1-((O262:AS262=6)*(EMPLOYES!M56="5j")))))</f>
        <v/>
      </c>
      <c r="O306" s="46" t="n"/>
      <c r="P306" s="46" t="n"/>
      <c r="Q306" s="46" t="n"/>
      <c r="R306" s="46" t="n"/>
      <c r="S306" s="46" t="n"/>
      <c r="T306" s="46" t="n"/>
      <c r="U306" s="46" t="n"/>
      <c r="V306" s="46" t="n"/>
      <c r="W306" s="46" t="n"/>
      <c r="X306" s="46" t="n"/>
      <c r="Y306" s="46" t="n"/>
      <c r="Z306" s="46" t="n"/>
      <c r="AA306" s="46" t="n"/>
      <c r="AB306" s="46" t="n"/>
      <c r="AC306" s="46" t="n"/>
      <c r="AD306" s="46" t="n"/>
      <c r="AE306" s="46" t="n"/>
      <c r="AF306" s="46" t="n"/>
      <c r="AG306" s="46" t="n"/>
      <c r="AH306" s="46" t="n"/>
      <c r="AI306" s="46" t="n"/>
      <c r="AJ306" s="46" t="n"/>
      <c r="AK306" s="46" t="n"/>
      <c r="AL306" s="46" t="n"/>
      <c r="AM306" s="46" t="n"/>
      <c r="AN306" s="46" t="n"/>
      <c r="AO306" s="46" t="n"/>
      <c r="AP306" s="46" t="n"/>
      <c r="AQ306" s="46" t="n"/>
      <c r="AR306" s="46" t="n"/>
      <c r="AS306" s="46" t="n"/>
      <c r="AV306" s="36">
        <f>IF($C306="","",EMPLOYES!M56)</f>
        <v/>
      </c>
      <c r="AW306" s="36">
        <f>IF($C306="",0,SUMPRODUCT(--(O306:AS306="C")))</f>
        <v/>
      </c>
      <c r="AX306" s="36">
        <f>IF($C306="",0,SUMPRODUCT(--(O306:AS306="R")))</f>
        <v/>
      </c>
      <c r="AY306" s="44" t="n"/>
    </row>
    <row r="307" hidden="1" outlineLevel="1" ht="15" customHeight="1" s="15">
      <c r="B307" s="41" t="n">
        <v>2</v>
      </c>
      <c r="C307" s="42">
        <f>IF(EMPLOYES!C57="","",EMPLOYES!C57)</f>
        <v/>
      </c>
      <c r="D307" s="43">
        <f>IF(EMPLOYES!C57="","",EMPLOYES!D57)</f>
        <v/>
      </c>
      <c r="E307" s="44" t="n"/>
      <c r="F307" s="42" t="n"/>
      <c r="G307" s="41">
        <f>IF($C307="",0,MAX(0,$M307-$N307))</f>
        <v/>
      </c>
      <c r="H307" s="45" t="n"/>
      <c r="I307" s="41">
        <f>IF($C307="","",IF(H307="","OK",IF(H307&gt;EMPLOYES!P57,"⚠ Avance &gt; salaire",IF(H307&gt;EMPLOYES!P57*PARAMETRES!$C$218,"⚠ Avance élevée","OK"))))</f>
        <v/>
      </c>
      <c r="J307" s="45" t="n"/>
      <c r="K307" s="46" t="n"/>
      <c r="L307" s="46" t="n"/>
      <c r="M307" s="41">
        <f>IF($C307="","",SUMPRODUCT((PARAMETRES!$B$38:$B$157=PARAMETRES!$C$29)*(PARAMETRES!$C$38:$C$157=2)*(IF(EMPLOYES!M57="5j",PARAMETRES!$I$38:$I$157,PARAMETRES!$H$38:$H$157))))</f>
        <v/>
      </c>
      <c r="N307" s="41">
        <f>IF($C307="","",SUMPRODUCT((O307:AS307="P")+(O307:AS307="F")+(O307:AS307="C")+0.5*(O307:AS307="D"),(1-((O262:AS262=6)*(EMPLOYES!M57="5j")))))</f>
        <v/>
      </c>
      <c r="O307" s="46" t="n"/>
      <c r="P307" s="46" t="n"/>
      <c r="Q307" s="46" t="n"/>
      <c r="R307" s="46" t="n"/>
      <c r="S307" s="46" t="n"/>
      <c r="T307" s="46" t="n"/>
      <c r="U307" s="46" t="n"/>
      <c r="V307" s="46" t="n"/>
      <c r="W307" s="46" t="n"/>
      <c r="X307" s="46" t="n"/>
      <c r="Y307" s="46" t="n"/>
      <c r="Z307" s="46" t="n"/>
      <c r="AA307" s="46" t="n"/>
      <c r="AB307" s="46" t="n"/>
      <c r="AC307" s="46" t="n"/>
      <c r="AD307" s="46" t="n"/>
      <c r="AE307" s="46" t="n"/>
      <c r="AF307" s="46" t="n"/>
      <c r="AG307" s="46" t="n"/>
      <c r="AH307" s="46" t="n"/>
      <c r="AI307" s="46" t="n"/>
      <c r="AJ307" s="46" t="n"/>
      <c r="AK307" s="46" t="n"/>
      <c r="AL307" s="46" t="n"/>
      <c r="AM307" s="46" t="n"/>
      <c r="AN307" s="46" t="n"/>
      <c r="AO307" s="46" t="n"/>
      <c r="AP307" s="46" t="n"/>
      <c r="AQ307" s="46" t="n"/>
      <c r="AR307" s="46" t="n"/>
      <c r="AS307" s="46" t="n"/>
      <c r="AV307" s="36">
        <f>IF($C307="","",EMPLOYES!M57)</f>
        <v/>
      </c>
      <c r="AW307" s="36">
        <f>IF($C307="",0,SUMPRODUCT(--(O307:AS307="C")))</f>
        <v/>
      </c>
      <c r="AX307" s="36">
        <f>IF($C307="",0,SUMPRODUCT(--(O307:AS307="R")))</f>
        <v/>
      </c>
      <c r="AY307" s="44" t="n"/>
    </row>
    <row r="308" hidden="1" outlineLevel="1" ht="15" customHeight="1" s="15">
      <c r="B308" s="41" t="n">
        <v>2</v>
      </c>
      <c r="C308" s="42">
        <f>IF(EMPLOYES!C58="","",EMPLOYES!C58)</f>
        <v/>
      </c>
      <c r="D308" s="43">
        <f>IF(EMPLOYES!C58="","",EMPLOYES!D58)</f>
        <v/>
      </c>
      <c r="E308" s="44" t="n"/>
      <c r="F308" s="42" t="n"/>
      <c r="G308" s="41">
        <f>IF($C308="",0,MAX(0,$M308-$N308))</f>
        <v/>
      </c>
      <c r="H308" s="45" t="n"/>
      <c r="I308" s="41">
        <f>IF($C308="","",IF(H308="","OK",IF(H308&gt;EMPLOYES!P58,"⚠ Avance &gt; salaire",IF(H308&gt;EMPLOYES!P58*PARAMETRES!$C$218,"⚠ Avance élevée","OK"))))</f>
        <v/>
      </c>
      <c r="J308" s="45" t="n"/>
      <c r="K308" s="46" t="n"/>
      <c r="L308" s="46" t="n"/>
      <c r="M308" s="41">
        <f>IF($C308="","",SUMPRODUCT((PARAMETRES!$B$38:$B$157=PARAMETRES!$C$29)*(PARAMETRES!$C$38:$C$157=2)*(IF(EMPLOYES!M58="5j",PARAMETRES!$I$38:$I$157,PARAMETRES!$H$38:$H$157))))</f>
        <v/>
      </c>
      <c r="N308" s="41">
        <f>IF($C308="","",SUMPRODUCT((O308:AS308="P")+(O308:AS308="F")+(O308:AS308="C")+0.5*(O308:AS308="D"),(1-((O262:AS262=6)*(EMPLOYES!M58="5j")))))</f>
        <v/>
      </c>
      <c r="O308" s="46" t="n"/>
      <c r="P308" s="46" t="n"/>
      <c r="Q308" s="46" t="n"/>
      <c r="R308" s="46" t="n"/>
      <c r="S308" s="46" t="n"/>
      <c r="T308" s="46" t="n"/>
      <c r="U308" s="46" t="n"/>
      <c r="V308" s="46" t="n"/>
      <c r="W308" s="46" t="n"/>
      <c r="X308" s="46" t="n"/>
      <c r="Y308" s="46" t="n"/>
      <c r="Z308" s="46" t="n"/>
      <c r="AA308" s="46" t="n"/>
      <c r="AB308" s="46" t="n"/>
      <c r="AC308" s="46" t="n"/>
      <c r="AD308" s="46" t="n"/>
      <c r="AE308" s="46" t="n"/>
      <c r="AF308" s="46" t="n"/>
      <c r="AG308" s="46" t="n"/>
      <c r="AH308" s="46" t="n"/>
      <c r="AI308" s="46" t="n"/>
      <c r="AJ308" s="46" t="n"/>
      <c r="AK308" s="46" t="n"/>
      <c r="AL308" s="46" t="n"/>
      <c r="AM308" s="46" t="n"/>
      <c r="AN308" s="46" t="n"/>
      <c r="AO308" s="46" t="n"/>
      <c r="AP308" s="46" t="n"/>
      <c r="AQ308" s="46" t="n"/>
      <c r="AR308" s="46" t="n"/>
      <c r="AS308" s="46" t="n"/>
      <c r="AV308" s="36">
        <f>IF($C308="","",EMPLOYES!M58)</f>
        <v/>
      </c>
      <c r="AW308" s="36">
        <f>IF($C308="",0,SUMPRODUCT(--(O308:AS308="C")))</f>
        <v/>
      </c>
      <c r="AX308" s="36">
        <f>IF($C308="",0,SUMPRODUCT(--(O308:AS308="R")))</f>
        <v/>
      </c>
      <c r="AY308" s="44" t="n"/>
    </row>
    <row r="309" hidden="1" outlineLevel="1" ht="15" customHeight="1" s="15">
      <c r="B309" s="41" t="n">
        <v>2</v>
      </c>
      <c r="C309" s="42">
        <f>IF(EMPLOYES!C59="","",EMPLOYES!C59)</f>
        <v/>
      </c>
      <c r="D309" s="43">
        <f>IF(EMPLOYES!C59="","",EMPLOYES!D59)</f>
        <v/>
      </c>
      <c r="E309" s="44" t="n"/>
      <c r="F309" s="42" t="n"/>
      <c r="G309" s="41">
        <f>IF($C309="",0,MAX(0,$M309-$N309))</f>
        <v/>
      </c>
      <c r="H309" s="45" t="n"/>
      <c r="I309" s="41">
        <f>IF($C309="","",IF(H309="","OK",IF(H309&gt;EMPLOYES!P59,"⚠ Avance &gt; salaire",IF(H309&gt;EMPLOYES!P59*PARAMETRES!$C$218,"⚠ Avance élevée","OK"))))</f>
        <v/>
      </c>
      <c r="J309" s="45" t="n"/>
      <c r="K309" s="46" t="n"/>
      <c r="L309" s="46" t="n"/>
      <c r="M309" s="41">
        <f>IF($C309="","",SUMPRODUCT((PARAMETRES!$B$38:$B$157=PARAMETRES!$C$29)*(PARAMETRES!$C$38:$C$157=2)*(IF(EMPLOYES!M59="5j",PARAMETRES!$I$38:$I$157,PARAMETRES!$H$38:$H$157))))</f>
        <v/>
      </c>
      <c r="N309" s="41">
        <f>IF($C309="","",SUMPRODUCT((O309:AS309="P")+(O309:AS309="F")+(O309:AS309="C")+0.5*(O309:AS309="D"),(1-((O262:AS262=6)*(EMPLOYES!M59="5j")))))</f>
        <v/>
      </c>
      <c r="O309" s="46" t="n"/>
      <c r="P309" s="46" t="n"/>
      <c r="Q309" s="46" t="n"/>
      <c r="R309" s="46" t="n"/>
      <c r="S309" s="46" t="n"/>
      <c r="T309" s="46" t="n"/>
      <c r="U309" s="46" t="n"/>
      <c r="V309" s="46" t="n"/>
      <c r="W309" s="46" t="n"/>
      <c r="X309" s="46" t="n"/>
      <c r="Y309" s="46" t="n"/>
      <c r="Z309" s="46" t="n"/>
      <c r="AA309" s="46" t="n"/>
      <c r="AB309" s="46" t="n"/>
      <c r="AC309" s="46" t="n"/>
      <c r="AD309" s="46" t="n"/>
      <c r="AE309" s="46" t="n"/>
      <c r="AF309" s="46" t="n"/>
      <c r="AG309" s="46" t="n"/>
      <c r="AH309" s="46" t="n"/>
      <c r="AI309" s="46" t="n"/>
      <c r="AJ309" s="46" t="n"/>
      <c r="AK309" s="46" t="n"/>
      <c r="AL309" s="46" t="n"/>
      <c r="AM309" s="46" t="n"/>
      <c r="AN309" s="46" t="n"/>
      <c r="AO309" s="46" t="n"/>
      <c r="AP309" s="46" t="n"/>
      <c r="AQ309" s="46" t="n"/>
      <c r="AR309" s="46" t="n"/>
      <c r="AS309" s="46" t="n"/>
      <c r="AV309" s="36">
        <f>IF($C309="","",EMPLOYES!M59)</f>
        <v/>
      </c>
      <c r="AW309" s="36">
        <f>IF($C309="",0,SUMPRODUCT(--(O309:AS309="C")))</f>
        <v/>
      </c>
      <c r="AX309" s="36">
        <f>IF($C309="",0,SUMPRODUCT(--(O309:AS309="R")))</f>
        <v/>
      </c>
      <c r="AY309" s="44" t="n"/>
    </row>
    <row r="310" hidden="1" outlineLevel="1" ht="15" customHeight="1" s="15">
      <c r="B310" s="41" t="n">
        <v>2</v>
      </c>
      <c r="C310" s="42">
        <f>IF(EMPLOYES!C60="","",EMPLOYES!C60)</f>
        <v/>
      </c>
      <c r="D310" s="43">
        <f>IF(EMPLOYES!C60="","",EMPLOYES!D60)</f>
        <v/>
      </c>
      <c r="E310" s="44" t="n"/>
      <c r="F310" s="42" t="n"/>
      <c r="G310" s="41">
        <f>IF($C310="",0,MAX(0,$M310-$N310))</f>
        <v/>
      </c>
      <c r="H310" s="45" t="n"/>
      <c r="I310" s="41">
        <f>IF($C310="","",IF(H310="","OK",IF(H310&gt;EMPLOYES!P60,"⚠ Avance &gt; salaire",IF(H310&gt;EMPLOYES!P60*PARAMETRES!$C$218,"⚠ Avance élevée","OK"))))</f>
        <v/>
      </c>
      <c r="J310" s="45" t="n"/>
      <c r="K310" s="46" t="n"/>
      <c r="L310" s="46" t="n"/>
      <c r="M310" s="41">
        <f>IF($C310="","",SUMPRODUCT((PARAMETRES!$B$38:$B$157=PARAMETRES!$C$29)*(PARAMETRES!$C$38:$C$157=2)*(IF(EMPLOYES!M60="5j",PARAMETRES!$I$38:$I$157,PARAMETRES!$H$38:$H$157))))</f>
        <v/>
      </c>
      <c r="N310" s="41">
        <f>IF($C310="","",SUMPRODUCT((O310:AS310="P")+(O310:AS310="F")+(O310:AS310="C")+0.5*(O310:AS310="D"),(1-((O262:AS262=6)*(EMPLOYES!M60="5j")))))</f>
        <v/>
      </c>
      <c r="O310" s="46" t="n"/>
      <c r="P310" s="46" t="n"/>
      <c r="Q310" s="46" t="n"/>
      <c r="R310" s="46" t="n"/>
      <c r="S310" s="46" t="n"/>
      <c r="T310" s="46" t="n"/>
      <c r="U310" s="46" t="n"/>
      <c r="V310" s="46" t="n"/>
      <c r="W310" s="46" t="n"/>
      <c r="X310" s="46" t="n"/>
      <c r="Y310" s="46" t="n"/>
      <c r="Z310" s="46" t="n"/>
      <c r="AA310" s="46" t="n"/>
      <c r="AB310" s="46" t="n"/>
      <c r="AC310" s="46" t="n"/>
      <c r="AD310" s="46" t="n"/>
      <c r="AE310" s="46" t="n"/>
      <c r="AF310" s="46" t="n"/>
      <c r="AG310" s="46" t="n"/>
      <c r="AH310" s="46" t="n"/>
      <c r="AI310" s="46" t="n"/>
      <c r="AJ310" s="46" t="n"/>
      <c r="AK310" s="46" t="n"/>
      <c r="AL310" s="46" t="n"/>
      <c r="AM310" s="46" t="n"/>
      <c r="AN310" s="46" t="n"/>
      <c r="AO310" s="46" t="n"/>
      <c r="AP310" s="46" t="n"/>
      <c r="AQ310" s="46" t="n"/>
      <c r="AR310" s="46" t="n"/>
      <c r="AS310" s="46" t="n"/>
      <c r="AV310" s="36">
        <f>IF($C310="","",EMPLOYES!M60)</f>
        <v/>
      </c>
      <c r="AW310" s="36">
        <f>IF($C310="",0,SUMPRODUCT(--(O310:AS310="C")))</f>
        <v/>
      </c>
      <c r="AX310" s="36">
        <f>IF($C310="",0,SUMPRODUCT(--(O310:AS310="R")))</f>
        <v/>
      </c>
      <c r="AY310" s="44" t="n"/>
    </row>
    <row r="311" hidden="1" outlineLevel="1" ht="15" customHeight="1" s="15">
      <c r="B311" s="41" t="n">
        <v>2</v>
      </c>
      <c r="C311" s="42">
        <f>IF(EMPLOYES!C61="","",EMPLOYES!C61)</f>
        <v/>
      </c>
      <c r="D311" s="43">
        <f>IF(EMPLOYES!C61="","",EMPLOYES!D61)</f>
        <v/>
      </c>
      <c r="E311" s="44" t="n"/>
      <c r="F311" s="42" t="n"/>
      <c r="G311" s="41">
        <f>IF($C311="",0,MAX(0,$M311-$N311))</f>
        <v/>
      </c>
      <c r="H311" s="45" t="n"/>
      <c r="I311" s="41">
        <f>IF($C311="","",IF(H311="","OK",IF(H311&gt;EMPLOYES!P61,"⚠ Avance &gt; salaire",IF(H311&gt;EMPLOYES!P61*PARAMETRES!$C$218,"⚠ Avance élevée","OK"))))</f>
        <v/>
      </c>
      <c r="J311" s="45" t="n"/>
      <c r="K311" s="46" t="n"/>
      <c r="L311" s="46" t="n"/>
      <c r="M311" s="41">
        <f>IF($C311="","",SUMPRODUCT((PARAMETRES!$B$38:$B$157=PARAMETRES!$C$29)*(PARAMETRES!$C$38:$C$157=2)*(IF(EMPLOYES!M61="5j",PARAMETRES!$I$38:$I$157,PARAMETRES!$H$38:$H$157))))</f>
        <v/>
      </c>
      <c r="N311" s="41">
        <f>IF($C311="","",SUMPRODUCT((O311:AS311="P")+(O311:AS311="F")+(O311:AS311="C")+0.5*(O311:AS311="D"),(1-((O262:AS262=6)*(EMPLOYES!M61="5j")))))</f>
        <v/>
      </c>
      <c r="O311" s="46" t="n"/>
      <c r="P311" s="46" t="n"/>
      <c r="Q311" s="46" t="n"/>
      <c r="R311" s="46" t="n"/>
      <c r="S311" s="46" t="n"/>
      <c r="T311" s="46" t="n"/>
      <c r="U311" s="46" t="n"/>
      <c r="V311" s="46" t="n"/>
      <c r="W311" s="46" t="n"/>
      <c r="X311" s="46" t="n"/>
      <c r="Y311" s="46" t="n"/>
      <c r="Z311" s="46" t="n"/>
      <c r="AA311" s="46" t="n"/>
      <c r="AB311" s="46" t="n"/>
      <c r="AC311" s="46" t="n"/>
      <c r="AD311" s="46" t="n"/>
      <c r="AE311" s="46" t="n"/>
      <c r="AF311" s="46" t="n"/>
      <c r="AG311" s="46" t="n"/>
      <c r="AH311" s="46" t="n"/>
      <c r="AI311" s="46" t="n"/>
      <c r="AJ311" s="46" t="n"/>
      <c r="AK311" s="46" t="n"/>
      <c r="AL311" s="46" t="n"/>
      <c r="AM311" s="46" t="n"/>
      <c r="AN311" s="46" t="n"/>
      <c r="AO311" s="46" t="n"/>
      <c r="AP311" s="46" t="n"/>
      <c r="AQ311" s="46" t="n"/>
      <c r="AR311" s="46" t="n"/>
      <c r="AS311" s="46" t="n"/>
      <c r="AV311" s="36">
        <f>IF($C311="","",EMPLOYES!M61)</f>
        <v/>
      </c>
      <c r="AW311" s="36">
        <f>IF($C311="",0,SUMPRODUCT(--(O311:AS311="C")))</f>
        <v/>
      </c>
      <c r="AX311" s="36">
        <f>IF($C311="",0,SUMPRODUCT(--(O311:AS311="R")))</f>
        <v/>
      </c>
      <c r="AY311" s="44" t="n"/>
    </row>
    <row r="312" hidden="1" outlineLevel="1" ht="15" customHeight="1" s="15">
      <c r="B312" s="41" t="n">
        <v>2</v>
      </c>
      <c r="C312" s="42">
        <f>IF(EMPLOYES!C62="","",EMPLOYES!C62)</f>
        <v/>
      </c>
      <c r="D312" s="43">
        <f>IF(EMPLOYES!C62="","",EMPLOYES!D62)</f>
        <v/>
      </c>
      <c r="E312" s="44" t="n"/>
      <c r="F312" s="42" t="n"/>
      <c r="G312" s="41">
        <f>IF($C312="",0,MAX(0,$M312-$N312))</f>
        <v/>
      </c>
      <c r="H312" s="45" t="n"/>
      <c r="I312" s="41">
        <f>IF($C312="","",IF(H312="","OK",IF(H312&gt;EMPLOYES!P62,"⚠ Avance &gt; salaire",IF(H312&gt;EMPLOYES!P62*PARAMETRES!$C$218,"⚠ Avance élevée","OK"))))</f>
        <v/>
      </c>
      <c r="J312" s="45" t="n"/>
      <c r="K312" s="46" t="n"/>
      <c r="L312" s="46" t="n"/>
      <c r="M312" s="41">
        <f>IF($C312="","",SUMPRODUCT((PARAMETRES!$B$38:$B$157=PARAMETRES!$C$29)*(PARAMETRES!$C$38:$C$157=2)*(IF(EMPLOYES!M62="5j",PARAMETRES!$I$38:$I$157,PARAMETRES!$H$38:$H$157))))</f>
        <v/>
      </c>
      <c r="N312" s="41">
        <f>IF($C312="","",SUMPRODUCT((O312:AS312="P")+(O312:AS312="F")+(O312:AS312="C")+0.5*(O312:AS312="D"),(1-((O262:AS262=6)*(EMPLOYES!M62="5j")))))</f>
        <v/>
      </c>
      <c r="O312" s="46" t="n"/>
      <c r="P312" s="46" t="n"/>
      <c r="Q312" s="46" t="n"/>
      <c r="R312" s="46" t="n"/>
      <c r="S312" s="46" t="n"/>
      <c r="T312" s="46" t="n"/>
      <c r="U312" s="46" t="n"/>
      <c r="V312" s="46" t="n"/>
      <c r="W312" s="46" t="n"/>
      <c r="X312" s="46" t="n"/>
      <c r="Y312" s="46" t="n"/>
      <c r="Z312" s="46" t="n"/>
      <c r="AA312" s="46" t="n"/>
      <c r="AB312" s="46" t="n"/>
      <c r="AC312" s="46" t="n"/>
      <c r="AD312" s="46" t="n"/>
      <c r="AE312" s="46" t="n"/>
      <c r="AF312" s="46" t="n"/>
      <c r="AG312" s="46" t="n"/>
      <c r="AH312" s="46" t="n"/>
      <c r="AI312" s="46" t="n"/>
      <c r="AJ312" s="46" t="n"/>
      <c r="AK312" s="46" t="n"/>
      <c r="AL312" s="46" t="n"/>
      <c r="AM312" s="46" t="n"/>
      <c r="AN312" s="46" t="n"/>
      <c r="AO312" s="46" t="n"/>
      <c r="AP312" s="46" t="n"/>
      <c r="AQ312" s="46" t="n"/>
      <c r="AR312" s="46" t="n"/>
      <c r="AS312" s="46" t="n"/>
      <c r="AV312" s="36">
        <f>IF($C312="","",EMPLOYES!M62)</f>
        <v/>
      </c>
      <c r="AW312" s="36">
        <f>IF($C312="",0,SUMPRODUCT(--(O312:AS312="C")))</f>
        <v/>
      </c>
      <c r="AX312" s="36">
        <f>IF($C312="",0,SUMPRODUCT(--(O312:AS312="R")))</f>
        <v/>
      </c>
      <c r="AY312" s="44" t="n"/>
    </row>
    <row r="313" hidden="1" outlineLevel="1" ht="15" customHeight="1" s="15">
      <c r="B313" s="41" t="n">
        <v>2</v>
      </c>
      <c r="C313" s="42">
        <f>IF(EMPLOYES!C63="","",EMPLOYES!C63)</f>
        <v/>
      </c>
      <c r="D313" s="43">
        <f>IF(EMPLOYES!C63="","",EMPLOYES!D63)</f>
        <v/>
      </c>
      <c r="E313" s="44" t="n"/>
      <c r="F313" s="42" t="n"/>
      <c r="G313" s="41">
        <f>IF($C313="",0,MAX(0,$M313-$N313))</f>
        <v/>
      </c>
      <c r="H313" s="45" t="n"/>
      <c r="I313" s="41">
        <f>IF($C313="","",IF(H313="","OK",IF(H313&gt;EMPLOYES!P63,"⚠ Avance &gt; salaire",IF(H313&gt;EMPLOYES!P63*PARAMETRES!$C$218,"⚠ Avance élevée","OK"))))</f>
        <v/>
      </c>
      <c r="J313" s="45" t="n"/>
      <c r="K313" s="46" t="n"/>
      <c r="L313" s="46" t="n"/>
      <c r="M313" s="41">
        <f>IF($C313="","",SUMPRODUCT((PARAMETRES!$B$38:$B$157=PARAMETRES!$C$29)*(PARAMETRES!$C$38:$C$157=2)*(IF(EMPLOYES!M63="5j",PARAMETRES!$I$38:$I$157,PARAMETRES!$H$38:$H$157))))</f>
        <v/>
      </c>
      <c r="N313" s="41">
        <f>IF($C313="","",SUMPRODUCT((O313:AS313="P")+(O313:AS313="F")+(O313:AS313="C")+0.5*(O313:AS313="D"),(1-((O262:AS262=6)*(EMPLOYES!M63="5j")))))</f>
        <v/>
      </c>
      <c r="O313" s="46" t="n"/>
      <c r="P313" s="46" t="n"/>
      <c r="Q313" s="46" t="n"/>
      <c r="R313" s="46" t="n"/>
      <c r="S313" s="46" t="n"/>
      <c r="T313" s="46" t="n"/>
      <c r="U313" s="46" t="n"/>
      <c r="V313" s="46" t="n"/>
      <c r="W313" s="46" t="n"/>
      <c r="X313" s="46" t="n"/>
      <c r="Y313" s="46" t="n"/>
      <c r="Z313" s="46" t="n"/>
      <c r="AA313" s="46" t="n"/>
      <c r="AB313" s="46" t="n"/>
      <c r="AC313" s="46" t="n"/>
      <c r="AD313" s="46" t="n"/>
      <c r="AE313" s="46" t="n"/>
      <c r="AF313" s="46" t="n"/>
      <c r="AG313" s="46" t="n"/>
      <c r="AH313" s="46" t="n"/>
      <c r="AI313" s="46" t="n"/>
      <c r="AJ313" s="46" t="n"/>
      <c r="AK313" s="46" t="n"/>
      <c r="AL313" s="46" t="n"/>
      <c r="AM313" s="46" t="n"/>
      <c r="AN313" s="46" t="n"/>
      <c r="AO313" s="46" t="n"/>
      <c r="AP313" s="46" t="n"/>
      <c r="AQ313" s="46" t="n"/>
      <c r="AR313" s="46" t="n"/>
      <c r="AS313" s="46" t="n"/>
      <c r="AV313" s="36">
        <f>IF($C313="","",EMPLOYES!M63)</f>
        <v/>
      </c>
      <c r="AW313" s="36">
        <f>IF($C313="",0,SUMPRODUCT(--(O313:AS313="C")))</f>
        <v/>
      </c>
      <c r="AX313" s="36">
        <f>IF($C313="",0,SUMPRODUCT(--(O313:AS313="R")))</f>
        <v/>
      </c>
      <c r="AY313" s="44" t="n"/>
    </row>
    <row r="314" hidden="1" outlineLevel="1" ht="15" customHeight="1" s="15">
      <c r="B314" s="41" t="n">
        <v>2</v>
      </c>
      <c r="C314" s="42">
        <f>IF(EMPLOYES!C64="","",EMPLOYES!C64)</f>
        <v/>
      </c>
      <c r="D314" s="43">
        <f>IF(EMPLOYES!C64="","",EMPLOYES!D64)</f>
        <v/>
      </c>
      <c r="E314" s="44" t="n"/>
      <c r="F314" s="42" t="n"/>
      <c r="G314" s="41">
        <f>IF($C314="",0,MAX(0,$M314-$N314))</f>
        <v/>
      </c>
      <c r="H314" s="45" t="n"/>
      <c r="I314" s="41">
        <f>IF($C314="","",IF(H314="","OK",IF(H314&gt;EMPLOYES!P64,"⚠ Avance &gt; salaire",IF(H314&gt;EMPLOYES!P64*PARAMETRES!$C$218,"⚠ Avance élevée","OK"))))</f>
        <v/>
      </c>
      <c r="J314" s="45" t="n"/>
      <c r="K314" s="46" t="n"/>
      <c r="L314" s="46" t="n"/>
      <c r="M314" s="41">
        <f>IF($C314="","",SUMPRODUCT((PARAMETRES!$B$38:$B$157=PARAMETRES!$C$29)*(PARAMETRES!$C$38:$C$157=2)*(IF(EMPLOYES!M64="5j",PARAMETRES!$I$38:$I$157,PARAMETRES!$H$38:$H$157))))</f>
        <v/>
      </c>
      <c r="N314" s="41">
        <f>IF($C314="","",SUMPRODUCT((O314:AS314="P")+(O314:AS314="F")+(O314:AS314="C")+0.5*(O314:AS314="D"),(1-((O262:AS262=6)*(EMPLOYES!M64="5j")))))</f>
        <v/>
      </c>
      <c r="O314" s="46" t="n"/>
      <c r="P314" s="46" t="n"/>
      <c r="Q314" s="46" t="n"/>
      <c r="R314" s="46" t="n"/>
      <c r="S314" s="46" t="n"/>
      <c r="T314" s="46" t="n"/>
      <c r="U314" s="46" t="n"/>
      <c r="V314" s="46" t="n"/>
      <c r="W314" s="46" t="n"/>
      <c r="X314" s="46" t="n"/>
      <c r="Y314" s="46" t="n"/>
      <c r="Z314" s="46" t="n"/>
      <c r="AA314" s="46" t="n"/>
      <c r="AB314" s="46" t="n"/>
      <c r="AC314" s="46" t="n"/>
      <c r="AD314" s="46" t="n"/>
      <c r="AE314" s="46" t="n"/>
      <c r="AF314" s="46" t="n"/>
      <c r="AG314" s="46" t="n"/>
      <c r="AH314" s="46" t="n"/>
      <c r="AI314" s="46" t="n"/>
      <c r="AJ314" s="46" t="n"/>
      <c r="AK314" s="46" t="n"/>
      <c r="AL314" s="46" t="n"/>
      <c r="AM314" s="46" t="n"/>
      <c r="AN314" s="46" t="n"/>
      <c r="AO314" s="46" t="n"/>
      <c r="AP314" s="46" t="n"/>
      <c r="AQ314" s="46" t="n"/>
      <c r="AR314" s="46" t="n"/>
      <c r="AS314" s="46" t="n"/>
      <c r="AV314" s="36">
        <f>IF($C314="","",EMPLOYES!M64)</f>
        <v/>
      </c>
      <c r="AW314" s="36">
        <f>IF($C314="",0,SUMPRODUCT(--(O314:AS314="C")))</f>
        <v/>
      </c>
      <c r="AX314" s="36">
        <f>IF($C314="",0,SUMPRODUCT(--(O314:AS314="R")))</f>
        <v/>
      </c>
      <c r="AY314" s="44" t="n"/>
    </row>
    <row r="315" hidden="1" outlineLevel="1" ht="15" customHeight="1" s="15">
      <c r="B315" s="41" t="n">
        <v>2</v>
      </c>
      <c r="C315" s="42">
        <f>IF(EMPLOYES!C65="","",EMPLOYES!C65)</f>
        <v/>
      </c>
      <c r="D315" s="43">
        <f>IF(EMPLOYES!C65="","",EMPLOYES!D65)</f>
        <v/>
      </c>
      <c r="E315" s="44" t="n"/>
      <c r="F315" s="42" t="n"/>
      <c r="G315" s="41">
        <f>IF($C315="",0,MAX(0,$M315-$N315))</f>
        <v/>
      </c>
      <c r="H315" s="45" t="n"/>
      <c r="I315" s="41">
        <f>IF($C315="","",IF(H315="","OK",IF(H315&gt;EMPLOYES!P65,"⚠ Avance &gt; salaire",IF(H315&gt;EMPLOYES!P65*PARAMETRES!$C$218,"⚠ Avance élevée","OK"))))</f>
        <v/>
      </c>
      <c r="J315" s="45" t="n"/>
      <c r="K315" s="46" t="n"/>
      <c r="L315" s="46" t="n"/>
      <c r="M315" s="41">
        <f>IF($C315="","",SUMPRODUCT((PARAMETRES!$B$38:$B$157=PARAMETRES!$C$29)*(PARAMETRES!$C$38:$C$157=2)*(IF(EMPLOYES!M65="5j",PARAMETRES!$I$38:$I$157,PARAMETRES!$H$38:$H$157))))</f>
        <v/>
      </c>
      <c r="N315" s="41">
        <f>IF($C315="","",SUMPRODUCT((O315:AS315="P")+(O315:AS315="F")+(O315:AS315="C")+0.5*(O315:AS315="D"),(1-((O262:AS262=6)*(EMPLOYES!M65="5j")))))</f>
        <v/>
      </c>
      <c r="O315" s="46" t="n"/>
      <c r="P315" s="46" t="n"/>
      <c r="Q315" s="46" t="n"/>
      <c r="R315" s="46" t="n"/>
      <c r="S315" s="46" t="n"/>
      <c r="T315" s="46" t="n"/>
      <c r="U315" s="46" t="n"/>
      <c r="V315" s="46" t="n"/>
      <c r="W315" s="46" t="n"/>
      <c r="X315" s="46" t="n"/>
      <c r="Y315" s="46" t="n"/>
      <c r="Z315" s="46" t="n"/>
      <c r="AA315" s="46" t="n"/>
      <c r="AB315" s="46" t="n"/>
      <c r="AC315" s="46" t="n"/>
      <c r="AD315" s="46" t="n"/>
      <c r="AE315" s="46" t="n"/>
      <c r="AF315" s="46" t="n"/>
      <c r="AG315" s="46" t="n"/>
      <c r="AH315" s="46" t="n"/>
      <c r="AI315" s="46" t="n"/>
      <c r="AJ315" s="46" t="n"/>
      <c r="AK315" s="46" t="n"/>
      <c r="AL315" s="46" t="n"/>
      <c r="AM315" s="46" t="n"/>
      <c r="AN315" s="46" t="n"/>
      <c r="AO315" s="46" t="n"/>
      <c r="AP315" s="46" t="n"/>
      <c r="AQ315" s="46" t="n"/>
      <c r="AR315" s="46" t="n"/>
      <c r="AS315" s="46" t="n"/>
      <c r="AV315" s="36">
        <f>IF($C315="","",EMPLOYES!M65)</f>
        <v/>
      </c>
      <c r="AW315" s="36">
        <f>IF($C315="",0,SUMPRODUCT(--(O315:AS315="C")))</f>
        <v/>
      </c>
      <c r="AX315" s="36">
        <f>IF($C315="",0,SUMPRODUCT(--(O315:AS315="R")))</f>
        <v/>
      </c>
      <c r="AY315" s="44" t="n"/>
    </row>
    <row r="316" hidden="1" outlineLevel="1" ht="15" customHeight="1" s="15">
      <c r="B316" s="41" t="n">
        <v>2</v>
      </c>
      <c r="C316" s="42">
        <f>IF(EMPLOYES!C66="","",EMPLOYES!C66)</f>
        <v/>
      </c>
      <c r="D316" s="43">
        <f>IF(EMPLOYES!C66="","",EMPLOYES!D66)</f>
        <v/>
      </c>
      <c r="E316" s="44" t="n"/>
      <c r="F316" s="42" t="n"/>
      <c r="G316" s="41">
        <f>IF($C316="",0,MAX(0,$M316-$N316))</f>
        <v/>
      </c>
      <c r="H316" s="45" t="n"/>
      <c r="I316" s="41">
        <f>IF($C316="","",IF(H316="","OK",IF(H316&gt;EMPLOYES!P66,"⚠ Avance &gt; salaire",IF(H316&gt;EMPLOYES!P66*PARAMETRES!$C$218,"⚠ Avance élevée","OK"))))</f>
        <v/>
      </c>
      <c r="J316" s="45" t="n"/>
      <c r="K316" s="46" t="n"/>
      <c r="L316" s="46" t="n"/>
      <c r="M316" s="41">
        <f>IF($C316="","",SUMPRODUCT((PARAMETRES!$B$38:$B$157=PARAMETRES!$C$29)*(PARAMETRES!$C$38:$C$157=2)*(IF(EMPLOYES!M66="5j",PARAMETRES!$I$38:$I$157,PARAMETRES!$H$38:$H$157))))</f>
        <v/>
      </c>
      <c r="N316" s="41">
        <f>IF($C316="","",SUMPRODUCT((O316:AS316="P")+(O316:AS316="F")+(O316:AS316="C")+0.5*(O316:AS316="D"),(1-((O262:AS262=6)*(EMPLOYES!M66="5j")))))</f>
        <v/>
      </c>
      <c r="O316" s="46" t="n"/>
      <c r="P316" s="46" t="n"/>
      <c r="Q316" s="46" t="n"/>
      <c r="R316" s="46" t="n"/>
      <c r="S316" s="46" t="n"/>
      <c r="T316" s="46" t="n"/>
      <c r="U316" s="46" t="n"/>
      <c r="V316" s="46" t="n"/>
      <c r="W316" s="46" t="n"/>
      <c r="X316" s="46" t="n"/>
      <c r="Y316" s="46" t="n"/>
      <c r="Z316" s="46" t="n"/>
      <c r="AA316" s="46" t="n"/>
      <c r="AB316" s="46" t="n"/>
      <c r="AC316" s="46" t="n"/>
      <c r="AD316" s="46" t="n"/>
      <c r="AE316" s="46" t="n"/>
      <c r="AF316" s="46" t="n"/>
      <c r="AG316" s="46" t="n"/>
      <c r="AH316" s="46" t="n"/>
      <c r="AI316" s="46" t="n"/>
      <c r="AJ316" s="46" t="n"/>
      <c r="AK316" s="46" t="n"/>
      <c r="AL316" s="46" t="n"/>
      <c r="AM316" s="46" t="n"/>
      <c r="AN316" s="46" t="n"/>
      <c r="AO316" s="46" t="n"/>
      <c r="AP316" s="46" t="n"/>
      <c r="AQ316" s="46" t="n"/>
      <c r="AR316" s="46" t="n"/>
      <c r="AS316" s="46" t="n"/>
      <c r="AV316" s="36">
        <f>IF($C316="","",EMPLOYES!M66)</f>
        <v/>
      </c>
      <c r="AW316" s="36">
        <f>IF($C316="",0,SUMPRODUCT(--(O316:AS316="C")))</f>
        <v/>
      </c>
      <c r="AX316" s="36">
        <f>IF($C316="",0,SUMPRODUCT(--(O316:AS316="R")))</f>
        <v/>
      </c>
      <c r="AY316" s="44" t="n"/>
    </row>
    <row r="317" hidden="1" outlineLevel="1" ht="15" customHeight="1" s="15">
      <c r="B317" s="41" t="n">
        <v>2</v>
      </c>
      <c r="C317" s="42">
        <f>IF(EMPLOYES!C67="","",EMPLOYES!C67)</f>
        <v/>
      </c>
      <c r="D317" s="43">
        <f>IF(EMPLOYES!C67="","",EMPLOYES!D67)</f>
        <v/>
      </c>
      <c r="E317" s="44" t="n"/>
      <c r="F317" s="42" t="n"/>
      <c r="G317" s="41">
        <f>IF($C317="",0,MAX(0,$M317-$N317))</f>
        <v/>
      </c>
      <c r="H317" s="45" t="n"/>
      <c r="I317" s="41">
        <f>IF($C317="","",IF(H317="","OK",IF(H317&gt;EMPLOYES!P67,"⚠ Avance &gt; salaire",IF(H317&gt;EMPLOYES!P67*PARAMETRES!$C$218,"⚠ Avance élevée","OK"))))</f>
        <v/>
      </c>
      <c r="J317" s="45" t="n"/>
      <c r="K317" s="46" t="n"/>
      <c r="L317" s="46" t="n"/>
      <c r="M317" s="41">
        <f>IF($C317="","",SUMPRODUCT((PARAMETRES!$B$38:$B$157=PARAMETRES!$C$29)*(PARAMETRES!$C$38:$C$157=2)*(IF(EMPLOYES!M67="5j",PARAMETRES!$I$38:$I$157,PARAMETRES!$H$38:$H$157))))</f>
        <v/>
      </c>
      <c r="N317" s="41">
        <f>IF($C317="","",SUMPRODUCT((O317:AS317="P")+(O317:AS317="F")+(O317:AS317="C")+0.5*(O317:AS317="D"),(1-((O262:AS262=6)*(EMPLOYES!M67="5j")))))</f>
        <v/>
      </c>
      <c r="O317" s="46" t="n"/>
      <c r="P317" s="46" t="n"/>
      <c r="Q317" s="46" t="n"/>
      <c r="R317" s="46" t="n"/>
      <c r="S317" s="46" t="n"/>
      <c r="T317" s="46" t="n"/>
      <c r="U317" s="46" t="n"/>
      <c r="V317" s="46" t="n"/>
      <c r="W317" s="46" t="n"/>
      <c r="X317" s="46" t="n"/>
      <c r="Y317" s="46" t="n"/>
      <c r="Z317" s="46" t="n"/>
      <c r="AA317" s="46" t="n"/>
      <c r="AB317" s="46" t="n"/>
      <c r="AC317" s="46" t="n"/>
      <c r="AD317" s="46" t="n"/>
      <c r="AE317" s="46" t="n"/>
      <c r="AF317" s="46" t="n"/>
      <c r="AG317" s="46" t="n"/>
      <c r="AH317" s="46" t="n"/>
      <c r="AI317" s="46" t="n"/>
      <c r="AJ317" s="46" t="n"/>
      <c r="AK317" s="46" t="n"/>
      <c r="AL317" s="46" t="n"/>
      <c r="AM317" s="46" t="n"/>
      <c r="AN317" s="46" t="n"/>
      <c r="AO317" s="46" t="n"/>
      <c r="AP317" s="46" t="n"/>
      <c r="AQ317" s="46" t="n"/>
      <c r="AR317" s="46" t="n"/>
      <c r="AS317" s="46" t="n"/>
      <c r="AV317" s="36">
        <f>IF($C317="","",EMPLOYES!M67)</f>
        <v/>
      </c>
      <c r="AW317" s="36">
        <f>IF($C317="",0,SUMPRODUCT(--(O317:AS317="C")))</f>
        <v/>
      </c>
      <c r="AX317" s="36">
        <f>IF($C317="",0,SUMPRODUCT(--(O317:AS317="R")))</f>
        <v/>
      </c>
      <c r="AY317" s="44" t="n"/>
    </row>
    <row r="318" hidden="1" outlineLevel="1" ht="15" customHeight="1" s="15">
      <c r="B318" s="41" t="n">
        <v>2</v>
      </c>
      <c r="C318" s="42">
        <f>IF(EMPLOYES!C68="","",EMPLOYES!C68)</f>
        <v/>
      </c>
      <c r="D318" s="43">
        <f>IF(EMPLOYES!C68="","",EMPLOYES!D68)</f>
        <v/>
      </c>
      <c r="E318" s="44" t="n"/>
      <c r="F318" s="42" t="n"/>
      <c r="G318" s="41">
        <f>IF($C318="",0,MAX(0,$M318-$N318))</f>
        <v/>
      </c>
      <c r="H318" s="45" t="n"/>
      <c r="I318" s="41">
        <f>IF($C318="","",IF(H318="","OK",IF(H318&gt;EMPLOYES!P68,"⚠ Avance &gt; salaire",IF(H318&gt;EMPLOYES!P68*PARAMETRES!$C$218,"⚠ Avance élevée","OK"))))</f>
        <v/>
      </c>
      <c r="J318" s="45" t="n"/>
      <c r="K318" s="46" t="n"/>
      <c r="L318" s="46" t="n"/>
      <c r="M318" s="41">
        <f>IF($C318="","",SUMPRODUCT((PARAMETRES!$B$38:$B$157=PARAMETRES!$C$29)*(PARAMETRES!$C$38:$C$157=2)*(IF(EMPLOYES!M68="5j",PARAMETRES!$I$38:$I$157,PARAMETRES!$H$38:$H$157))))</f>
        <v/>
      </c>
      <c r="N318" s="41">
        <f>IF($C318="","",SUMPRODUCT((O318:AS318="P")+(O318:AS318="F")+(O318:AS318="C")+0.5*(O318:AS318="D"),(1-((O262:AS262=6)*(EMPLOYES!M68="5j")))))</f>
        <v/>
      </c>
      <c r="O318" s="46" t="n"/>
      <c r="P318" s="46" t="n"/>
      <c r="Q318" s="46" t="n"/>
      <c r="R318" s="46" t="n"/>
      <c r="S318" s="46" t="n"/>
      <c r="T318" s="46" t="n"/>
      <c r="U318" s="46" t="n"/>
      <c r="V318" s="46" t="n"/>
      <c r="W318" s="46" t="n"/>
      <c r="X318" s="46" t="n"/>
      <c r="Y318" s="46" t="n"/>
      <c r="Z318" s="46" t="n"/>
      <c r="AA318" s="46" t="n"/>
      <c r="AB318" s="46" t="n"/>
      <c r="AC318" s="46" t="n"/>
      <c r="AD318" s="46" t="n"/>
      <c r="AE318" s="46" t="n"/>
      <c r="AF318" s="46" t="n"/>
      <c r="AG318" s="46" t="n"/>
      <c r="AH318" s="46" t="n"/>
      <c r="AI318" s="46" t="n"/>
      <c r="AJ318" s="46" t="n"/>
      <c r="AK318" s="46" t="n"/>
      <c r="AL318" s="46" t="n"/>
      <c r="AM318" s="46" t="n"/>
      <c r="AN318" s="46" t="n"/>
      <c r="AO318" s="46" t="n"/>
      <c r="AP318" s="46" t="n"/>
      <c r="AQ318" s="46" t="n"/>
      <c r="AR318" s="46" t="n"/>
      <c r="AS318" s="46" t="n"/>
      <c r="AV318" s="36">
        <f>IF($C318="","",EMPLOYES!M68)</f>
        <v/>
      </c>
      <c r="AW318" s="36">
        <f>IF($C318="",0,SUMPRODUCT(--(O318:AS318="C")))</f>
        <v/>
      </c>
      <c r="AX318" s="36">
        <f>IF($C318="",0,SUMPRODUCT(--(O318:AS318="R")))</f>
        <v/>
      </c>
      <c r="AY318" s="44" t="n"/>
    </row>
    <row r="319" hidden="1" outlineLevel="1" ht="15" customHeight="1" s="15">
      <c r="B319" s="41" t="n">
        <v>2</v>
      </c>
      <c r="C319" s="42">
        <f>IF(EMPLOYES!C69="","",EMPLOYES!C69)</f>
        <v/>
      </c>
      <c r="D319" s="43">
        <f>IF(EMPLOYES!C69="","",EMPLOYES!D69)</f>
        <v/>
      </c>
      <c r="E319" s="44" t="n"/>
      <c r="F319" s="42" t="n"/>
      <c r="G319" s="41">
        <f>IF($C319="",0,MAX(0,$M319-$N319))</f>
        <v/>
      </c>
      <c r="H319" s="45" t="n"/>
      <c r="I319" s="41">
        <f>IF($C319="","",IF(H319="","OK",IF(H319&gt;EMPLOYES!P69,"⚠ Avance &gt; salaire",IF(H319&gt;EMPLOYES!P69*PARAMETRES!$C$218,"⚠ Avance élevée","OK"))))</f>
        <v/>
      </c>
      <c r="J319" s="45" t="n"/>
      <c r="K319" s="46" t="n"/>
      <c r="L319" s="46" t="n"/>
      <c r="M319" s="41">
        <f>IF($C319="","",SUMPRODUCT((PARAMETRES!$B$38:$B$157=PARAMETRES!$C$29)*(PARAMETRES!$C$38:$C$157=2)*(IF(EMPLOYES!M69="5j",PARAMETRES!$I$38:$I$157,PARAMETRES!$H$38:$H$157))))</f>
        <v/>
      </c>
      <c r="N319" s="41">
        <f>IF($C319="","",SUMPRODUCT((O319:AS319="P")+(O319:AS319="F")+(O319:AS319="C")+0.5*(O319:AS319="D"),(1-((O262:AS262=6)*(EMPLOYES!M69="5j")))))</f>
        <v/>
      </c>
      <c r="O319" s="46" t="n"/>
      <c r="P319" s="46" t="n"/>
      <c r="Q319" s="46" t="n"/>
      <c r="R319" s="46" t="n"/>
      <c r="S319" s="46" t="n"/>
      <c r="T319" s="46" t="n"/>
      <c r="U319" s="46" t="n"/>
      <c r="V319" s="46" t="n"/>
      <c r="W319" s="46" t="n"/>
      <c r="X319" s="46" t="n"/>
      <c r="Y319" s="46" t="n"/>
      <c r="Z319" s="46" t="n"/>
      <c r="AA319" s="46" t="n"/>
      <c r="AB319" s="46" t="n"/>
      <c r="AC319" s="46" t="n"/>
      <c r="AD319" s="46" t="n"/>
      <c r="AE319" s="46" t="n"/>
      <c r="AF319" s="46" t="n"/>
      <c r="AG319" s="46" t="n"/>
      <c r="AH319" s="46" t="n"/>
      <c r="AI319" s="46" t="n"/>
      <c r="AJ319" s="46" t="n"/>
      <c r="AK319" s="46" t="n"/>
      <c r="AL319" s="46" t="n"/>
      <c r="AM319" s="46" t="n"/>
      <c r="AN319" s="46" t="n"/>
      <c r="AO319" s="46" t="n"/>
      <c r="AP319" s="46" t="n"/>
      <c r="AQ319" s="46" t="n"/>
      <c r="AR319" s="46" t="n"/>
      <c r="AS319" s="46" t="n"/>
      <c r="AV319" s="36">
        <f>IF($C319="","",EMPLOYES!M69)</f>
        <v/>
      </c>
      <c r="AW319" s="36">
        <f>IF($C319="",0,SUMPRODUCT(--(O319:AS319="C")))</f>
        <v/>
      </c>
      <c r="AX319" s="36">
        <f>IF($C319="",0,SUMPRODUCT(--(O319:AS319="R")))</f>
        <v/>
      </c>
      <c r="AY319" s="44" t="n"/>
    </row>
    <row r="320" hidden="1" outlineLevel="1" ht="15" customHeight="1" s="15">
      <c r="B320" s="41" t="n">
        <v>2</v>
      </c>
      <c r="C320" s="42">
        <f>IF(EMPLOYES!C70="","",EMPLOYES!C70)</f>
        <v/>
      </c>
      <c r="D320" s="43">
        <f>IF(EMPLOYES!C70="","",EMPLOYES!D70)</f>
        <v/>
      </c>
      <c r="E320" s="44" t="n"/>
      <c r="F320" s="42" t="n"/>
      <c r="G320" s="41">
        <f>IF($C320="",0,MAX(0,$M320-$N320))</f>
        <v/>
      </c>
      <c r="H320" s="45" t="n"/>
      <c r="I320" s="41">
        <f>IF($C320="","",IF(H320="","OK",IF(H320&gt;EMPLOYES!P70,"⚠ Avance &gt; salaire",IF(H320&gt;EMPLOYES!P70*PARAMETRES!$C$218,"⚠ Avance élevée","OK"))))</f>
        <v/>
      </c>
      <c r="J320" s="45" t="n"/>
      <c r="K320" s="46" t="n"/>
      <c r="L320" s="46" t="n"/>
      <c r="M320" s="41">
        <f>IF($C320="","",SUMPRODUCT((PARAMETRES!$B$38:$B$157=PARAMETRES!$C$29)*(PARAMETRES!$C$38:$C$157=2)*(IF(EMPLOYES!M70="5j",PARAMETRES!$I$38:$I$157,PARAMETRES!$H$38:$H$157))))</f>
        <v/>
      </c>
      <c r="N320" s="41">
        <f>IF($C320="","",SUMPRODUCT((O320:AS320="P")+(O320:AS320="F")+(O320:AS320="C")+0.5*(O320:AS320="D"),(1-((O262:AS262=6)*(EMPLOYES!M70="5j")))))</f>
        <v/>
      </c>
      <c r="O320" s="46" t="n"/>
      <c r="P320" s="46" t="n"/>
      <c r="Q320" s="46" t="n"/>
      <c r="R320" s="46" t="n"/>
      <c r="S320" s="46" t="n"/>
      <c r="T320" s="46" t="n"/>
      <c r="U320" s="46" t="n"/>
      <c r="V320" s="46" t="n"/>
      <c r="W320" s="46" t="n"/>
      <c r="X320" s="46" t="n"/>
      <c r="Y320" s="46" t="n"/>
      <c r="Z320" s="46" t="n"/>
      <c r="AA320" s="46" t="n"/>
      <c r="AB320" s="46" t="n"/>
      <c r="AC320" s="46" t="n"/>
      <c r="AD320" s="46" t="n"/>
      <c r="AE320" s="46" t="n"/>
      <c r="AF320" s="46" t="n"/>
      <c r="AG320" s="46" t="n"/>
      <c r="AH320" s="46" t="n"/>
      <c r="AI320" s="46" t="n"/>
      <c r="AJ320" s="46" t="n"/>
      <c r="AK320" s="46" t="n"/>
      <c r="AL320" s="46" t="n"/>
      <c r="AM320" s="46" t="n"/>
      <c r="AN320" s="46" t="n"/>
      <c r="AO320" s="46" t="n"/>
      <c r="AP320" s="46" t="n"/>
      <c r="AQ320" s="46" t="n"/>
      <c r="AR320" s="46" t="n"/>
      <c r="AS320" s="46" t="n"/>
      <c r="AV320" s="36">
        <f>IF($C320="","",EMPLOYES!M70)</f>
        <v/>
      </c>
      <c r="AW320" s="36">
        <f>IF($C320="",0,SUMPRODUCT(--(O320:AS320="C")))</f>
        <v/>
      </c>
      <c r="AX320" s="36">
        <f>IF($C320="",0,SUMPRODUCT(--(O320:AS320="R")))</f>
        <v/>
      </c>
      <c r="AY320" s="44" t="n"/>
    </row>
    <row r="321" hidden="1" outlineLevel="1" ht="15" customHeight="1" s="15">
      <c r="B321" s="41" t="n">
        <v>2</v>
      </c>
      <c r="C321" s="42">
        <f>IF(EMPLOYES!C71="","",EMPLOYES!C71)</f>
        <v/>
      </c>
      <c r="D321" s="43">
        <f>IF(EMPLOYES!C71="","",EMPLOYES!D71)</f>
        <v/>
      </c>
      <c r="E321" s="44" t="n"/>
      <c r="F321" s="42" t="n"/>
      <c r="G321" s="41">
        <f>IF($C321="",0,MAX(0,$M321-$N321))</f>
        <v/>
      </c>
      <c r="H321" s="45" t="n"/>
      <c r="I321" s="41">
        <f>IF($C321="","",IF(H321="","OK",IF(H321&gt;EMPLOYES!P71,"⚠ Avance &gt; salaire",IF(H321&gt;EMPLOYES!P71*PARAMETRES!$C$218,"⚠ Avance élevée","OK"))))</f>
        <v/>
      </c>
      <c r="J321" s="45" t="n"/>
      <c r="K321" s="46" t="n"/>
      <c r="L321" s="46" t="n"/>
      <c r="M321" s="41">
        <f>IF($C321="","",SUMPRODUCT((PARAMETRES!$B$38:$B$157=PARAMETRES!$C$29)*(PARAMETRES!$C$38:$C$157=2)*(IF(EMPLOYES!M71="5j",PARAMETRES!$I$38:$I$157,PARAMETRES!$H$38:$H$157))))</f>
        <v/>
      </c>
      <c r="N321" s="41">
        <f>IF($C321="","",SUMPRODUCT((O321:AS321="P")+(O321:AS321="F")+(O321:AS321="C")+0.5*(O321:AS321="D"),(1-((O262:AS262=6)*(EMPLOYES!M71="5j")))))</f>
        <v/>
      </c>
      <c r="O321" s="46" t="n"/>
      <c r="P321" s="46" t="n"/>
      <c r="Q321" s="46" t="n"/>
      <c r="R321" s="46" t="n"/>
      <c r="S321" s="46" t="n"/>
      <c r="T321" s="46" t="n"/>
      <c r="U321" s="46" t="n"/>
      <c r="V321" s="46" t="n"/>
      <c r="W321" s="46" t="n"/>
      <c r="X321" s="46" t="n"/>
      <c r="Y321" s="46" t="n"/>
      <c r="Z321" s="46" t="n"/>
      <c r="AA321" s="46" t="n"/>
      <c r="AB321" s="46" t="n"/>
      <c r="AC321" s="46" t="n"/>
      <c r="AD321" s="46" t="n"/>
      <c r="AE321" s="46" t="n"/>
      <c r="AF321" s="46" t="n"/>
      <c r="AG321" s="46" t="n"/>
      <c r="AH321" s="46" t="n"/>
      <c r="AI321" s="46" t="n"/>
      <c r="AJ321" s="46" t="n"/>
      <c r="AK321" s="46" t="n"/>
      <c r="AL321" s="46" t="n"/>
      <c r="AM321" s="46" t="n"/>
      <c r="AN321" s="46" t="n"/>
      <c r="AO321" s="46" t="n"/>
      <c r="AP321" s="46" t="n"/>
      <c r="AQ321" s="46" t="n"/>
      <c r="AR321" s="46" t="n"/>
      <c r="AS321" s="46" t="n"/>
      <c r="AV321" s="36">
        <f>IF($C321="","",EMPLOYES!M71)</f>
        <v/>
      </c>
      <c r="AW321" s="36">
        <f>IF($C321="",0,SUMPRODUCT(--(O321:AS321="C")))</f>
        <v/>
      </c>
      <c r="AX321" s="36">
        <f>IF($C321="",0,SUMPRODUCT(--(O321:AS321="R")))</f>
        <v/>
      </c>
      <c r="AY321" s="44" t="n"/>
    </row>
    <row r="322" hidden="1" outlineLevel="1" ht="15" customHeight="1" s="15">
      <c r="B322" s="41" t="n">
        <v>2</v>
      </c>
      <c r="C322" s="42">
        <f>IF(EMPLOYES!C72="","",EMPLOYES!C72)</f>
        <v/>
      </c>
      <c r="D322" s="43">
        <f>IF(EMPLOYES!C72="","",EMPLOYES!D72)</f>
        <v/>
      </c>
      <c r="E322" s="44" t="n"/>
      <c r="F322" s="42" t="n"/>
      <c r="G322" s="41">
        <f>IF($C322="",0,MAX(0,$M322-$N322))</f>
        <v/>
      </c>
      <c r="H322" s="45" t="n"/>
      <c r="I322" s="41">
        <f>IF($C322="","",IF(H322="","OK",IF(H322&gt;EMPLOYES!P72,"⚠ Avance &gt; salaire",IF(H322&gt;EMPLOYES!P72*PARAMETRES!$C$218,"⚠ Avance élevée","OK"))))</f>
        <v/>
      </c>
      <c r="J322" s="45" t="n"/>
      <c r="K322" s="46" t="n"/>
      <c r="L322" s="46" t="n"/>
      <c r="M322" s="41">
        <f>IF($C322="","",SUMPRODUCT((PARAMETRES!$B$38:$B$157=PARAMETRES!$C$29)*(PARAMETRES!$C$38:$C$157=2)*(IF(EMPLOYES!M72="5j",PARAMETRES!$I$38:$I$157,PARAMETRES!$H$38:$H$157))))</f>
        <v/>
      </c>
      <c r="N322" s="41">
        <f>IF($C322="","",SUMPRODUCT((O322:AS322="P")+(O322:AS322="F")+(O322:AS322="C")+0.5*(O322:AS322="D"),(1-((O262:AS262=6)*(EMPLOYES!M72="5j")))))</f>
        <v/>
      </c>
      <c r="O322" s="46" t="n"/>
      <c r="P322" s="46" t="n"/>
      <c r="Q322" s="46" t="n"/>
      <c r="R322" s="46" t="n"/>
      <c r="S322" s="46" t="n"/>
      <c r="T322" s="46" t="n"/>
      <c r="U322" s="46" t="n"/>
      <c r="V322" s="46" t="n"/>
      <c r="W322" s="46" t="n"/>
      <c r="X322" s="46" t="n"/>
      <c r="Y322" s="46" t="n"/>
      <c r="Z322" s="46" t="n"/>
      <c r="AA322" s="46" t="n"/>
      <c r="AB322" s="46" t="n"/>
      <c r="AC322" s="46" t="n"/>
      <c r="AD322" s="46" t="n"/>
      <c r="AE322" s="46" t="n"/>
      <c r="AF322" s="46" t="n"/>
      <c r="AG322" s="46" t="n"/>
      <c r="AH322" s="46" t="n"/>
      <c r="AI322" s="46" t="n"/>
      <c r="AJ322" s="46" t="n"/>
      <c r="AK322" s="46" t="n"/>
      <c r="AL322" s="46" t="n"/>
      <c r="AM322" s="46" t="n"/>
      <c r="AN322" s="46" t="n"/>
      <c r="AO322" s="46" t="n"/>
      <c r="AP322" s="46" t="n"/>
      <c r="AQ322" s="46" t="n"/>
      <c r="AR322" s="46" t="n"/>
      <c r="AS322" s="46" t="n"/>
      <c r="AV322" s="36">
        <f>IF($C322="","",EMPLOYES!M72)</f>
        <v/>
      </c>
      <c r="AW322" s="36">
        <f>IF($C322="",0,SUMPRODUCT(--(O322:AS322="C")))</f>
        <v/>
      </c>
      <c r="AX322" s="36">
        <f>IF($C322="",0,SUMPRODUCT(--(O322:AS322="R")))</f>
        <v/>
      </c>
      <c r="AY322" s="44" t="n"/>
    </row>
    <row r="323" hidden="1" outlineLevel="1" ht="15" customHeight="1" s="15">
      <c r="B323" s="41" t="n">
        <v>2</v>
      </c>
      <c r="C323" s="42">
        <f>IF(EMPLOYES!C73="","",EMPLOYES!C73)</f>
        <v/>
      </c>
      <c r="D323" s="43">
        <f>IF(EMPLOYES!C73="","",EMPLOYES!D73)</f>
        <v/>
      </c>
      <c r="E323" s="44" t="n"/>
      <c r="F323" s="42" t="n"/>
      <c r="G323" s="41">
        <f>IF($C323="",0,MAX(0,$M323-$N323))</f>
        <v/>
      </c>
      <c r="H323" s="45" t="n"/>
      <c r="I323" s="41">
        <f>IF($C323="","",IF(H323="","OK",IF(H323&gt;EMPLOYES!P73,"⚠ Avance &gt; salaire",IF(H323&gt;EMPLOYES!P73*PARAMETRES!$C$218,"⚠ Avance élevée","OK"))))</f>
        <v/>
      </c>
      <c r="J323" s="45" t="n"/>
      <c r="K323" s="46" t="n"/>
      <c r="L323" s="46" t="n"/>
      <c r="M323" s="41">
        <f>IF($C323="","",SUMPRODUCT((PARAMETRES!$B$38:$B$157=PARAMETRES!$C$29)*(PARAMETRES!$C$38:$C$157=2)*(IF(EMPLOYES!M73="5j",PARAMETRES!$I$38:$I$157,PARAMETRES!$H$38:$H$157))))</f>
        <v/>
      </c>
      <c r="N323" s="41">
        <f>IF($C323="","",SUMPRODUCT((O323:AS323="P")+(O323:AS323="F")+(O323:AS323="C")+0.5*(O323:AS323="D"),(1-((O262:AS262=6)*(EMPLOYES!M73="5j")))))</f>
        <v/>
      </c>
      <c r="O323" s="46" t="n"/>
      <c r="P323" s="46" t="n"/>
      <c r="Q323" s="46" t="n"/>
      <c r="R323" s="46" t="n"/>
      <c r="S323" s="46" t="n"/>
      <c r="T323" s="46" t="n"/>
      <c r="U323" s="46" t="n"/>
      <c r="V323" s="46" t="n"/>
      <c r="W323" s="46" t="n"/>
      <c r="X323" s="46" t="n"/>
      <c r="Y323" s="46" t="n"/>
      <c r="Z323" s="46" t="n"/>
      <c r="AA323" s="46" t="n"/>
      <c r="AB323" s="46" t="n"/>
      <c r="AC323" s="46" t="n"/>
      <c r="AD323" s="46" t="n"/>
      <c r="AE323" s="46" t="n"/>
      <c r="AF323" s="46" t="n"/>
      <c r="AG323" s="46" t="n"/>
      <c r="AH323" s="46" t="n"/>
      <c r="AI323" s="46" t="n"/>
      <c r="AJ323" s="46" t="n"/>
      <c r="AK323" s="46" t="n"/>
      <c r="AL323" s="46" t="n"/>
      <c r="AM323" s="46" t="n"/>
      <c r="AN323" s="46" t="n"/>
      <c r="AO323" s="46" t="n"/>
      <c r="AP323" s="46" t="n"/>
      <c r="AQ323" s="46" t="n"/>
      <c r="AR323" s="46" t="n"/>
      <c r="AS323" s="46" t="n"/>
      <c r="AV323" s="36">
        <f>IF($C323="","",EMPLOYES!M73)</f>
        <v/>
      </c>
      <c r="AW323" s="36">
        <f>IF($C323="",0,SUMPRODUCT(--(O323:AS323="C")))</f>
        <v/>
      </c>
      <c r="AX323" s="36">
        <f>IF($C323="",0,SUMPRODUCT(--(O323:AS323="R")))</f>
        <v/>
      </c>
      <c r="AY323" s="44" t="n"/>
    </row>
    <row r="324" hidden="1" outlineLevel="1" ht="15" customHeight="1" s="15">
      <c r="B324" s="41" t="n">
        <v>2</v>
      </c>
      <c r="C324" s="42">
        <f>IF(EMPLOYES!C74="","",EMPLOYES!C74)</f>
        <v/>
      </c>
      <c r="D324" s="43">
        <f>IF(EMPLOYES!C74="","",EMPLOYES!D74)</f>
        <v/>
      </c>
      <c r="E324" s="44" t="n"/>
      <c r="F324" s="42" t="n"/>
      <c r="G324" s="41">
        <f>IF($C324="",0,MAX(0,$M324-$N324))</f>
        <v/>
      </c>
      <c r="H324" s="45" t="n"/>
      <c r="I324" s="41">
        <f>IF($C324="","",IF(H324="","OK",IF(H324&gt;EMPLOYES!P74,"⚠ Avance &gt; salaire",IF(H324&gt;EMPLOYES!P74*PARAMETRES!$C$218,"⚠ Avance élevée","OK"))))</f>
        <v/>
      </c>
      <c r="J324" s="45" t="n"/>
      <c r="K324" s="46" t="n"/>
      <c r="L324" s="46" t="n"/>
      <c r="M324" s="41">
        <f>IF($C324="","",SUMPRODUCT((PARAMETRES!$B$38:$B$157=PARAMETRES!$C$29)*(PARAMETRES!$C$38:$C$157=2)*(IF(EMPLOYES!M74="5j",PARAMETRES!$I$38:$I$157,PARAMETRES!$H$38:$H$157))))</f>
        <v/>
      </c>
      <c r="N324" s="41">
        <f>IF($C324="","",SUMPRODUCT((O324:AS324="P")+(O324:AS324="F")+(O324:AS324="C")+0.5*(O324:AS324="D"),(1-((O262:AS262=6)*(EMPLOYES!M74="5j")))))</f>
        <v/>
      </c>
      <c r="O324" s="46" t="n"/>
      <c r="P324" s="46" t="n"/>
      <c r="Q324" s="46" t="n"/>
      <c r="R324" s="46" t="n"/>
      <c r="S324" s="46" t="n"/>
      <c r="T324" s="46" t="n"/>
      <c r="U324" s="46" t="n"/>
      <c r="V324" s="46" t="n"/>
      <c r="W324" s="46" t="n"/>
      <c r="X324" s="46" t="n"/>
      <c r="Y324" s="46" t="n"/>
      <c r="Z324" s="46" t="n"/>
      <c r="AA324" s="46" t="n"/>
      <c r="AB324" s="46" t="n"/>
      <c r="AC324" s="46" t="n"/>
      <c r="AD324" s="46" t="n"/>
      <c r="AE324" s="46" t="n"/>
      <c r="AF324" s="46" t="n"/>
      <c r="AG324" s="46" t="n"/>
      <c r="AH324" s="46" t="n"/>
      <c r="AI324" s="46" t="n"/>
      <c r="AJ324" s="46" t="n"/>
      <c r="AK324" s="46" t="n"/>
      <c r="AL324" s="46" t="n"/>
      <c r="AM324" s="46" t="n"/>
      <c r="AN324" s="46" t="n"/>
      <c r="AO324" s="46" t="n"/>
      <c r="AP324" s="46" t="n"/>
      <c r="AQ324" s="46" t="n"/>
      <c r="AR324" s="46" t="n"/>
      <c r="AS324" s="46" t="n"/>
      <c r="AV324" s="36">
        <f>IF($C324="","",EMPLOYES!M74)</f>
        <v/>
      </c>
      <c r="AW324" s="36">
        <f>IF($C324="",0,SUMPRODUCT(--(O324:AS324="C")))</f>
        <v/>
      </c>
      <c r="AX324" s="36">
        <f>IF($C324="",0,SUMPRODUCT(--(O324:AS324="R")))</f>
        <v/>
      </c>
      <c r="AY324" s="44" t="n"/>
    </row>
    <row r="325" hidden="1" ht="15" customHeight="1" s="15">
      <c r="B325" s="36" t="inlineStr">
        <is>
          <t>Jour sem. (réf. grisage)</t>
        </is>
      </c>
      <c r="O325" s="37">
        <f>IF(1&gt;DAY(EOMONTH(DATE(PARAMETRES!$C$29,2,1),0)),"",WEEKDAY(DATE(PARAMETRES!$C$29,2,1),2))</f>
        <v/>
      </c>
      <c r="P325" s="37">
        <f>IF(2&gt;DAY(EOMONTH(DATE(PARAMETRES!$C$29,2,1),0)),"",WEEKDAY(DATE(PARAMETRES!$C$29,2,2),2))</f>
        <v/>
      </c>
      <c r="Q325" s="37">
        <f>IF(3&gt;DAY(EOMONTH(DATE(PARAMETRES!$C$29,2,1),0)),"",WEEKDAY(DATE(PARAMETRES!$C$29,2,3),2))</f>
        <v/>
      </c>
      <c r="R325" s="37">
        <f>IF(4&gt;DAY(EOMONTH(DATE(PARAMETRES!$C$29,2,1),0)),"",WEEKDAY(DATE(PARAMETRES!$C$29,2,4),2))</f>
        <v/>
      </c>
      <c r="S325" s="37">
        <f>IF(5&gt;DAY(EOMONTH(DATE(PARAMETRES!$C$29,2,1),0)),"",WEEKDAY(DATE(PARAMETRES!$C$29,2,5),2))</f>
        <v/>
      </c>
      <c r="T325" s="37">
        <f>IF(6&gt;DAY(EOMONTH(DATE(PARAMETRES!$C$29,2,1),0)),"",WEEKDAY(DATE(PARAMETRES!$C$29,2,6),2))</f>
        <v/>
      </c>
      <c r="U325" s="37">
        <f>IF(7&gt;DAY(EOMONTH(DATE(PARAMETRES!$C$29,2,1),0)),"",WEEKDAY(DATE(PARAMETRES!$C$29,2,7),2))</f>
        <v/>
      </c>
      <c r="V325" s="37">
        <f>IF(8&gt;DAY(EOMONTH(DATE(PARAMETRES!$C$29,2,1),0)),"",WEEKDAY(DATE(PARAMETRES!$C$29,2,8),2))</f>
        <v/>
      </c>
      <c r="W325" s="37">
        <f>IF(9&gt;DAY(EOMONTH(DATE(PARAMETRES!$C$29,2,1),0)),"",WEEKDAY(DATE(PARAMETRES!$C$29,2,9),2))</f>
        <v/>
      </c>
      <c r="X325" s="37">
        <f>IF(10&gt;DAY(EOMONTH(DATE(PARAMETRES!$C$29,2,1),0)),"",WEEKDAY(DATE(PARAMETRES!$C$29,2,10),2))</f>
        <v/>
      </c>
      <c r="Y325" s="37">
        <f>IF(11&gt;DAY(EOMONTH(DATE(PARAMETRES!$C$29,2,1),0)),"",WEEKDAY(DATE(PARAMETRES!$C$29,2,11),2))</f>
        <v/>
      </c>
      <c r="Z325" s="37">
        <f>IF(12&gt;DAY(EOMONTH(DATE(PARAMETRES!$C$29,2,1),0)),"",WEEKDAY(DATE(PARAMETRES!$C$29,2,12),2))</f>
        <v/>
      </c>
      <c r="AA325" s="37">
        <f>IF(13&gt;DAY(EOMONTH(DATE(PARAMETRES!$C$29,2,1),0)),"",WEEKDAY(DATE(PARAMETRES!$C$29,2,13),2))</f>
        <v/>
      </c>
      <c r="AB325" s="37">
        <f>IF(14&gt;DAY(EOMONTH(DATE(PARAMETRES!$C$29,2,1),0)),"",WEEKDAY(DATE(PARAMETRES!$C$29,2,14),2))</f>
        <v/>
      </c>
      <c r="AC325" s="37">
        <f>IF(15&gt;DAY(EOMONTH(DATE(PARAMETRES!$C$29,2,1),0)),"",WEEKDAY(DATE(PARAMETRES!$C$29,2,15),2))</f>
        <v/>
      </c>
      <c r="AD325" s="37">
        <f>IF(16&gt;DAY(EOMONTH(DATE(PARAMETRES!$C$29,2,1),0)),"",WEEKDAY(DATE(PARAMETRES!$C$29,2,16),2))</f>
        <v/>
      </c>
      <c r="AE325" s="37">
        <f>IF(17&gt;DAY(EOMONTH(DATE(PARAMETRES!$C$29,2,1),0)),"",WEEKDAY(DATE(PARAMETRES!$C$29,2,17),2))</f>
        <v/>
      </c>
      <c r="AF325" s="37">
        <f>IF(18&gt;DAY(EOMONTH(DATE(PARAMETRES!$C$29,2,1),0)),"",WEEKDAY(DATE(PARAMETRES!$C$29,2,18),2))</f>
        <v/>
      </c>
      <c r="AG325" s="37">
        <f>IF(19&gt;DAY(EOMONTH(DATE(PARAMETRES!$C$29,2,1),0)),"",WEEKDAY(DATE(PARAMETRES!$C$29,2,19),2))</f>
        <v/>
      </c>
      <c r="AH325" s="37">
        <f>IF(20&gt;DAY(EOMONTH(DATE(PARAMETRES!$C$29,2,1),0)),"",WEEKDAY(DATE(PARAMETRES!$C$29,2,20),2))</f>
        <v/>
      </c>
      <c r="AI325" s="37">
        <f>IF(21&gt;DAY(EOMONTH(DATE(PARAMETRES!$C$29,2,1),0)),"",WEEKDAY(DATE(PARAMETRES!$C$29,2,21),2))</f>
        <v/>
      </c>
      <c r="AJ325" s="37">
        <f>IF(22&gt;DAY(EOMONTH(DATE(PARAMETRES!$C$29,2,1),0)),"",WEEKDAY(DATE(PARAMETRES!$C$29,2,22),2))</f>
        <v/>
      </c>
      <c r="AK325" s="37">
        <f>IF(23&gt;DAY(EOMONTH(DATE(PARAMETRES!$C$29,2,1),0)),"",WEEKDAY(DATE(PARAMETRES!$C$29,2,23),2))</f>
        <v/>
      </c>
      <c r="AL325" s="37">
        <f>IF(24&gt;DAY(EOMONTH(DATE(PARAMETRES!$C$29,2,1),0)),"",WEEKDAY(DATE(PARAMETRES!$C$29,2,24),2))</f>
        <v/>
      </c>
      <c r="AM325" s="37">
        <f>IF(25&gt;DAY(EOMONTH(DATE(PARAMETRES!$C$29,2,1),0)),"",WEEKDAY(DATE(PARAMETRES!$C$29,2,25),2))</f>
        <v/>
      </c>
      <c r="AN325" s="37">
        <f>IF(26&gt;DAY(EOMONTH(DATE(PARAMETRES!$C$29,2,1),0)),"",WEEKDAY(DATE(PARAMETRES!$C$29,2,26),2))</f>
        <v/>
      </c>
      <c r="AO325" s="37">
        <f>IF(27&gt;DAY(EOMONTH(DATE(PARAMETRES!$C$29,2,1),0)),"",WEEKDAY(DATE(PARAMETRES!$C$29,2,27),2))</f>
        <v/>
      </c>
      <c r="AP325" s="37">
        <f>IF(28&gt;DAY(EOMONTH(DATE(PARAMETRES!$C$29,2,1),0)),"",WEEKDAY(DATE(PARAMETRES!$C$29,2,28),2))</f>
        <v/>
      </c>
      <c r="AQ325" s="37">
        <f>IF(29&gt;DAY(EOMONTH(DATE(PARAMETRES!$C$29,2,1),0)),"",WEEKDAY(DATE(PARAMETRES!$C$29,2,29),2))</f>
        <v/>
      </c>
      <c r="AR325" s="37">
        <f>IF(30&gt;DAY(EOMONTH(DATE(PARAMETRES!$C$29,2,1),0)),"",WEEKDAY(DATE(PARAMETRES!$C$29,2,30),2))</f>
        <v/>
      </c>
      <c r="AS325" s="37">
        <f>IF(31&gt;DAY(EOMONTH(DATE(PARAMETRES!$C$29,2,1),0)),"",WEEKDAY(DATE(PARAMETRES!$C$29,2,31),2))</f>
        <v/>
      </c>
    </row>
    <row r="326" hidden="1" outlineLevel="1" ht="15" customHeight="1" s="15">
      <c r="AT326" s="36">
        <f>IF(OR(O262="",O262=7),"","P")</f>
        <v/>
      </c>
      <c r="AU326" s="36">
        <f>IF(OR(O262="",O262&gt;=6),"","P")</f>
        <v/>
      </c>
    </row>
    <row r="327" hidden="1" outlineLevel="1" ht="15" customHeight="1" s="15">
      <c r="AT327" s="36">
        <f>IF(OR(O262="",O262=7),"","D")</f>
        <v/>
      </c>
      <c r="AU327" s="36">
        <f>IF(OR(O262="",O262&gt;=6),"","D")</f>
        <v/>
      </c>
    </row>
    <row r="328" hidden="1" outlineLevel="1" ht="15" customHeight="1" s="15">
      <c r="AT328" s="36">
        <f>IF(OR(O262="",O262=7),"","A")</f>
        <v/>
      </c>
      <c r="AU328" s="36">
        <f>IF(OR(O262="",O262&gt;=6),"","A")</f>
        <v/>
      </c>
    </row>
    <row r="329" hidden="1" outlineLevel="1" ht="15" customHeight="1" s="15">
      <c r="AT329" s="36">
        <f>IF(OR(O262="",O262=7),"","F")</f>
        <v/>
      </c>
      <c r="AU329" s="36">
        <f>IF(OR(O262="",O262&gt;=6),"","F")</f>
        <v/>
      </c>
    </row>
    <row r="330" hidden="1" outlineLevel="1" ht="15" customHeight="1" s="15">
      <c r="AT330" s="36">
        <f>IF(OR(O262="",O262=7),"","C")</f>
        <v/>
      </c>
      <c r="AU330" s="36">
        <f>IF(OR(O262="",O262&gt;=6),"","C")</f>
        <v/>
      </c>
    </row>
    <row r="331" hidden="1" outlineLevel="1" ht="15" customHeight="1" s="15">
      <c r="AT331" s="36">
        <f>IF(AND(O262&lt;&gt;"",O262=7),"R","")</f>
        <v/>
      </c>
      <c r="AU331" s="36">
        <f>IF(AND(O262&lt;&gt;"",O262&gt;=6),"R","")</f>
        <v/>
      </c>
    </row>
    <row r="332" hidden="1" outlineLevel="1" ht="15" customHeight="1" s="15">
      <c r="AT332" s="36">
        <f>IF(OR(P262="",P262=7),"","P")</f>
        <v/>
      </c>
      <c r="AU332" s="36">
        <f>IF(OR(P262="",P262&gt;=6),"","P")</f>
        <v/>
      </c>
    </row>
    <row r="333" hidden="1" outlineLevel="1" ht="15" customHeight="1" s="15">
      <c r="AT333" s="36">
        <f>IF(OR(P262="",P262=7),"","D")</f>
        <v/>
      </c>
      <c r="AU333" s="36">
        <f>IF(OR(P262="",P262&gt;=6),"","D")</f>
        <v/>
      </c>
    </row>
    <row r="334" hidden="1" outlineLevel="1" ht="15" customHeight="1" s="15">
      <c r="AT334" s="36">
        <f>IF(OR(P262="",P262=7),"","A")</f>
        <v/>
      </c>
      <c r="AU334" s="36">
        <f>IF(OR(P262="",P262&gt;=6),"","A")</f>
        <v/>
      </c>
    </row>
    <row r="335" hidden="1" outlineLevel="1" ht="15" customHeight="1" s="15">
      <c r="AT335" s="36">
        <f>IF(OR(P262="",P262=7),"","F")</f>
        <v/>
      </c>
      <c r="AU335" s="36">
        <f>IF(OR(P262="",P262&gt;=6),"","F")</f>
        <v/>
      </c>
    </row>
    <row r="336" hidden="1" outlineLevel="1" ht="15" customHeight="1" s="15">
      <c r="AT336" s="36">
        <f>IF(OR(P262="",P262=7),"","C")</f>
        <v/>
      </c>
      <c r="AU336" s="36">
        <f>IF(OR(P262="",P262&gt;=6),"","C")</f>
        <v/>
      </c>
    </row>
    <row r="337" hidden="1" outlineLevel="1" ht="15" customHeight="1" s="15">
      <c r="AT337" s="36">
        <f>IF(AND(P262&lt;&gt;"",P262=7),"R","")</f>
        <v/>
      </c>
      <c r="AU337" s="36">
        <f>IF(AND(P262&lt;&gt;"",P262&gt;=6),"R","")</f>
        <v/>
      </c>
    </row>
    <row r="338" hidden="1" outlineLevel="1" ht="15" customHeight="1" s="15">
      <c r="AT338" s="36">
        <f>IF(OR(Q262="",Q262=7),"","P")</f>
        <v/>
      </c>
      <c r="AU338" s="36">
        <f>IF(OR(Q262="",Q262&gt;=6),"","P")</f>
        <v/>
      </c>
    </row>
    <row r="339" hidden="1" outlineLevel="1" ht="15" customHeight="1" s="15">
      <c r="AT339" s="36">
        <f>IF(OR(Q262="",Q262=7),"","D")</f>
        <v/>
      </c>
      <c r="AU339" s="36">
        <f>IF(OR(Q262="",Q262&gt;=6),"","D")</f>
        <v/>
      </c>
    </row>
    <row r="340" hidden="1" outlineLevel="1" ht="15" customHeight="1" s="15">
      <c r="AT340" s="36">
        <f>IF(OR(Q262="",Q262=7),"","A")</f>
        <v/>
      </c>
      <c r="AU340" s="36">
        <f>IF(OR(Q262="",Q262&gt;=6),"","A")</f>
        <v/>
      </c>
    </row>
    <row r="341" hidden="1" outlineLevel="1" ht="15" customHeight="1" s="15">
      <c r="AT341" s="36">
        <f>IF(OR(Q262="",Q262=7),"","F")</f>
        <v/>
      </c>
      <c r="AU341" s="36">
        <f>IF(OR(Q262="",Q262&gt;=6),"","F")</f>
        <v/>
      </c>
    </row>
    <row r="342" hidden="1" outlineLevel="1" ht="15" customHeight="1" s="15">
      <c r="AT342" s="36">
        <f>IF(OR(Q262="",Q262=7),"","C")</f>
        <v/>
      </c>
      <c r="AU342" s="36">
        <f>IF(OR(Q262="",Q262&gt;=6),"","C")</f>
        <v/>
      </c>
    </row>
    <row r="343" hidden="1" outlineLevel="1" ht="15" customHeight="1" s="15">
      <c r="AT343" s="36">
        <f>IF(AND(Q262&lt;&gt;"",Q262=7),"R","")</f>
        <v/>
      </c>
      <c r="AU343" s="36">
        <f>IF(AND(Q262&lt;&gt;"",Q262&gt;=6),"R","")</f>
        <v/>
      </c>
    </row>
    <row r="344" hidden="1" outlineLevel="1" ht="15" customHeight="1" s="15">
      <c r="AT344" s="36">
        <f>IF(OR(R262="",R262=7),"","P")</f>
        <v/>
      </c>
      <c r="AU344" s="36">
        <f>IF(OR(R262="",R262&gt;=6),"","P")</f>
        <v/>
      </c>
    </row>
    <row r="345" hidden="1" outlineLevel="1" ht="15" customHeight="1" s="15">
      <c r="AT345" s="36">
        <f>IF(OR(R262="",R262=7),"","D")</f>
        <v/>
      </c>
      <c r="AU345" s="36">
        <f>IF(OR(R262="",R262&gt;=6),"","D")</f>
        <v/>
      </c>
    </row>
    <row r="346" hidden="1" outlineLevel="1" ht="15" customHeight="1" s="15">
      <c r="AT346" s="36">
        <f>IF(OR(R262="",R262=7),"","A")</f>
        <v/>
      </c>
      <c r="AU346" s="36">
        <f>IF(OR(R262="",R262&gt;=6),"","A")</f>
        <v/>
      </c>
    </row>
    <row r="347" hidden="1" outlineLevel="1" ht="15" customHeight="1" s="15">
      <c r="AT347" s="36">
        <f>IF(OR(R262="",R262=7),"","F")</f>
        <v/>
      </c>
      <c r="AU347" s="36">
        <f>IF(OR(R262="",R262&gt;=6),"","F")</f>
        <v/>
      </c>
    </row>
    <row r="348" hidden="1" outlineLevel="1" ht="15" customHeight="1" s="15">
      <c r="AT348" s="36">
        <f>IF(OR(R262="",R262=7),"","C")</f>
        <v/>
      </c>
      <c r="AU348" s="36">
        <f>IF(OR(R262="",R262&gt;=6),"","C")</f>
        <v/>
      </c>
    </row>
    <row r="349" hidden="1" outlineLevel="1" ht="15" customHeight="1" s="15">
      <c r="AT349" s="36">
        <f>IF(AND(R262&lt;&gt;"",R262=7),"R","")</f>
        <v/>
      </c>
      <c r="AU349" s="36">
        <f>IF(AND(R262&lt;&gt;"",R262&gt;=6),"R","")</f>
        <v/>
      </c>
    </row>
    <row r="350" hidden="1" outlineLevel="1" ht="15" customHeight="1" s="15">
      <c r="AT350" s="36">
        <f>IF(OR(S262="",S262=7),"","P")</f>
        <v/>
      </c>
      <c r="AU350" s="36">
        <f>IF(OR(S262="",S262&gt;=6),"","P")</f>
        <v/>
      </c>
    </row>
    <row r="351" hidden="1" outlineLevel="1" ht="15" customHeight="1" s="15">
      <c r="AT351" s="36">
        <f>IF(OR(S262="",S262=7),"","D")</f>
        <v/>
      </c>
      <c r="AU351" s="36">
        <f>IF(OR(S262="",S262&gt;=6),"","D")</f>
        <v/>
      </c>
    </row>
    <row r="352" hidden="1" outlineLevel="1" ht="15" customHeight="1" s="15">
      <c r="AT352" s="36">
        <f>IF(OR(S262="",S262=7),"","A")</f>
        <v/>
      </c>
      <c r="AU352" s="36">
        <f>IF(OR(S262="",S262&gt;=6),"","A")</f>
        <v/>
      </c>
    </row>
    <row r="353" hidden="1" outlineLevel="1" ht="15" customHeight="1" s="15">
      <c r="AT353" s="36">
        <f>IF(OR(S262="",S262=7),"","F")</f>
        <v/>
      </c>
      <c r="AU353" s="36">
        <f>IF(OR(S262="",S262&gt;=6),"","F")</f>
        <v/>
      </c>
    </row>
    <row r="354" hidden="1" outlineLevel="1" ht="15" customHeight="1" s="15">
      <c r="AT354" s="36">
        <f>IF(OR(S262="",S262=7),"","C")</f>
        <v/>
      </c>
      <c r="AU354" s="36">
        <f>IF(OR(S262="",S262&gt;=6),"","C")</f>
        <v/>
      </c>
    </row>
    <row r="355" hidden="1" outlineLevel="1" ht="15" customHeight="1" s="15">
      <c r="AT355" s="36">
        <f>IF(AND(S262&lt;&gt;"",S262=7),"R","")</f>
        <v/>
      </c>
      <c r="AU355" s="36">
        <f>IF(AND(S262&lt;&gt;"",S262&gt;=6),"R","")</f>
        <v/>
      </c>
    </row>
    <row r="356" hidden="1" outlineLevel="1" ht="15" customHeight="1" s="15">
      <c r="AT356" s="36">
        <f>IF(OR(T262="",T262=7),"","P")</f>
        <v/>
      </c>
      <c r="AU356" s="36">
        <f>IF(OR(T262="",T262&gt;=6),"","P")</f>
        <v/>
      </c>
    </row>
    <row r="357" hidden="1" outlineLevel="1" ht="15" customHeight="1" s="15">
      <c r="AT357" s="36">
        <f>IF(OR(T262="",T262=7),"","D")</f>
        <v/>
      </c>
      <c r="AU357" s="36">
        <f>IF(OR(T262="",T262&gt;=6),"","D")</f>
        <v/>
      </c>
    </row>
    <row r="358" hidden="1" outlineLevel="1" ht="15" customHeight="1" s="15">
      <c r="AT358" s="36">
        <f>IF(OR(T262="",T262=7),"","A")</f>
        <v/>
      </c>
      <c r="AU358" s="36">
        <f>IF(OR(T262="",T262&gt;=6),"","A")</f>
        <v/>
      </c>
    </row>
    <row r="359" hidden="1" outlineLevel="1" ht="15" customHeight="1" s="15">
      <c r="AT359" s="36">
        <f>IF(OR(T262="",T262=7),"","F")</f>
        <v/>
      </c>
      <c r="AU359" s="36">
        <f>IF(OR(T262="",T262&gt;=6),"","F")</f>
        <v/>
      </c>
    </row>
    <row r="360" hidden="1" outlineLevel="1" ht="15" customHeight="1" s="15">
      <c r="AT360" s="36">
        <f>IF(OR(T262="",T262=7),"","C")</f>
        <v/>
      </c>
      <c r="AU360" s="36">
        <f>IF(OR(T262="",T262&gt;=6),"","C")</f>
        <v/>
      </c>
    </row>
    <row r="361" hidden="1" outlineLevel="1" ht="15" customHeight="1" s="15">
      <c r="AT361" s="36">
        <f>IF(AND(T262&lt;&gt;"",T262=7),"R","")</f>
        <v/>
      </c>
      <c r="AU361" s="36">
        <f>IF(AND(T262&lt;&gt;"",T262&gt;=6),"R","")</f>
        <v/>
      </c>
    </row>
    <row r="362" hidden="1" outlineLevel="1" ht="15" customHeight="1" s="15">
      <c r="AT362" s="36">
        <f>IF(OR(U262="",U262=7),"","P")</f>
        <v/>
      </c>
      <c r="AU362" s="36">
        <f>IF(OR(U262="",U262&gt;=6),"","P")</f>
        <v/>
      </c>
    </row>
    <row r="363" hidden="1" outlineLevel="1" ht="15" customHeight="1" s="15">
      <c r="AT363" s="36">
        <f>IF(OR(U262="",U262=7),"","D")</f>
        <v/>
      </c>
      <c r="AU363" s="36">
        <f>IF(OR(U262="",U262&gt;=6),"","D")</f>
        <v/>
      </c>
    </row>
    <row r="364" hidden="1" outlineLevel="1" ht="15" customHeight="1" s="15">
      <c r="AT364" s="36">
        <f>IF(OR(U262="",U262=7),"","A")</f>
        <v/>
      </c>
      <c r="AU364" s="36">
        <f>IF(OR(U262="",U262&gt;=6),"","A")</f>
        <v/>
      </c>
    </row>
    <row r="365" hidden="1" outlineLevel="1" ht="15" customHeight="1" s="15">
      <c r="AT365" s="36">
        <f>IF(OR(U262="",U262=7),"","F")</f>
        <v/>
      </c>
      <c r="AU365" s="36">
        <f>IF(OR(U262="",U262&gt;=6),"","F")</f>
        <v/>
      </c>
    </row>
    <row r="366" hidden="1" outlineLevel="1" ht="15" customHeight="1" s="15">
      <c r="AT366" s="36">
        <f>IF(OR(U262="",U262=7),"","C")</f>
        <v/>
      </c>
      <c r="AU366" s="36">
        <f>IF(OR(U262="",U262&gt;=6),"","C")</f>
        <v/>
      </c>
    </row>
    <row r="367" hidden="1" outlineLevel="1" ht="15" customHeight="1" s="15">
      <c r="AT367" s="36">
        <f>IF(AND(U262&lt;&gt;"",U262=7),"R","")</f>
        <v/>
      </c>
      <c r="AU367" s="36">
        <f>IF(AND(U262&lt;&gt;"",U262&gt;=6),"R","")</f>
        <v/>
      </c>
    </row>
    <row r="368" hidden="1" outlineLevel="1" ht="15" customHeight="1" s="15">
      <c r="AT368" s="36">
        <f>IF(OR(V262="",V262=7),"","P")</f>
        <v/>
      </c>
      <c r="AU368" s="36">
        <f>IF(OR(V262="",V262&gt;=6),"","P")</f>
        <v/>
      </c>
    </row>
    <row r="369" hidden="1" outlineLevel="1" ht="15" customHeight="1" s="15">
      <c r="AT369" s="36">
        <f>IF(OR(V262="",V262=7),"","D")</f>
        <v/>
      </c>
      <c r="AU369" s="36">
        <f>IF(OR(V262="",V262&gt;=6),"","D")</f>
        <v/>
      </c>
    </row>
    <row r="370" hidden="1" outlineLevel="1" ht="15" customHeight="1" s="15">
      <c r="AT370" s="36">
        <f>IF(OR(V262="",V262=7),"","A")</f>
        <v/>
      </c>
      <c r="AU370" s="36">
        <f>IF(OR(V262="",V262&gt;=6),"","A")</f>
        <v/>
      </c>
    </row>
    <row r="371" hidden="1" outlineLevel="1" ht="15" customHeight="1" s="15">
      <c r="AT371" s="36">
        <f>IF(OR(V262="",V262=7),"","F")</f>
        <v/>
      </c>
      <c r="AU371" s="36">
        <f>IF(OR(V262="",V262&gt;=6),"","F")</f>
        <v/>
      </c>
    </row>
    <row r="372" hidden="1" outlineLevel="1" ht="15" customHeight="1" s="15">
      <c r="AT372" s="36">
        <f>IF(OR(V262="",V262=7),"","C")</f>
        <v/>
      </c>
      <c r="AU372" s="36">
        <f>IF(OR(V262="",V262&gt;=6),"","C")</f>
        <v/>
      </c>
    </row>
    <row r="373" hidden="1" outlineLevel="1" ht="15" customHeight="1" s="15">
      <c r="AT373" s="36">
        <f>IF(AND(V262&lt;&gt;"",V262=7),"R","")</f>
        <v/>
      </c>
      <c r="AU373" s="36">
        <f>IF(AND(V262&lt;&gt;"",V262&gt;=6),"R","")</f>
        <v/>
      </c>
    </row>
    <row r="374" hidden="1" outlineLevel="1" ht="15" customHeight="1" s="15">
      <c r="AT374" s="36">
        <f>IF(OR(W262="",W262=7),"","P")</f>
        <v/>
      </c>
      <c r="AU374" s="36">
        <f>IF(OR(W262="",W262&gt;=6),"","P")</f>
        <v/>
      </c>
    </row>
    <row r="375" hidden="1" outlineLevel="1" ht="15" customHeight="1" s="15">
      <c r="AT375" s="36">
        <f>IF(OR(W262="",W262=7),"","D")</f>
        <v/>
      </c>
      <c r="AU375" s="36">
        <f>IF(OR(W262="",W262&gt;=6),"","D")</f>
        <v/>
      </c>
    </row>
    <row r="376" hidden="1" outlineLevel="1" ht="15" customHeight="1" s="15">
      <c r="AT376" s="36">
        <f>IF(OR(W262="",W262=7),"","A")</f>
        <v/>
      </c>
      <c r="AU376" s="36">
        <f>IF(OR(W262="",W262&gt;=6),"","A")</f>
        <v/>
      </c>
    </row>
    <row r="377" hidden="1" outlineLevel="1" ht="15" customHeight="1" s="15">
      <c r="AT377" s="36">
        <f>IF(OR(W262="",W262=7),"","F")</f>
        <v/>
      </c>
      <c r="AU377" s="36">
        <f>IF(OR(W262="",W262&gt;=6),"","F")</f>
        <v/>
      </c>
    </row>
    <row r="378" hidden="1" outlineLevel="1" ht="15" customHeight="1" s="15">
      <c r="AT378" s="36">
        <f>IF(OR(W262="",W262=7),"","C")</f>
        <v/>
      </c>
      <c r="AU378" s="36">
        <f>IF(OR(W262="",W262&gt;=6),"","C")</f>
        <v/>
      </c>
    </row>
    <row r="379" hidden="1" outlineLevel="1" ht="15" customHeight="1" s="15">
      <c r="AT379" s="36">
        <f>IF(AND(W262&lt;&gt;"",W262=7),"R","")</f>
        <v/>
      </c>
      <c r="AU379" s="36">
        <f>IF(AND(W262&lt;&gt;"",W262&gt;=6),"R","")</f>
        <v/>
      </c>
    </row>
    <row r="380" hidden="1" outlineLevel="1" ht="15" customHeight="1" s="15">
      <c r="AT380" s="36">
        <f>IF(OR(X262="",X262=7),"","P")</f>
        <v/>
      </c>
      <c r="AU380" s="36">
        <f>IF(OR(X262="",X262&gt;=6),"","P")</f>
        <v/>
      </c>
    </row>
    <row r="381" hidden="1" outlineLevel="1" ht="15" customHeight="1" s="15">
      <c r="AT381" s="36">
        <f>IF(OR(X262="",X262=7),"","D")</f>
        <v/>
      </c>
      <c r="AU381" s="36">
        <f>IF(OR(X262="",X262&gt;=6),"","D")</f>
        <v/>
      </c>
    </row>
    <row r="382" hidden="1" outlineLevel="1" ht="15" customHeight="1" s="15">
      <c r="AT382" s="36">
        <f>IF(OR(X262="",X262=7),"","A")</f>
        <v/>
      </c>
      <c r="AU382" s="36">
        <f>IF(OR(X262="",X262&gt;=6),"","A")</f>
        <v/>
      </c>
    </row>
    <row r="383" hidden="1" outlineLevel="1" ht="15" customHeight="1" s="15">
      <c r="AT383" s="36">
        <f>IF(OR(X262="",X262=7),"","F")</f>
        <v/>
      </c>
      <c r="AU383" s="36">
        <f>IF(OR(X262="",X262&gt;=6),"","F")</f>
        <v/>
      </c>
    </row>
    <row r="384" hidden="1" outlineLevel="1" ht="15" customHeight="1" s="15">
      <c r="AT384" s="36">
        <f>IF(OR(X262="",X262=7),"","C")</f>
        <v/>
      </c>
      <c r="AU384" s="36">
        <f>IF(OR(X262="",X262&gt;=6),"","C")</f>
        <v/>
      </c>
    </row>
    <row r="385" hidden="1" outlineLevel="1" ht="15" customHeight="1" s="15">
      <c r="AT385" s="36">
        <f>IF(AND(X262&lt;&gt;"",X262=7),"R","")</f>
        <v/>
      </c>
      <c r="AU385" s="36">
        <f>IF(AND(X262&lt;&gt;"",X262&gt;=6),"R","")</f>
        <v/>
      </c>
    </row>
    <row r="386" hidden="1" outlineLevel="1" ht="15" customHeight="1" s="15">
      <c r="AT386" s="36">
        <f>IF(OR(Y262="",Y262=7),"","P")</f>
        <v/>
      </c>
      <c r="AU386" s="36">
        <f>IF(OR(Y262="",Y262&gt;=6),"","P")</f>
        <v/>
      </c>
    </row>
    <row r="387" hidden="1" outlineLevel="1" ht="15" customHeight="1" s="15">
      <c r="AT387" s="36">
        <f>IF(OR(Y262="",Y262=7),"","D")</f>
        <v/>
      </c>
      <c r="AU387" s="36">
        <f>IF(OR(Y262="",Y262&gt;=6),"","D")</f>
        <v/>
      </c>
    </row>
    <row r="388" hidden="1" outlineLevel="1" ht="15" customHeight="1" s="15">
      <c r="AT388" s="36">
        <f>IF(OR(Y262="",Y262=7),"","A")</f>
        <v/>
      </c>
      <c r="AU388" s="36">
        <f>IF(OR(Y262="",Y262&gt;=6),"","A")</f>
        <v/>
      </c>
    </row>
    <row r="389" hidden="1" outlineLevel="1" ht="15" customHeight="1" s="15">
      <c r="AT389" s="36">
        <f>IF(OR(Y262="",Y262=7),"","F")</f>
        <v/>
      </c>
      <c r="AU389" s="36">
        <f>IF(OR(Y262="",Y262&gt;=6),"","F")</f>
        <v/>
      </c>
    </row>
    <row r="390" hidden="1" outlineLevel="1" ht="15" customHeight="1" s="15">
      <c r="AT390" s="36">
        <f>IF(OR(Y262="",Y262=7),"","C")</f>
        <v/>
      </c>
      <c r="AU390" s="36">
        <f>IF(OR(Y262="",Y262&gt;=6),"","C")</f>
        <v/>
      </c>
    </row>
    <row r="391" hidden="1" outlineLevel="1" ht="15" customHeight="1" s="15">
      <c r="AT391" s="36">
        <f>IF(AND(Y262&lt;&gt;"",Y262=7),"R","")</f>
        <v/>
      </c>
      <c r="AU391" s="36">
        <f>IF(AND(Y262&lt;&gt;"",Y262&gt;=6),"R","")</f>
        <v/>
      </c>
    </row>
    <row r="392" hidden="1" outlineLevel="1" ht="15" customHeight="1" s="15">
      <c r="AT392" s="36">
        <f>IF(OR(Z262="",Z262=7),"","P")</f>
        <v/>
      </c>
      <c r="AU392" s="36">
        <f>IF(OR(Z262="",Z262&gt;=6),"","P")</f>
        <v/>
      </c>
    </row>
    <row r="393" hidden="1" outlineLevel="1" ht="15" customHeight="1" s="15">
      <c r="AT393" s="36">
        <f>IF(OR(Z262="",Z262=7),"","D")</f>
        <v/>
      </c>
      <c r="AU393" s="36">
        <f>IF(OR(Z262="",Z262&gt;=6),"","D")</f>
        <v/>
      </c>
    </row>
    <row r="394" hidden="1" outlineLevel="1" ht="15" customHeight="1" s="15">
      <c r="AT394" s="36">
        <f>IF(OR(Z262="",Z262=7),"","A")</f>
        <v/>
      </c>
      <c r="AU394" s="36">
        <f>IF(OR(Z262="",Z262&gt;=6),"","A")</f>
        <v/>
      </c>
    </row>
    <row r="395" hidden="1" outlineLevel="1" ht="15" customHeight="1" s="15">
      <c r="AT395" s="36">
        <f>IF(OR(Z262="",Z262=7),"","F")</f>
        <v/>
      </c>
      <c r="AU395" s="36">
        <f>IF(OR(Z262="",Z262&gt;=6),"","F")</f>
        <v/>
      </c>
    </row>
    <row r="396" hidden="1" outlineLevel="1" ht="15" customHeight="1" s="15">
      <c r="AT396" s="36">
        <f>IF(OR(Z262="",Z262=7),"","C")</f>
        <v/>
      </c>
      <c r="AU396" s="36">
        <f>IF(OR(Z262="",Z262&gt;=6),"","C")</f>
        <v/>
      </c>
    </row>
    <row r="397" hidden="1" outlineLevel="1" ht="15" customHeight="1" s="15">
      <c r="AT397" s="36">
        <f>IF(AND(Z262&lt;&gt;"",Z262=7),"R","")</f>
        <v/>
      </c>
      <c r="AU397" s="36">
        <f>IF(AND(Z262&lt;&gt;"",Z262&gt;=6),"R","")</f>
        <v/>
      </c>
    </row>
    <row r="398" hidden="1" outlineLevel="1" ht="15" customHeight="1" s="15">
      <c r="AT398" s="36">
        <f>IF(OR(AA262="",AA262=7),"","P")</f>
        <v/>
      </c>
      <c r="AU398" s="36">
        <f>IF(OR(AA262="",AA262&gt;=6),"","P")</f>
        <v/>
      </c>
    </row>
    <row r="399" hidden="1" outlineLevel="1" ht="15" customHeight="1" s="15">
      <c r="AT399" s="36">
        <f>IF(OR(AA262="",AA262=7),"","D")</f>
        <v/>
      </c>
      <c r="AU399" s="36">
        <f>IF(OR(AA262="",AA262&gt;=6),"","D")</f>
        <v/>
      </c>
    </row>
    <row r="400" hidden="1" outlineLevel="1" ht="15" customHeight="1" s="15">
      <c r="AT400" s="36">
        <f>IF(OR(AA262="",AA262=7),"","A")</f>
        <v/>
      </c>
      <c r="AU400" s="36">
        <f>IF(OR(AA262="",AA262&gt;=6),"","A")</f>
        <v/>
      </c>
    </row>
    <row r="401" hidden="1" outlineLevel="1" ht="15" customHeight="1" s="15">
      <c r="AT401" s="36">
        <f>IF(OR(AA262="",AA262=7),"","F")</f>
        <v/>
      </c>
      <c r="AU401" s="36">
        <f>IF(OR(AA262="",AA262&gt;=6),"","F")</f>
        <v/>
      </c>
    </row>
    <row r="402" hidden="1" outlineLevel="1" ht="15" customHeight="1" s="15">
      <c r="AT402" s="36">
        <f>IF(OR(AA262="",AA262=7),"","C")</f>
        <v/>
      </c>
      <c r="AU402" s="36">
        <f>IF(OR(AA262="",AA262&gt;=6),"","C")</f>
        <v/>
      </c>
    </row>
    <row r="403" hidden="1" outlineLevel="1" ht="15" customHeight="1" s="15">
      <c r="AT403" s="36">
        <f>IF(AND(AA262&lt;&gt;"",AA262=7),"R","")</f>
        <v/>
      </c>
      <c r="AU403" s="36">
        <f>IF(AND(AA262&lt;&gt;"",AA262&gt;=6),"R","")</f>
        <v/>
      </c>
    </row>
    <row r="404" hidden="1" outlineLevel="1" ht="15" customHeight="1" s="15">
      <c r="AT404" s="36">
        <f>IF(OR(AB262="",AB262=7),"","P")</f>
        <v/>
      </c>
      <c r="AU404" s="36">
        <f>IF(OR(AB262="",AB262&gt;=6),"","P")</f>
        <v/>
      </c>
    </row>
    <row r="405" hidden="1" outlineLevel="1" ht="15" customHeight="1" s="15">
      <c r="AT405" s="36">
        <f>IF(OR(AB262="",AB262=7),"","D")</f>
        <v/>
      </c>
      <c r="AU405" s="36">
        <f>IF(OR(AB262="",AB262&gt;=6),"","D")</f>
        <v/>
      </c>
    </row>
    <row r="406" hidden="1" outlineLevel="1" ht="15" customHeight="1" s="15">
      <c r="AT406" s="36">
        <f>IF(OR(AB262="",AB262=7),"","A")</f>
        <v/>
      </c>
      <c r="AU406" s="36">
        <f>IF(OR(AB262="",AB262&gt;=6),"","A")</f>
        <v/>
      </c>
    </row>
    <row r="407" hidden="1" outlineLevel="1" ht="15" customHeight="1" s="15">
      <c r="AT407" s="36">
        <f>IF(OR(AB262="",AB262=7),"","F")</f>
        <v/>
      </c>
      <c r="AU407" s="36">
        <f>IF(OR(AB262="",AB262&gt;=6),"","F")</f>
        <v/>
      </c>
    </row>
    <row r="408" hidden="1" outlineLevel="1" ht="15" customHeight="1" s="15">
      <c r="AT408" s="36">
        <f>IF(OR(AB262="",AB262=7),"","C")</f>
        <v/>
      </c>
      <c r="AU408" s="36">
        <f>IF(OR(AB262="",AB262&gt;=6),"","C")</f>
        <v/>
      </c>
    </row>
    <row r="409" hidden="1" outlineLevel="1" ht="15" customHeight="1" s="15">
      <c r="AT409" s="36">
        <f>IF(AND(AB262&lt;&gt;"",AB262=7),"R","")</f>
        <v/>
      </c>
      <c r="AU409" s="36">
        <f>IF(AND(AB262&lt;&gt;"",AB262&gt;=6),"R","")</f>
        <v/>
      </c>
    </row>
    <row r="410" hidden="1" outlineLevel="1" ht="15" customHeight="1" s="15">
      <c r="AT410" s="36">
        <f>IF(OR(AC262="",AC262=7),"","P")</f>
        <v/>
      </c>
      <c r="AU410" s="36">
        <f>IF(OR(AC262="",AC262&gt;=6),"","P")</f>
        <v/>
      </c>
    </row>
    <row r="411" hidden="1" outlineLevel="1" ht="15" customHeight="1" s="15">
      <c r="AT411" s="36">
        <f>IF(OR(AC262="",AC262=7),"","D")</f>
        <v/>
      </c>
      <c r="AU411" s="36">
        <f>IF(OR(AC262="",AC262&gt;=6),"","D")</f>
        <v/>
      </c>
    </row>
    <row r="412" hidden="1" outlineLevel="1" ht="15" customHeight="1" s="15">
      <c r="AT412" s="36">
        <f>IF(OR(AC262="",AC262=7),"","A")</f>
        <v/>
      </c>
      <c r="AU412" s="36">
        <f>IF(OR(AC262="",AC262&gt;=6),"","A")</f>
        <v/>
      </c>
    </row>
    <row r="413" hidden="1" outlineLevel="1" ht="15" customHeight="1" s="15">
      <c r="AT413" s="36">
        <f>IF(OR(AC262="",AC262=7),"","F")</f>
        <v/>
      </c>
      <c r="AU413" s="36">
        <f>IF(OR(AC262="",AC262&gt;=6),"","F")</f>
        <v/>
      </c>
    </row>
    <row r="414" hidden="1" outlineLevel="1" ht="15" customHeight="1" s="15">
      <c r="AT414" s="36">
        <f>IF(OR(AC262="",AC262=7),"","C")</f>
        <v/>
      </c>
      <c r="AU414" s="36">
        <f>IF(OR(AC262="",AC262&gt;=6),"","C")</f>
        <v/>
      </c>
    </row>
    <row r="415" hidden="1" outlineLevel="1" ht="15" customHeight="1" s="15">
      <c r="AT415" s="36">
        <f>IF(AND(AC262&lt;&gt;"",AC262=7),"R","")</f>
        <v/>
      </c>
      <c r="AU415" s="36">
        <f>IF(AND(AC262&lt;&gt;"",AC262&gt;=6),"R","")</f>
        <v/>
      </c>
    </row>
    <row r="416" hidden="1" outlineLevel="1" ht="15" customHeight="1" s="15">
      <c r="AT416" s="36">
        <f>IF(OR(AD262="",AD262=7),"","P")</f>
        <v/>
      </c>
      <c r="AU416" s="36">
        <f>IF(OR(AD262="",AD262&gt;=6),"","P")</f>
        <v/>
      </c>
    </row>
    <row r="417" hidden="1" outlineLevel="1" ht="15" customHeight="1" s="15">
      <c r="AT417" s="36">
        <f>IF(OR(AD262="",AD262=7),"","D")</f>
        <v/>
      </c>
      <c r="AU417" s="36">
        <f>IF(OR(AD262="",AD262&gt;=6),"","D")</f>
        <v/>
      </c>
    </row>
    <row r="418" hidden="1" outlineLevel="1" ht="15" customHeight="1" s="15">
      <c r="AT418" s="36">
        <f>IF(OR(AD262="",AD262=7),"","A")</f>
        <v/>
      </c>
      <c r="AU418" s="36">
        <f>IF(OR(AD262="",AD262&gt;=6),"","A")</f>
        <v/>
      </c>
    </row>
    <row r="419" hidden="1" outlineLevel="1" ht="15" customHeight="1" s="15">
      <c r="AT419" s="36">
        <f>IF(OR(AD262="",AD262=7),"","F")</f>
        <v/>
      </c>
      <c r="AU419" s="36">
        <f>IF(OR(AD262="",AD262&gt;=6),"","F")</f>
        <v/>
      </c>
    </row>
    <row r="420" hidden="1" outlineLevel="1" ht="15" customHeight="1" s="15">
      <c r="AT420" s="36">
        <f>IF(OR(AD262="",AD262=7),"","C")</f>
        <v/>
      </c>
      <c r="AU420" s="36">
        <f>IF(OR(AD262="",AD262&gt;=6),"","C")</f>
        <v/>
      </c>
    </row>
    <row r="421" hidden="1" outlineLevel="1" ht="15" customHeight="1" s="15">
      <c r="AT421" s="36">
        <f>IF(AND(AD262&lt;&gt;"",AD262=7),"R","")</f>
        <v/>
      </c>
      <c r="AU421" s="36">
        <f>IF(AND(AD262&lt;&gt;"",AD262&gt;=6),"R","")</f>
        <v/>
      </c>
    </row>
    <row r="422" hidden="1" outlineLevel="1" ht="15" customHeight="1" s="15">
      <c r="AT422" s="36">
        <f>IF(OR(AE262="",AE262=7),"","P")</f>
        <v/>
      </c>
      <c r="AU422" s="36">
        <f>IF(OR(AE262="",AE262&gt;=6),"","P")</f>
        <v/>
      </c>
    </row>
    <row r="423" hidden="1" outlineLevel="1" ht="15" customHeight="1" s="15">
      <c r="AT423" s="36">
        <f>IF(OR(AE262="",AE262=7),"","D")</f>
        <v/>
      </c>
      <c r="AU423" s="36">
        <f>IF(OR(AE262="",AE262&gt;=6),"","D")</f>
        <v/>
      </c>
    </row>
    <row r="424" hidden="1" outlineLevel="1" ht="15" customHeight="1" s="15">
      <c r="AT424" s="36">
        <f>IF(OR(AE262="",AE262=7),"","A")</f>
        <v/>
      </c>
      <c r="AU424" s="36">
        <f>IF(OR(AE262="",AE262&gt;=6),"","A")</f>
        <v/>
      </c>
    </row>
    <row r="425" hidden="1" outlineLevel="1" ht="15" customHeight="1" s="15">
      <c r="AT425" s="36">
        <f>IF(OR(AE262="",AE262=7),"","F")</f>
        <v/>
      </c>
      <c r="AU425" s="36">
        <f>IF(OR(AE262="",AE262&gt;=6),"","F")</f>
        <v/>
      </c>
    </row>
    <row r="426" hidden="1" outlineLevel="1" ht="15" customHeight="1" s="15">
      <c r="AT426" s="36">
        <f>IF(OR(AE262="",AE262=7),"","C")</f>
        <v/>
      </c>
      <c r="AU426" s="36">
        <f>IF(OR(AE262="",AE262&gt;=6),"","C")</f>
        <v/>
      </c>
    </row>
    <row r="427" hidden="1" outlineLevel="1" ht="15" customHeight="1" s="15">
      <c r="AT427" s="36">
        <f>IF(AND(AE262&lt;&gt;"",AE262=7),"R","")</f>
        <v/>
      </c>
      <c r="AU427" s="36">
        <f>IF(AND(AE262&lt;&gt;"",AE262&gt;=6),"R","")</f>
        <v/>
      </c>
    </row>
    <row r="428" hidden="1" outlineLevel="1" ht="15" customHeight="1" s="15">
      <c r="AT428" s="36">
        <f>IF(OR(AF262="",AF262=7),"","P")</f>
        <v/>
      </c>
      <c r="AU428" s="36">
        <f>IF(OR(AF262="",AF262&gt;=6),"","P")</f>
        <v/>
      </c>
    </row>
    <row r="429" hidden="1" outlineLevel="1" ht="15" customHeight="1" s="15">
      <c r="AT429" s="36">
        <f>IF(OR(AF262="",AF262=7),"","D")</f>
        <v/>
      </c>
      <c r="AU429" s="36">
        <f>IF(OR(AF262="",AF262&gt;=6),"","D")</f>
        <v/>
      </c>
    </row>
    <row r="430" hidden="1" outlineLevel="1" ht="15" customHeight="1" s="15">
      <c r="AT430" s="36">
        <f>IF(OR(AF262="",AF262=7),"","A")</f>
        <v/>
      </c>
      <c r="AU430" s="36">
        <f>IF(OR(AF262="",AF262&gt;=6),"","A")</f>
        <v/>
      </c>
    </row>
    <row r="431" hidden="1" outlineLevel="1" ht="15" customHeight="1" s="15">
      <c r="AT431" s="36">
        <f>IF(OR(AF262="",AF262=7),"","F")</f>
        <v/>
      </c>
      <c r="AU431" s="36">
        <f>IF(OR(AF262="",AF262&gt;=6),"","F")</f>
        <v/>
      </c>
    </row>
    <row r="432" hidden="1" outlineLevel="1" ht="15" customHeight="1" s="15">
      <c r="AT432" s="36">
        <f>IF(OR(AF262="",AF262=7),"","C")</f>
        <v/>
      </c>
      <c r="AU432" s="36">
        <f>IF(OR(AF262="",AF262&gt;=6),"","C")</f>
        <v/>
      </c>
    </row>
    <row r="433" hidden="1" outlineLevel="1" ht="15" customHeight="1" s="15">
      <c r="AT433" s="36">
        <f>IF(AND(AF262&lt;&gt;"",AF262=7),"R","")</f>
        <v/>
      </c>
      <c r="AU433" s="36">
        <f>IF(AND(AF262&lt;&gt;"",AF262&gt;=6),"R","")</f>
        <v/>
      </c>
    </row>
    <row r="434" hidden="1" outlineLevel="1" ht="15" customHeight="1" s="15">
      <c r="AT434" s="36">
        <f>IF(OR(AG262="",AG262=7),"","P")</f>
        <v/>
      </c>
      <c r="AU434" s="36">
        <f>IF(OR(AG262="",AG262&gt;=6),"","P")</f>
        <v/>
      </c>
    </row>
    <row r="435" hidden="1" outlineLevel="1" ht="15" customHeight="1" s="15">
      <c r="AT435" s="36">
        <f>IF(OR(AG262="",AG262=7),"","D")</f>
        <v/>
      </c>
      <c r="AU435" s="36">
        <f>IF(OR(AG262="",AG262&gt;=6),"","D")</f>
        <v/>
      </c>
    </row>
    <row r="436" hidden="1" outlineLevel="1" ht="15" customHeight="1" s="15">
      <c r="AT436" s="36">
        <f>IF(OR(AG262="",AG262=7),"","A")</f>
        <v/>
      </c>
      <c r="AU436" s="36">
        <f>IF(OR(AG262="",AG262&gt;=6),"","A")</f>
        <v/>
      </c>
    </row>
    <row r="437" hidden="1" outlineLevel="1" ht="15" customHeight="1" s="15">
      <c r="AT437" s="36">
        <f>IF(OR(AG262="",AG262=7),"","F")</f>
        <v/>
      </c>
      <c r="AU437" s="36">
        <f>IF(OR(AG262="",AG262&gt;=6),"","F")</f>
        <v/>
      </c>
    </row>
    <row r="438" hidden="1" outlineLevel="1" ht="15" customHeight="1" s="15">
      <c r="AT438" s="36">
        <f>IF(OR(AG262="",AG262=7),"","C")</f>
        <v/>
      </c>
      <c r="AU438" s="36">
        <f>IF(OR(AG262="",AG262&gt;=6),"","C")</f>
        <v/>
      </c>
    </row>
    <row r="439" hidden="1" outlineLevel="1" ht="15" customHeight="1" s="15">
      <c r="AT439" s="36">
        <f>IF(AND(AG262&lt;&gt;"",AG262=7),"R","")</f>
        <v/>
      </c>
      <c r="AU439" s="36">
        <f>IF(AND(AG262&lt;&gt;"",AG262&gt;=6),"R","")</f>
        <v/>
      </c>
    </row>
    <row r="440" hidden="1" outlineLevel="1" ht="15" customHeight="1" s="15">
      <c r="AT440" s="36">
        <f>IF(OR(AH262="",AH262=7),"","P")</f>
        <v/>
      </c>
      <c r="AU440" s="36">
        <f>IF(OR(AH262="",AH262&gt;=6),"","P")</f>
        <v/>
      </c>
    </row>
    <row r="441" hidden="1" outlineLevel="1" ht="15" customHeight="1" s="15">
      <c r="AT441" s="36">
        <f>IF(OR(AH262="",AH262=7),"","D")</f>
        <v/>
      </c>
      <c r="AU441" s="36">
        <f>IF(OR(AH262="",AH262&gt;=6),"","D")</f>
        <v/>
      </c>
    </row>
    <row r="442" hidden="1" outlineLevel="1" ht="15" customHeight="1" s="15">
      <c r="AT442" s="36">
        <f>IF(OR(AH262="",AH262=7),"","A")</f>
        <v/>
      </c>
      <c r="AU442" s="36">
        <f>IF(OR(AH262="",AH262&gt;=6),"","A")</f>
        <v/>
      </c>
    </row>
    <row r="443" hidden="1" outlineLevel="1" ht="15" customHeight="1" s="15">
      <c r="AT443" s="36">
        <f>IF(OR(AH262="",AH262=7),"","F")</f>
        <v/>
      </c>
      <c r="AU443" s="36">
        <f>IF(OR(AH262="",AH262&gt;=6),"","F")</f>
        <v/>
      </c>
    </row>
    <row r="444" hidden="1" outlineLevel="1" ht="15" customHeight="1" s="15">
      <c r="AT444" s="36">
        <f>IF(OR(AH262="",AH262=7),"","C")</f>
        <v/>
      </c>
      <c r="AU444" s="36">
        <f>IF(OR(AH262="",AH262&gt;=6),"","C")</f>
        <v/>
      </c>
    </row>
    <row r="445" hidden="1" outlineLevel="1" ht="15" customHeight="1" s="15">
      <c r="AT445" s="36">
        <f>IF(AND(AH262&lt;&gt;"",AH262=7),"R","")</f>
        <v/>
      </c>
      <c r="AU445" s="36">
        <f>IF(AND(AH262&lt;&gt;"",AH262&gt;=6),"R","")</f>
        <v/>
      </c>
    </row>
    <row r="446" hidden="1" outlineLevel="1" ht="15" customHeight="1" s="15">
      <c r="AT446" s="36">
        <f>IF(OR(AI262="",AI262=7),"","P")</f>
        <v/>
      </c>
      <c r="AU446" s="36">
        <f>IF(OR(AI262="",AI262&gt;=6),"","P")</f>
        <v/>
      </c>
    </row>
    <row r="447" hidden="1" outlineLevel="1" ht="15" customHeight="1" s="15">
      <c r="AT447" s="36">
        <f>IF(OR(AI262="",AI262=7),"","D")</f>
        <v/>
      </c>
      <c r="AU447" s="36">
        <f>IF(OR(AI262="",AI262&gt;=6),"","D")</f>
        <v/>
      </c>
    </row>
    <row r="448" hidden="1" outlineLevel="1" ht="15" customHeight="1" s="15">
      <c r="AT448" s="36">
        <f>IF(OR(AI262="",AI262=7),"","A")</f>
        <v/>
      </c>
      <c r="AU448" s="36">
        <f>IF(OR(AI262="",AI262&gt;=6),"","A")</f>
        <v/>
      </c>
    </row>
    <row r="449" hidden="1" outlineLevel="1" ht="15" customHeight="1" s="15">
      <c r="AT449" s="36">
        <f>IF(OR(AI262="",AI262=7),"","F")</f>
        <v/>
      </c>
      <c r="AU449" s="36">
        <f>IF(OR(AI262="",AI262&gt;=6),"","F")</f>
        <v/>
      </c>
    </row>
    <row r="450" hidden="1" outlineLevel="1" ht="15" customHeight="1" s="15">
      <c r="AT450" s="36">
        <f>IF(OR(AI262="",AI262=7),"","C")</f>
        <v/>
      </c>
      <c r="AU450" s="36">
        <f>IF(OR(AI262="",AI262&gt;=6),"","C")</f>
        <v/>
      </c>
    </row>
    <row r="451" hidden="1" outlineLevel="1" ht="15" customHeight="1" s="15">
      <c r="AT451" s="36">
        <f>IF(AND(AI262&lt;&gt;"",AI262=7),"R","")</f>
        <v/>
      </c>
      <c r="AU451" s="36">
        <f>IF(AND(AI262&lt;&gt;"",AI262&gt;=6),"R","")</f>
        <v/>
      </c>
    </row>
    <row r="452" hidden="1" outlineLevel="1" ht="15" customHeight="1" s="15">
      <c r="AT452" s="36">
        <f>IF(OR(AJ262="",AJ262=7),"","P")</f>
        <v/>
      </c>
      <c r="AU452" s="36">
        <f>IF(OR(AJ262="",AJ262&gt;=6),"","P")</f>
        <v/>
      </c>
    </row>
    <row r="453" hidden="1" outlineLevel="1" ht="15" customHeight="1" s="15">
      <c r="AT453" s="36">
        <f>IF(OR(AJ262="",AJ262=7),"","D")</f>
        <v/>
      </c>
      <c r="AU453" s="36">
        <f>IF(OR(AJ262="",AJ262&gt;=6),"","D")</f>
        <v/>
      </c>
    </row>
    <row r="454" hidden="1" outlineLevel="1" ht="15" customHeight="1" s="15">
      <c r="AT454" s="36">
        <f>IF(OR(AJ262="",AJ262=7),"","A")</f>
        <v/>
      </c>
      <c r="AU454" s="36">
        <f>IF(OR(AJ262="",AJ262&gt;=6),"","A")</f>
        <v/>
      </c>
    </row>
    <row r="455" hidden="1" outlineLevel="1" ht="15" customHeight="1" s="15">
      <c r="AT455" s="36">
        <f>IF(OR(AJ262="",AJ262=7),"","F")</f>
        <v/>
      </c>
      <c r="AU455" s="36">
        <f>IF(OR(AJ262="",AJ262&gt;=6),"","F")</f>
        <v/>
      </c>
    </row>
    <row r="456" hidden="1" outlineLevel="1" ht="15" customHeight="1" s="15">
      <c r="AT456" s="36">
        <f>IF(OR(AJ262="",AJ262=7),"","C")</f>
        <v/>
      </c>
      <c r="AU456" s="36">
        <f>IF(OR(AJ262="",AJ262&gt;=6),"","C")</f>
        <v/>
      </c>
    </row>
    <row r="457" hidden="1" outlineLevel="1" ht="15" customHeight="1" s="15">
      <c r="AT457" s="36">
        <f>IF(AND(AJ262&lt;&gt;"",AJ262=7),"R","")</f>
        <v/>
      </c>
      <c r="AU457" s="36">
        <f>IF(AND(AJ262&lt;&gt;"",AJ262&gt;=6),"R","")</f>
        <v/>
      </c>
    </row>
    <row r="458" hidden="1" outlineLevel="1" ht="15" customHeight="1" s="15">
      <c r="AT458" s="36">
        <f>IF(OR(AK262="",AK262=7),"","P")</f>
        <v/>
      </c>
      <c r="AU458" s="36">
        <f>IF(OR(AK262="",AK262&gt;=6),"","P")</f>
        <v/>
      </c>
    </row>
    <row r="459" hidden="1" outlineLevel="1" ht="15" customHeight="1" s="15">
      <c r="AT459" s="36">
        <f>IF(OR(AK262="",AK262=7),"","D")</f>
        <v/>
      </c>
      <c r="AU459" s="36">
        <f>IF(OR(AK262="",AK262&gt;=6),"","D")</f>
        <v/>
      </c>
    </row>
    <row r="460" hidden="1" outlineLevel="1" ht="15" customHeight="1" s="15">
      <c r="AT460" s="36">
        <f>IF(OR(AK262="",AK262=7),"","A")</f>
        <v/>
      </c>
      <c r="AU460" s="36">
        <f>IF(OR(AK262="",AK262&gt;=6),"","A")</f>
        <v/>
      </c>
    </row>
    <row r="461" hidden="1" outlineLevel="1" ht="15" customHeight="1" s="15">
      <c r="AT461" s="36">
        <f>IF(OR(AK262="",AK262=7),"","F")</f>
        <v/>
      </c>
      <c r="AU461" s="36">
        <f>IF(OR(AK262="",AK262&gt;=6),"","F")</f>
        <v/>
      </c>
    </row>
    <row r="462" hidden="1" outlineLevel="1" ht="15" customHeight="1" s="15">
      <c r="AT462" s="36">
        <f>IF(OR(AK262="",AK262=7),"","C")</f>
        <v/>
      </c>
      <c r="AU462" s="36">
        <f>IF(OR(AK262="",AK262&gt;=6),"","C")</f>
        <v/>
      </c>
    </row>
    <row r="463" hidden="1" outlineLevel="1" ht="15" customHeight="1" s="15">
      <c r="AT463" s="36">
        <f>IF(AND(AK262&lt;&gt;"",AK262=7),"R","")</f>
        <v/>
      </c>
      <c r="AU463" s="36">
        <f>IF(AND(AK262&lt;&gt;"",AK262&gt;=6),"R","")</f>
        <v/>
      </c>
    </row>
    <row r="464" hidden="1" outlineLevel="1" ht="15" customHeight="1" s="15">
      <c r="AT464" s="36">
        <f>IF(OR(AL262="",AL262=7),"","P")</f>
        <v/>
      </c>
      <c r="AU464" s="36">
        <f>IF(OR(AL262="",AL262&gt;=6),"","P")</f>
        <v/>
      </c>
    </row>
    <row r="465" hidden="1" outlineLevel="1" ht="15" customHeight="1" s="15">
      <c r="AT465" s="36">
        <f>IF(OR(AL262="",AL262=7),"","D")</f>
        <v/>
      </c>
      <c r="AU465" s="36">
        <f>IF(OR(AL262="",AL262&gt;=6),"","D")</f>
        <v/>
      </c>
    </row>
    <row r="466" hidden="1" outlineLevel="1" ht="15" customHeight="1" s="15">
      <c r="AT466" s="36">
        <f>IF(OR(AL262="",AL262=7),"","A")</f>
        <v/>
      </c>
      <c r="AU466" s="36">
        <f>IF(OR(AL262="",AL262&gt;=6),"","A")</f>
        <v/>
      </c>
    </row>
    <row r="467" hidden="1" outlineLevel="1" ht="15" customHeight="1" s="15">
      <c r="AT467" s="36">
        <f>IF(OR(AL262="",AL262=7),"","F")</f>
        <v/>
      </c>
      <c r="AU467" s="36">
        <f>IF(OR(AL262="",AL262&gt;=6),"","F")</f>
        <v/>
      </c>
    </row>
    <row r="468" hidden="1" outlineLevel="1" ht="15" customHeight="1" s="15">
      <c r="AT468" s="36">
        <f>IF(OR(AL262="",AL262=7),"","C")</f>
        <v/>
      </c>
      <c r="AU468" s="36">
        <f>IF(OR(AL262="",AL262&gt;=6),"","C")</f>
        <v/>
      </c>
    </row>
    <row r="469" hidden="1" outlineLevel="1" ht="15" customHeight="1" s="15">
      <c r="AT469" s="36">
        <f>IF(AND(AL262&lt;&gt;"",AL262=7),"R","")</f>
        <v/>
      </c>
      <c r="AU469" s="36">
        <f>IF(AND(AL262&lt;&gt;"",AL262&gt;=6),"R","")</f>
        <v/>
      </c>
    </row>
    <row r="470" hidden="1" outlineLevel="1" ht="15" customHeight="1" s="15">
      <c r="AT470" s="36">
        <f>IF(OR(AM262="",AM262=7),"","P")</f>
        <v/>
      </c>
      <c r="AU470" s="36">
        <f>IF(OR(AM262="",AM262&gt;=6),"","P")</f>
        <v/>
      </c>
    </row>
    <row r="471" hidden="1" outlineLevel="1" ht="15" customHeight="1" s="15">
      <c r="AT471" s="36">
        <f>IF(OR(AM262="",AM262=7),"","D")</f>
        <v/>
      </c>
      <c r="AU471" s="36">
        <f>IF(OR(AM262="",AM262&gt;=6),"","D")</f>
        <v/>
      </c>
    </row>
    <row r="472" hidden="1" outlineLevel="1" ht="15" customHeight="1" s="15">
      <c r="AT472" s="36">
        <f>IF(OR(AM262="",AM262=7),"","A")</f>
        <v/>
      </c>
      <c r="AU472" s="36">
        <f>IF(OR(AM262="",AM262&gt;=6),"","A")</f>
        <v/>
      </c>
    </row>
    <row r="473" hidden="1" outlineLevel="1" ht="15" customHeight="1" s="15">
      <c r="AT473" s="36">
        <f>IF(OR(AM262="",AM262=7),"","F")</f>
        <v/>
      </c>
      <c r="AU473" s="36">
        <f>IF(OR(AM262="",AM262&gt;=6),"","F")</f>
        <v/>
      </c>
    </row>
    <row r="474" hidden="1" outlineLevel="1" ht="15" customHeight="1" s="15">
      <c r="AT474" s="36">
        <f>IF(OR(AM262="",AM262=7),"","C")</f>
        <v/>
      </c>
      <c r="AU474" s="36">
        <f>IF(OR(AM262="",AM262&gt;=6),"","C")</f>
        <v/>
      </c>
    </row>
    <row r="475" hidden="1" outlineLevel="1" ht="15" customHeight="1" s="15">
      <c r="AT475" s="36">
        <f>IF(AND(AM262&lt;&gt;"",AM262=7),"R","")</f>
        <v/>
      </c>
      <c r="AU475" s="36">
        <f>IF(AND(AM262&lt;&gt;"",AM262&gt;=6),"R","")</f>
        <v/>
      </c>
    </row>
    <row r="476" hidden="1" outlineLevel="1" ht="15" customHeight="1" s="15">
      <c r="AT476" s="36">
        <f>IF(OR(AN262="",AN262=7),"","P")</f>
        <v/>
      </c>
      <c r="AU476" s="36">
        <f>IF(OR(AN262="",AN262&gt;=6),"","P")</f>
        <v/>
      </c>
    </row>
    <row r="477" hidden="1" outlineLevel="1" ht="15" customHeight="1" s="15">
      <c r="AT477" s="36">
        <f>IF(OR(AN262="",AN262=7),"","D")</f>
        <v/>
      </c>
      <c r="AU477" s="36">
        <f>IF(OR(AN262="",AN262&gt;=6),"","D")</f>
        <v/>
      </c>
    </row>
    <row r="478" hidden="1" outlineLevel="1" ht="15" customHeight="1" s="15">
      <c r="AT478" s="36">
        <f>IF(OR(AN262="",AN262=7),"","A")</f>
        <v/>
      </c>
      <c r="AU478" s="36">
        <f>IF(OR(AN262="",AN262&gt;=6),"","A")</f>
        <v/>
      </c>
    </row>
    <row r="479" hidden="1" outlineLevel="1" ht="15" customHeight="1" s="15">
      <c r="AT479" s="36">
        <f>IF(OR(AN262="",AN262=7),"","F")</f>
        <v/>
      </c>
      <c r="AU479" s="36">
        <f>IF(OR(AN262="",AN262&gt;=6),"","F")</f>
        <v/>
      </c>
    </row>
    <row r="480" hidden="1" outlineLevel="1" ht="15" customHeight="1" s="15">
      <c r="AT480" s="36">
        <f>IF(OR(AN262="",AN262=7),"","C")</f>
        <v/>
      </c>
      <c r="AU480" s="36">
        <f>IF(OR(AN262="",AN262&gt;=6),"","C")</f>
        <v/>
      </c>
    </row>
    <row r="481" hidden="1" outlineLevel="1" ht="15" customHeight="1" s="15">
      <c r="AT481" s="36">
        <f>IF(AND(AN262&lt;&gt;"",AN262=7),"R","")</f>
        <v/>
      </c>
      <c r="AU481" s="36">
        <f>IF(AND(AN262&lt;&gt;"",AN262&gt;=6),"R","")</f>
        <v/>
      </c>
    </row>
    <row r="482" hidden="1" outlineLevel="1" ht="15" customHeight="1" s="15">
      <c r="AT482" s="36">
        <f>IF(OR(AO262="",AO262=7),"","P")</f>
        <v/>
      </c>
      <c r="AU482" s="36">
        <f>IF(OR(AO262="",AO262&gt;=6),"","P")</f>
        <v/>
      </c>
    </row>
    <row r="483" hidden="1" outlineLevel="1" ht="15" customHeight="1" s="15">
      <c r="AT483" s="36">
        <f>IF(OR(AO262="",AO262=7),"","D")</f>
        <v/>
      </c>
      <c r="AU483" s="36">
        <f>IF(OR(AO262="",AO262&gt;=6),"","D")</f>
        <v/>
      </c>
    </row>
    <row r="484" hidden="1" outlineLevel="1" ht="15" customHeight="1" s="15">
      <c r="AT484" s="36">
        <f>IF(OR(AO262="",AO262=7),"","A")</f>
        <v/>
      </c>
      <c r="AU484" s="36">
        <f>IF(OR(AO262="",AO262&gt;=6),"","A")</f>
        <v/>
      </c>
    </row>
    <row r="485" hidden="1" outlineLevel="1" ht="15" customHeight="1" s="15">
      <c r="AT485" s="36">
        <f>IF(OR(AO262="",AO262=7),"","F")</f>
        <v/>
      </c>
      <c r="AU485" s="36">
        <f>IF(OR(AO262="",AO262&gt;=6),"","F")</f>
        <v/>
      </c>
    </row>
    <row r="486" hidden="1" outlineLevel="1" ht="15" customHeight="1" s="15">
      <c r="AT486" s="36">
        <f>IF(OR(AO262="",AO262=7),"","C")</f>
        <v/>
      </c>
      <c r="AU486" s="36">
        <f>IF(OR(AO262="",AO262&gt;=6),"","C")</f>
        <v/>
      </c>
    </row>
    <row r="487" hidden="1" outlineLevel="1" ht="15" customHeight="1" s="15">
      <c r="AT487" s="36">
        <f>IF(AND(AO262&lt;&gt;"",AO262=7),"R","")</f>
        <v/>
      </c>
      <c r="AU487" s="36">
        <f>IF(AND(AO262&lt;&gt;"",AO262&gt;=6),"R","")</f>
        <v/>
      </c>
    </row>
    <row r="488" hidden="1" outlineLevel="1" ht="15" customHeight="1" s="15">
      <c r="AT488" s="36">
        <f>IF(OR(AP262="",AP262=7),"","P")</f>
        <v/>
      </c>
      <c r="AU488" s="36">
        <f>IF(OR(AP262="",AP262&gt;=6),"","P")</f>
        <v/>
      </c>
    </row>
    <row r="489" hidden="1" outlineLevel="1" ht="15" customHeight="1" s="15">
      <c r="AT489" s="36">
        <f>IF(OR(AP262="",AP262=7),"","D")</f>
        <v/>
      </c>
      <c r="AU489" s="36">
        <f>IF(OR(AP262="",AP262&gt;=6),"","D")</f>
        <v/>
      </c>
    </row>
    <row r="490" hidden="1" outlineLevel="1" ht="15" customHeight="1" s="15">
      <c r="AT490" s="36">
        <f>IF(OR(AP262="",AP262=7),"","A")</f>
        <v/>
      </c>
      <c r="AU490" s="36">
        <f>IF(OR(AP262="",AP262&gt;=6),"","A")</f>
        <v/>
      </c>
    </row>
    <row r="491" hidden="1" outlineLevel="1" ht="15" customHeight="1" s="15">
      <c r="AT491" s="36">
        <f>IF(OR(AP262="",AP262=7),"","F")</f>
        <v/>
      </c>
      <c r="AU491" s="36">
        <f>IF(OR(AP262="",AP262&gt;=6),"","F")</f>
        <v/>
      </c>
    </row>
    <row r="492" hidden="1" outlineLevel="1" ht="15" customHeight="1" s="15">
      <c r="AT492" s="36">
        <f>IF(OR(AP262="",AP262=7),"","C")</f>
        <v/>
      </c>
      <c r="AU492" s="36">
        <f>IF(OR(AP262="",AP262&gt;=6),"","C")</f>
        <v/>
      </c>
    </row>
    <row r="493" hidden="1" outlineLevel="1" ht="15" customHeight="1" s="15">
      <c r="AT493" s="36">
        <f>IF(AND(AP262&lt;&gt;"",AP262=7),"R","")</f>
        <v/>
      </c>
      <c r="AU493" s="36">
        <f>IF(AND(AP262&lt;&gt;"",AP262&gt;=6),"R","")</f>
        <v/>
      </c>
    </row>
    <row r="494" hidden="1" outlineLevel="1" ht="15" customHeight="1" s="15">
      <c r="AT494" s="36">
        <f>IF(OR(AQ262="",AQ262=7),"","P")</f>
        <v/>
      </c>
      <c r="AU494" s="36">
        <f>IF(OR(AQ262="",AQ262&gt;=6),"","P")</f>
        <v/>
      </c>
    </row>
    <row r="495" hidden="1" outlineLevel="1" ht="15" customHeight="1" s="15">
      <c r="AT495" s="36">
        <f>IF(OR(AQ262="",AQ262=7),"","D")</f>
        <v/>
      </c>
      <c r="AU495" s="36">
        <f>IF(OR(AQ262="",AQ262&gt;=6),"","D")</f>
        <v/>
      </c>
    </row>
    <row r="496" hidden="1" outlineLevel="1" ht="15" customHeight="1" s="15">
      <c r="AT496" s="36">
        <f>IF(OR(AQ262="",AQ262=7),"","A")</f>
        <v/>
      </c>
      <c r="AU496" s="36">
        <f>IF(OR(AQ262="",AQ262&gt;=6),"","A")</f>
        <v/>
      </c>
    </row>
    <row r="497" hidden="1" outlineLevel="1" ht="15" customHeight="1" s="15">
      <c r="AT497" s="36">
        <f>IF(OR(AQ262="",AQ262=7),"","F")</f>
        <v/>
      </c>
      <c r="AU497" s="36">
        <f>IF(OR(AQ262="",AQ262&gt;=6),"","F")</f>
        <v/>
      </c>
    </row>
    <row r="498" hidden="1" outlineLevel="1" ht="15" customHeight="1" s="15">
      <c r="AT498" s="36">
        <f>IF(OR(AQ262="",AQ262=7),"","C")</f>
        <v/>
      </c>
      <c r="AU498" s="36">
        <f>IF(OR(AQ262="",AQ262&gt;=6),"","C")</f>
        <v/>
      </c>
    </row>
    <row r="499" hidden="1" outlineLevel="1" ht="15" customHeight="1" s="15">
      <c r="AT499" s="36">
        <f>IF(AND(AQ262&lt;&gt;"",AQ262=7),"R","")</f>
        <v/>
      </c>
      <c r="AU499" s="36">
        <f>IF(AND(AQ262&lt;&gt;"",AQ262&gt;=6),"R","")</f>
        <v/>
      </c>
    </row>
    <row r="500" hidden="1" outlineLevel="1" ht="15" customHeight="1" s="15">
      <c r="AT500" s="36">
        <f>IF(OR(AR262="",AR262=7),"","P")</f>
        <v/>
      </c>
      <c r="AU500" s="36">
        <f>IF(OR(AR262="",AR262&gt;=6),"","P")</f>
        <v/>
      </c>
    </row>
    <row r="501" hidden="1" outlineLevel="1" ht="15" customHeight="1" s="15">
      <c r="AT501" s="36">
        <f>IF(OR(AR262="",AR262=7),"","D")</f>
        <v/>
      </c>
      <c r="AU501" s="36">
        <f>IF(OR(AR262="",AR262&gt;=6),"","D")</f>
        <v/>
      </c>
    </row>
    <row r="502" hidden="1" outlineLevel="1" ht="15" customHeight="1" s="15">
      <c r="AT502" s="36">
        <f>IF(OR(AR262="",AR262=7),"","A")</f>
        <v/>
      </c>
      <c r="AU502" s="36">
        <f>IF(OR(AR262="",AR262&gt;=6),"","A")</f>
        <v/>
      </c>
    </row>
    <row r="503" hidden="1" outlineLevel="1" ht="15" customHeight="1" s="15">
      <c r="AT503" s="36">
        <f>IF(OR(AR262="",AR262=7),"","F")</f>
        <v/>
      </c>
      <c r="AU503" s="36">
        <f>IF(OR(AR262="",AR262&gt;=6),"","F")</f>
        <v/>
      </c>
    </row>
    <row r="504" hidden="1" outlineLevel="1" ht="15" customHeight="1" s="15">
      <c r="AT504" s="36">
        <f>IF(OR(AR262="",AR262=7),"","C")</f>
        <v/>
      </c>
      <c r="AU504" s="36">
        <f>IF(OR(AR262="",AR262&gt;=6),"","C")</f>
        <v/>
      </c>
    </row>
    <row r="505" hidden="1" outlineLevel="1" ht="15" customHeight="1" s="15">
      <c r="AT505" s="36">
        <f>IF(AND(AR262&lt;&gt;"",AR262=7),"R","")</f>
        <v/>
      </c>
      <c r="AU505" s="36">
        <f>IF(AND(AR262&lt;&gt;"",AR262&gt;=6),"R","")</f>
        <v/>
      </c>
    </row>
    <row r="506" hidden="1" outlineLevel="1" ht="15" customHeight="1" s="15">
      <c r="AT506" s="36">
        <f>IF(OR(AS262="",AS262=7),"","P")</f>
        <v/>
      </c>
      <c r="AU506" s="36">
        <f>IF(OR(AS262="",AS262&gt;=6),"","P")</f>
        <v/>
      </c>
    </row>
    <row r="507" hidden="1" outlineLevel="1" ht="15" customHeight="1" s="15">
      <c r="AT507" s="36">
        <f>IF(OR(AS262="",AS262=7),"","D")</f>
        <v/>
      </c>
      <c r="AU507" s="36">
        <f>IF(OR(AS262="",AS262&gt;=6),"","D")</f>
        <v/>
      </c>
    </row>
    <row r="508" hidden="1" outlineLevel="1" ht="15" customHeight="1" s="15">
      <c r="AT508" s="36">
        <f>IF(OR(AS262="",AS262=7),"","A")</f>
        <v/>
      </c>
      <c r="AU508" s="36">
        <f>IF(OR(AS262="",AS262&gt;=6),"","A")</f>
        <v/>
      </c>
    </row>
    <row r="509" hidden="1" outlineLevel="1" ht="15" customHeight="1" s="15">
      <c r="AT509" s="36">
        <f>IF(OR(AS262="",AS262=7),"","F")</f>
        <v/>
      </c>
      <c r="AU509" s="36">
        <f>IF(OR(AS262="",AS262&gt;=6),"","F")</f>
        <v/>
      </c>
    </row>
    <row r="510" hidden="1" outlineLevel="1" ht="15" customHeight="1" s="15">
      <c r="AT510" s="36">
        <f>IF(OR(AS262="",AS262=7),"","C")</f>
        <v/>
      </c>
      <c r="AU510" s="36">
        <f>IF(OR(AS262="",AS262&gt;=6),"","C")</f>
        <v/>
      </c>
    </row>
    <row r="511" hidden="1" outlineLevel="1" ht="15" customHeight="1" s="15">
      <c r="AT511" s="36">
        <f>IF(AND(AS262&lt;&gt;"",AS262=7),"R","")</f>
        <v/>
      </c>
      <c r="AU511" s="36">
        <f>IF(AND(AS262&lt;&gt;"",AS262&gt;=6),"R","")</f>
        <v/>
      </c>
    </row>
    <row r="512" ht="21.75" customHeight="1" s="15">
      <c r="B512" s="6" t="inlineStr">
        <is>
          <t>ℹ  Grille de pointage Février — P/D/A/F/C/R, jours prévus/réels/absence calculés (jours ouvrables réels, WEEKDAY). R ne se propose que le jour de repos (repos exceptionnellement travaillé, +majoration). Listes techniques et ligne de calendrier repliées par défaut.</t>
        </is>
      </c>
    </row>
    <row r="514" ht="19.5" customHeight="1" s="15">
      <c r="B514" s="71">
        <f>"  MARS " &amp; PARAMETRES!$C$29</f>
        <v/>
      </c>
    </row>
    <row r="515" hidden="1" ht="15" customHeight="1" s="15">
      <c r="B515" s="36" t="inlineStr">
        <is>
          <t>Jour sem. (technique)</t>
        </is>
      </c>
      <c r="O515" s="37">
        <f>IF(1&gt;DAY(EOMONTH(DATE(PARAMETRES!$C$29,3,1),0)),"",WEEKDAY(DATE(PARAMETRES!$C$29,3,1),2))</f>
        <v/>
      </c>
      <c r="P515" s="37">
        <f>IF(2&gt;DAY(EOMONTH(DATE(PARAMETRES!$C$29,3,1),0)),"",WEEKDAY(DATE(PARAMETRES!$C$29,3,2),2))</f>
        <v/>
      </c>
      <c r="Q515" s="37">
        <f>IF(3&gt;DAY(EOMONTH(DATE(PARAMETRES!$C$29,3,1),0)),"",WEEKDAY(DATE(PARAMETRES!$C$29,3,3),2))</f>
        <v/>
      </c>
      <c r="R515" s="37">
        <f>IF(4&gt;DAY(EOMONTH(DATE(PARAMETRES!$C$29,3,1),0)),"",WEEKDAY(DATE(PARAMETRES!$C$29,3,4),2))</f>
        <v/>
      </c>
      <c r="S515" s="37">
        <f>IF(5&gt;DAY(EOMONTH(DATE(PARAMETRES!$C$29,3,1),0)),"",WEEKDAY(DATE(PARAMETRES!$C$29,3,5),2))</f>
        <v/>
      </c>
      <c r="T515" s="37">
        <f>IF(6&gt;DAY(EOMONTH(DATE(PARAMETRES!$C$29,3,1),0)),"",WEEKDAY(DATE(PARAMETRES!$C$29,3,6),2))</f>
        <v/>
      </c>
      <c r="U515" s="37">
        <f>IF(7&gt;DAY(EOMONTH(DATE(PARAMETRES!$C$29,3,1),0)),"",WEEKDAY(DATE(PARAMETRES!$C$29,3,7),2))</f>
        <v/>
      </c>
      <c r="V515" s="37">
        <f>IF(8&gt;DAY(EOMONTH(DATE(PARAMETRES!$C$29,3,1),0)),"",WEEKDAY(DATE(PARAMETRES!$C$29,3,8),2))</f>
        <v/>
      </c>
      <c r="W515" s="37">
        <f>IF(9&gt;DAY(EOMONTH(DATE(PARAMETRES!$C$29,3,1),0)),"",WEEKDAY(DATE(PARAMETRES!$C$29,3,9),2))</f>
        <v/>
      </c>
      <c r="X515" s="37">
        <f>IF(10&gt;DAY(EOMONTH(DATE(PARAMETRES!$C$29,3,1),0)),"",WEEKDAY(DATE(PARAMETRES!$C$29,3,10),2))</f>
        <v/>
      </c>
      <c r="Y515" s="37">
        <f>IF(11&gt;DAY(EOMONTH(DATE(PARAMETRES!$C$29,3,1),0)),"",WEEKDAY(DATE(PARAMETRES!$C$29,3,11),2))</f>
        <v/>
      </c>
      <c r="Z515" s="37">
        <f>IF(12&gt;DAY(EOMONTH(DATE(PARAMETRES!$C$29,3,1),0)),"",WEEKDAY(DATE(PARAMETRES!$C$29,3,12),2))</f>
        <v/>
      </c>
      <c r="AA515" s="37">
        <f>IF(13&gt;DAY(EOMONTH(DATE(PARAMETRES!$C$29,3,1),0)),"",WEEKDAY(DATE(PARAMETRES!$C$29,3,13),2))</f>
        <v/>
      </c>
      <c r="AB515" s="37">
        <f>IF(14&gt;DAY(EOMONTH(DATE(PARAMETRES!$C$29,3,1),0)),"",WEEKDAY(DATE(PARAMETRES!$C$29,3,14),2))</f>
        <v/>
      </c>
      <c r="AC515" s="37">
        <f>IF(15&gt;DAY(EOMONTH(DATE(PARAMETRES!$C$29,3,1),0)),"",WEEKDAY(DATE(PARAMETRES!$C$29,3,15),2))</f>
        <v/>
      </c>
      <c r="AD515" s="37">
        <f>IF(16&gt;DAY(EOMONTH(DATE(PARAMETRES!$C$29,3,1),0)),"",WEEKDAY(DATE(PARAMETRES!$C$29,3,16),2))</f>
        <v/>
      </c>
      <c r="AE515" s="37">
        <f>IF(17&gt;DAY(EOMONTH(DATE(PARAMETRES!$C$29,3,1),0)),"",WEEKDAY(DATE(PARAMETRES!$C$29,3,17),2))</f>
        <v/>
      </c>
      <c r="AF515" s="37">
        <f>IF(18&gt;DAY(EOMONTH(DATE(PARAMETRES!$C$29,3,1),0)),"",WEEKDAY(DATE(PARAMETRES!$C$29,3,18),2))</f>
        <v/>
      </c>
      <c r="AG515" s="37">
        <f>IF(19&gt;DAY(EOMONTH(DATE(PARAMETRES!$C$29,3,1),0)),"",WEEKDAY(DATE(PARAMETRES!$C$29,3,19),2))</f>
        <v/>
      </c>
      <c r="AH515" s="37">
        <f>IF(20&gt;DAY(EOMONTH(DATE(PARAMETRES!$C$29,3,1),0)),"",WEEKDAY(DATE(PARAMETRES!$C$29,3,20),2))</f>
        <v/>
      </c>
      <c r="AI515" s="37">
        <f>IF(21&gt;DAY(EOMONTH(DATE(PARAMETRES!$C$29,3,1),0)),"",WEEKDAY(DATE(PARAMETRES!$C$29,3,21),2))</f>
        <v/>
      </c>
      <c r="AJ515" s="37">
        <f>IF(22&gt;DAY(EOMONTH(DATE(PARAMETRES!$C$29,3,1),0)),"",WEEKDAY(DATE(PARAMETRES!$C$29,3,22),2))</f>
        <v/>
      </c>
      <c r="AK515" s="37">
        <f>IF(23&gt;DAY(EOMONTH(DATE(PARAMETRES!$C$29,3,1),0)),"",WEEKDAY(DATE(PARAMETRES!$C$29,3,23),2))</f>
        <v/>
      </c>
      <c r="AL515" s="37">
        <f>IF(24&gt;DAY(EOMONTH(DATE(PARAMETRES!$C$29,3,1),0)),"",WEEKDAY(DATE(PARAMETRES!$C$29,3,24),2))</f>
        <v/>
      </c>
      <c r="AM515" s="37">
        <f>IF(25&gt;DAY(EOMONTH(DATE(PARAMETRES!$C$29,3,1),0)),"",WEEKDAY(DATE(PARAMETRES!$C$29,3,25),2))</f>
        <v/>
      </c>
      <c r="AN515" s="37">
        <f>IF(26&gt;DAY(EOMONTH(DATE(PARAMETRES!$C$29,3,1),0)),"",WEEKDAY(DATE(PARAMETRES!$C$29,3,26),2))</f>
        <v/>
      </c>
      <c r="AO515" s="37">
        <f>IF(27&gt;DAY(EOMONTH(DATE(PARAMETRES!$C$29,3,1),0)),"",WEEKDAY(DATE(PARAMETRES!$C$29,3,27),2))</f>
        <v/>
      </c>
      <c r="AP515" s="37">
        <f>IF(28&gt;DAY(EOMONTH(DATE(PARAMETRES!$C$29,3,1),0)),"",WEEKDAY(DATE(PARAMETRES!$C$29,3,28),2))</f>
        <v/>
      </c>
      <c r="AQ515" s="37">
        <f>IF(29&gt;DAY(EOMONTH(DATE(PARAMETRES!$C$29,3,1),0)),"",WEEKDAY(DATE(PARAMETRES!$C$29,3,29),2))</f>
        <v/>
      </c>
      <c r="AR515" s="37">
        <f>IF(30&gt;DAY(EOMONTH(DATE(PARAMETRES!$C$29,3,1),0)),"",WEEKDAY(DATE(PARAMETRES!$C$29,3,30),2))</f>
        <v/>
      </c>
      <c r="AS515" s="37">
        <f>IF(31&gt;DAY(EOMONTH(DATE(PARAMETRES!$C$29,3,1),0)),"",WEEKDAY(DATE(PARAMETRES!$C$29,3,31),2))</f>
        <v/>
      </c>
    </row>
    <row r="516" ht="15" customHeight="1" s="15">
      <c r="B516" s="38" t="inlineStr">
        <is>
          <t>Jour</t>
        </is>
      </c>
      <c r="O516" s="39">
        <f>IF(O515="","",CHOOSE(O515,"L","M","M","J","V","S","D"))</f>
        <v/>
      </c>
      <c r="P516" s="39">
        <f>IF(P515="","",CHOOSE(P515,"L","M","M","J","V","S","D"))</f>
        <v/>
      </c>
      <c r="Q516" s="39">
        <f>IF(Q515="","",CHOOSE(Q515,"L","M","M","J","V","S","D"))</f>
        <v/>
      </c>
      <c r="R516" s="39">
        <f>IF(R515="","",CHOOSE(R515,"L","M","M","J","V","S","D"))</f>
        <v/>
      </c>
      <c r="S516" s="39">
        <f>IF(S515="","",CHOOSE(S515,"L","M","M","J","V","S","D"))</f>
        <v/>
      </c>
      <c r="T516" s="39">
        <f>IF(T515="","",CHOOSE(T515,"L","M","M","J","V","S","D"))</f>
        <v/>
      </c>
      <c r="U516" s="39">
        <f>IF(U515="","",CHOOSE(U515,"L","M","M","J","V","S","D"))</f>
        <v/>
      </c>
      <c r="V516" s="39">
        <f>IF(V515="","",CHOOSE(V515,"L","M","M","J","V","S","D"))</f>
        <v/>
      </c>
      <c r="W516" s="39">
        <f>IF(W515="","",CHOOSE(W515,"L","M","M","J","V","S","D"))</f>
        <v/>
      </c>
      <c r="X516" s="39">
        <f>IF(X515="","",CHOOSE(X515,"L","M","M","J","V","S","D"))</f>
        <v/>
      </c>
      <c r="Y516" s="39">
        <f>IF(Y515="","",CHOOSE(Y515,"L","M","M","J","V","S","D"))</f>
        <v/>
      </c>
      <c r="Z516" s="39">
        <f>IF(Z515="","",CHOOSE(Z515,"L","M","M","J","V","S","D"))</f>
        <v/>
      </c>
      <c r="AA516" s="39">
        <f>IF(AA515="","",CHOOSE(AA515,"L","M","M","J","V","S","D"))</f>
        <v/>
      </c>
      <c r="AB516" s="39">
        <f>IF(AB515="","",CHOOSE(AB515,"L","M","M","J","V","S","D"))</f>
        <v/>
      </c>
      <c r="AC516" s="39">
        <f>IF(AC515="","",CHOOSE(AC515,"L","M","M","J","V","S","D"))</f>
        <v/>
      </c>
      <c r="AD516" s="39">
        <f>IF(AD515="","",CHOOSE(AD515,"L","M","M","J","V","S","D"))</f>
        <v/>
      </c>
      <c r="AE516" s="39">
        <f>IF(AE515="","",CHOOSE(AE515,"L","M","M","J","V","S","D"))</f>
        <v/>
      </c>
      <c r="AF516" s="39">
        <f>IF(AF515="","",CHOOSE(AF515,"L","M","M","J","V","S","D"))</f>
        <v/>
      </c>
      <c r="AG516" s="39">
        <f>IF(AG515="","",CHOOSE(AG515,"L","M","M","J","V","S","D"))</f>
        <v/>
      </c>
      <c r="AH516" s="39">
        <f>IF(AH515="","",CHOOSE(AH515,"L","M","M","J","V","S","D"))</f>
        <v/>
      </c>
      <c r="AI516" s="39">
        <f>IF(AI515="","",CHOOSE(AI515,"L","M","M","J","V","S","D"))</f>
        <v/>
      </c>
      <c r="AJ516" s="39">
        <f>IF(AJ515="","",CHOOSE(AJ515,"L","M","M","J","V","S","D"))</f>
        <v/>
      </c>
      <c r="AK516" s="39">
        <f>IF(AK515="","",CHOOSE(AK515,"L","M","M","J","V","S","D"))</f>
        <v/>
      </c>
      <c r="AL516" s="39">
        <f>IF(AL515="","",CHOOSE(AL515,"L","M","M","J","V","S","D"))</f>
        <v/>
      </c>
      <c r="AM516" s="39">
        <f>IF(AM515="","",CHOOSE(AM515,"L","M","M","J","V","S","D"))</f>
        <v/>
      </c>
      <c r="AN516" s="39">
        <f>IF(AN515="","",CHOOSE(AN515,"L","M","M","J","V","S","D"))</f>
        <v/>
      </c>
      <c r="AO516" s="39">
        <f>IF(AO515="","",CHOOSE(AO515,"L","M","M","J","V","S","D"))</f>
        <v/>
      </c>
      <c r="AP516" s="39">
        <f>IF(AP515="","",CHOOSE(AP515,"L","M","M","J","V","S","D"))</f>
        <v/>
      </c>
      <c r="AQ516" s="39">
        <f>IF(AQ515="","",CHOOSE(AQ515,"L","M","M","J","V","S","D"))</f>
        <v/>
      </c>
      <c r="AR516" s="39">
        <f>IF(AR515="","",CHOOSE(AR515,"L","M","M","J","V","S","D"))</f>
        <v/>
      </c>
      <c r="AS516" s="39">
        <f>IF(AS515="","",CHOOSE(AS515,"L","M","M","J","V","S","D"))</f>
        <v/>
      </c>
    </row>
    <row r="517" ht="24" customHeight="1" s="15">
      <c r="B517" s="40" t="inlineStr">
        <is>
          <t>Mois</t>
        </is>
      </c>
      <c r="C517" s="40" t="inlineStr">
        <is>
          <t>Matricule</t>
        </is>
      </c>
      <c r="D517" s="40" t="inlineStr">
        <is>
          <t>Nom complet</t>
        </is>
      </c>
      <c r="E517" s="40" t="inlineStr">
        <is>
          <t>Heures
sup.</t>
        </is>
      </c>
      <c r="F517" s="40" t="inlineStr">
        <is>
          <t>Primes
(CDF)</t>
        </is>
      </c>
      <c r="G517" s="40" t="inlineStr">
        <is>
          <t>Jours
abs.</t>
        </is>
      </c>
      <c r="H517" s="40" t="inlineStr">
        <is>
          <t>Avance
(CDF)</t>
        </is>
      </c>
      <c r="I517" s="40" t="inlineStr">
        <is>
          <t>Contrôle
auto.</t>
        </is>
      </c>
      <c r="J517" s="40" t="inlineStr">
        <is>
          <t>Retenues
(CDF)</t>
        </is>
      </c>
      <c r="K517" s="40" t="inlineStr">
        <is>
          <t>Motif</t>
        </is>
      </c>
      <c r="L517" s="40" t="inlineStr">
        <is>
          <t>Observ.</t>
        </is>
      </c>
      <c r="M517" s="40" t="inlineStr">
        <is>
          <t>Jours
prévus</t>
        </is>
      </c>
      <c r="N517" s="40" t="inlineStr">
        <is>
          <t>Jours
réels</t>
        </is>
      </c>
      <c r="O517" s="40" t="n">
        <v>1</v>
      </c>
      <c r="P517" s="40" t="n">
        <v>2</v>
      </c>
      <c r="Q517" s="40" t="n">
        <v>3</v>
      </c>
      <c r="R517" s="40" t="n">
        <v>4</v>
      </c>
      <c r="S517" s="40" t="n">
        <v>5</v>
      </c>
      <c r="T517" s="40" t="n">
        <v>6</v>
      </c>
      <c r="U517" s="40" t="n">
        <v>7</v>
      </c>
      <c r="V517" s="40" t="n">
        <v>8</v>
      </c>
      <c r="W517" s="40" t="n">
        <v>9</v>
      </c>
      <c r="X517" s="40" t="n">
        <v>10</v>
      </c>
      <c r="Y517" s="40" t="n">
        <v>11</v>
      </c>
      <c r="Z517" s="40" t="n">
        <v>12</v>
      </c>
      <c r="AA517" s="40" t="n">
        <v>13</v>
      </c>
      <c r="AB517" s="40" t="n">
        <v>14</v>
      </c>
      <c r="AC517" s="40" t="n">
        <v>15</v>
      </c>
      <c r="AD517" s="40" t="n">
        <v>16</v>
      </c>
      <c r="AE517" s="40" t="n">
        <v>17</v>
      </c>
      <c r="AF517" s="40" t="n">
        <v>18</v>
      </c>
      <c r="AG517" s="40" t="n">
        <v>19</v>
      </c>
      <c r="AH517" s="40" t="n">
        <v>20</v>
      </c>
      <c r="AI517" s="40" t="n">
        <v>21</v>
      </c>
      <c r="AJ517" s="40" t="n">
        <v>22</v>
      </c>
      <c r="AK517" s="40" t="n">
        <v>23</v>
      </c>
      <c r="AL517" s="40" t="n">
        <v>24</v>
      </c>
      <c r="AM517" s="40" t="n">
        <v>25</v>
      </c>
      <c r="AN517" s="40" t="n">
        <v>26</v>
      </c>
      <c r="AO517" s="40" t="n">
        <v>27</v>
      </c>
      <c r="AP517" s="40" t="n">
        <v>28</v>
      </c>
      <c r="AQ517" s="40" t="n">
        <v>29</v>
      </c>
      <c r="AR517" s="40" t="n">
        <v>30</v>
      </c>
      <c r="AS517" s="40" t="n">
        <v>31</v>
      </c>
      <c r="AY517" s="40" t="inlineStr">
        <is>
          <t>Heures
nuit</t>
        </is>
      </c>
    </row>
    <row r="518" hidden="1" outlineLevel="1" ht="15" customHeight="1" s="15">
      <c r="B518" s="41" t="n">
        <v>3</v>
      </c>
      <c r="C518" s="42">
        <f>IF(EMPLOYES!C15="","",EMPLOYES!C15)</f>
        <v/>
      </c>
      <c r="D518" s="43">
        <f>IF(EMPLOYES!C15="","",EMPLOYES!D15)</f>
        <v/>
      </c>
      <c r="E518" s="44" t="n"/>
      <c r="F518" s="42" t="n"/>
      <c r="G518" s="41">
        <f>IF($C518="",0,MAX(0,$M518-$N518))</f>
        <v/>
      </c>
      <c r="H518" s="45" t="n"/>
      <c r="I518" s="41">
        <f>IF($C518="","",IF(H518="","OK",IF(H518&gt;EMPLOYES!P15,"⚠ Avance &gt; salaire",IF(H518&gt;EMPLOYES!P15*PARAMETRES!$C$218,"⚠ Avance élevée","OK"))))</f>
        <v/>
      </c>
      <c r="J518" s="45" t="n"/>
      <c r="K518" s="46" t="n"/>
      <c r="L518" s="46" t="n"/>
      <c r="M518" s="41">
        <f>IF($C518="","",SUMPRODUCT((PARAMETRES!$B$38:$B$157=PARAMETRES!$C$29)*(PARAMETRES!$C$38:$C$157=3)*(IF(EMPLOYES!M15="5j",PARAMETRES!$I$38:$I$157,PARAMETRES!$H$38:$H$157))))</f>
        <v/>
      </c>
      <c r="N518" s="41">
        <f>IF($C518="","",SUMPRODUCT((O518:AS518="P")+(O518:AS518="F")+(O518:AS518="C")+0.5*(O518:AS518="D"),(1-((O515:AS515=6)*(EMPLOYES!M15="5j")))))</f>
        <v/>
      </c>
      <c r="O518" s="46" t="n"/>
      <c r="P518" s="46" t="n"/>
      <c r="Q518" s="46" t="n"/>
      <c r="R518" s="46" t="n"/>
      <c r="S518" s="46" t="n"/>
      <c r="T518" s="46" t="n"/>
      <c r="U518" s="46" t="n"/>
      <c r="V518" s="46" t="n"/>
      <c r="W518" s="46" t="n"/>
      <c r="X518" s="46" t="n"/>
      <c r="Y518" s="46" t="n"/>
      <c r="Z518" s="46" t="n"/>
      <c r="AA518" s="46" t="n"/>
      <c r="AB518" s="46" t="n"/>
      <c r="AC518" s="46" t="n"/>
      <c r="AD518" s="46" t="n"/>
      <c r="AE518" s="46" t="n"/>
      <c r="AF518" s="46" t="n"/>
      <c r="AG518" s="46" t="n"/>
      <c r="AH518" s="46" t="n"/>
      <c r="AI518" s="46" t="n"/>
      <c r="AJ518" s="46" t="n"/>
      <c r="AK518" s="46" t="n"/>
      <c r="AL518" s="46" t="n"/>
      <c r="AM518" s="46" t="n"/>
      <c r="AN518" s="46" t="n"/>
      <c r="AO518" s="46" t="n"/>
      <c r="AP518" s="46" t="n"/>
      <c r="AQ518" s="46" t="n"/>
      <c r="AR518" s="46" t="n"/>
      <c r="AS518" s="46" t="n"/>
      <c r="AV518" s="36">
        <f>IF($C518="","",EMPLOYES!M15)</f>
        <v/>
      </c>
      <c r="AW518" s="36">
        <f>IF($C518="",0,SUMPRODUCT(--(O518:AS518="C")))</f>
        <v/>
      </c>
      <c r="AX518" s="36">
        <f>IF($C518="",0,SUMPRODUCT(--(O518:AS518="R")))</f>
        <v/>
      </c>
      <c r="AY518" s="44" t="n"/>
    </row>
    <row r="519" hidden="1" outlineLevel="1" ht="15" customHeight="1" s="15">
      <c r="B519" s="41" t="n">
        <v>3</v>
      </c>
      <c r="C519" s="42">
        <f>IF(EMPLOYES!C16="","",EMPLOYES!C16)</f>
        <v/>
      </c>
      <c r="D519" s="43">
        <f>IF(EMPLOYES!C16="","",EMPLOYES!D16)</f>
        <v/>
      </c>
      <c r="E519" s="44" t="n"/>
      <c r="F519" s="42" t="n"/>
      <c r="G519" s="41">
        <f>IF($C519="",0,MAX(0,$M519-$N519))</f>
        <v/>
      </c>
      <c r="H519" s="45" t="n"/>
      <c r="I519" s="41">
        <f>IF($C519="","",IF(H519="","OK",IF(H519&gt;EMPLOYES!P16,"⚠ Avance &gt; salaire",IF(H519&gt;EMPLOYES!P16*PARAMETRES!$C$218,"⚠ Avance élevée","OK"))))</f>
        <v/>
      </c>
      <c r="J519" s="45" t="n"/>
      <c r="K519" s="46" t="n"/>
      <c r="L519" s="46" t="n"/>
      <c r="M519" s="41">
        <f>IF($C519="","",SUMPRODUCT((PARAMETRES!$B$38:$B$157=PARAMETRES!$C$29)*(PARAMETRES!$C$38:$C$157=3)*(IF(EMPLOYES!M16="5j",PARAMETRES!$I$38:$I$157,PARAMETRES!$H$38:$H$157))))</f>
        <v/>
      </c>
      <c r="N519" s="41">
        <f>IF($C519="","",SUMPRODUCT((O519:AS519="P")+(O519:AS519="F")+(O519:AS519="C")+0.5*(O519:AS519="D"),(1-((O515:AS515=6)*(EMPLOYES!M16="5j")))))</f>
        <v/>
      </c>
      <c r="O519" s="46" t="n"/>
      <c r="P519" s="46" t="n"/>
      <c r="Q519" s="46" t="n"/>
      <c r="R519" s="46" t="n"/>
      <c r="S519" s="46" t="n"/>
      <c r="T519" s="46" t="n"/>
      <c r="U519" s="46" t="n"/>
      <c r="V519" s="46" t="n"/>
      <c r="W519" s="46" t="n"/>
      <c r="X519" s="46" t="n"/>
      <c r="Y519" s="46" t="n"/>
      <c r="Z519" s="46" t="n"/>
      <c r="AA519" s="46" t="n"/>
      <c r="AB519" s="46" t="n"/>
      <c r="AC519" s="46" t="n"/>
      <c r="AD519" s="46" t="n"/>
      <c r="AE519" s="46" t="n"/>
      <c r="AF519" s="46" t="n"/>
      <c r="AG519" s="46" t="n"/>
      <c r="AH519" s="46" t="n"/>
      <c r="AI519" s="46" t="n"/>
      <c r="AJ519" s="46" t="n"/>
      <c r="AK519" s="46" t="n"/>
      <c r="AL519" s="46" t="n"/>
      <c r="AM519" s="46" t="n"/>
      <c r="AN519" s="46" t="n"/>
      <c r="AO519" s="46" t="n"/>
      <c r="AP519" s="46" t="n"/>
      <c r="AQ519" s="46" t="n"/>
      <c r="AR519" s="46" t="n"/>
      <c r="AS519" s="46" t="n"/>
      <c r="AV519" s="36">
        <f>IF($C519="","",EMPLOYES!M16)</f>
        <v/>
      </c>
      <c r="AW519" s="36">
        <f>IF($C519="",0,SUMPRODUCT(--(O519:AS519="C")))</f>
        <v/>
      </c>
      <c r="AX519" s="36">
        <f>IF($C519="",0,SUMPRODUCT(--(O519:AS519="R")))</f>
        <v/>
      </c>
      <c r="AY519" s="44" t="n"/>
    </row>
    <row r="520" hidden="1" outlineLevel="1" ht="15" customHeight="1" s="15">
      <c r="B520" s="41" t="n">
        <v>3</v>
      </c>
      <c r="C520" s="42">
        <f>IF(EMPLOYES!C17="","",EMPLOYES!C17)</f>
        <v/>
      </c>
      <c r="D520" s="43">
        <f>IF(EMPLOYES!C17="","",EMPLOYES!D17)</f>
        <v/>
      </c>
      <c r="E520" s="44" t="n"/>
      <c r="F520" s="42" t="n"/>
      <c r="G520" s="41">
        <f>IF($C520="",0,MAX(0,$M520-$N520))</f>
        <v/>
      </c>
      <c r="H520" s="45" t="n"/>
      <c r="I520" s="41">
        <f>IF($C520="","",IF(H520="","OK",IF(H520&gt;EMPLOYES!P17,"⚠ Avance &gt; salaire",IF(H520&gt;EMPLOYES!P17*PARAMETRES!$C$218,"⚠ Avance élevée","OK"))))</f>
        <v/>
      </c>
      <c r="J520" s="45" t="n"/>
      <c r="K520" s="46" t="n"/>
      <c r="L520" s="46" t="n"/>
      <c r="M520" s="41">
        <f>IF($C520="","",SUMPRODUCT((PARAMETRES!$B$38:$B$157=PARAMETRES!$C$29)*(PARAMETRES!$C$38:$C$157=3)*(IF(EMPLOYES!M17="5j",PARAMETRES!$I$38:$I$157,PARAMETRES!$H$38:$H$157))))</f>
        <v/>
      </c>
      <c r="N520" s="41">
        <f>IF($C520="","",SUMPRODUCT((O520:AS520="P")+(O520:AS520="F")+(O520:AS520="C")+0.5*(O520:AS520="D"),(1-((O515:AS515=6)*(EMPLOYES!M17="5j")))))</f>
        <v/>
      </c>
      <c r="O520" s="46" t="n"/>
      <c r="P520" s="46" t="n"/>
      <c r="Q520" s="46" t="n"/>
      <c r="R520" s="46" t="n"/>
      <c r="S520" s="46" t="n"/>
      <c r="T520" s="46" t="n"/>
      <c r="U520" s="46" t="n"/>
      <c r="V520" s="46" t="n"/>
      <c r="W520" s="46" t="n"/>
      <c r="X520" s="46" t="n"/>
      <c r="Y520" s="46" t="n"/>
      <c r="Z520" s="46" t="n"/>
      <c r="AA520" s="46" t="n"/>
      <c r="AB520" s="46" t="n"/>
      <c r="AC520" s="46" t="n"/>
      <c r="AD520" s="46" t="n"/>
      <c r="AE520" s="46" t="n"/>
      <c r="AF520" s="46" t="n"/>
      <c r="AG520" s="46" t="n"/>
      <c r="AH520" s="46" t="n"/>
      <c r="AI520" s="46" t="n"/>
      <c r="AJ520" s="46" t="n"/>
      <c r="AK520" s="46" t="n"/>
      <c r="AL520" s="46" t="n"/>
      <c r="AM520" s="46" t="n"/>
      <c r="AN520" s="46" t="n"/>
      <c r="AO520" s="46" t="n"/>
      <c r="AP520" s="46" t="n"/>
      <c r="AQ520" s="46" t="n"/>
      <c r="AR520" s="46" t="n"/>
      <c r="AS520" s="46" t="n"/>
      <c r="AV520" s="36">
        <f>IF($C520="","",EMPLOYES!M17)</f>
        <v/>
      </c>
      <c r="AW520" s="36">
        <f>IF($C520="",0,SUMPRODUCT(--(O520:AS520="C")))</f>
        <v/>
      </c>
      <c r="AX520" s="36">
        <f>IF($C520="",0,SUMPRODUCT(--(O520:AS520="R")))</f>
        <v/>
      </c>
      <c r="AY520" s="44" t="n"/>
    </row>
    <row r="521" hidden="1" outlineLevel="1" ht="15" customHeight="1" s="15">
      <c r="B521" s="41" t="n">
        <v>3</v>
      </c>
      <c r="C521" s="42">
        <f>IF(EMPLOYES!C18="","",EMPLOYES!C18)</f>
        <v/>
      </c>
      <c r="D521" s="43">
        <f>IF(EMPLOYES!C18="","",EMPLOYES!D18)</f>
        <v/>
      </c>
      <c r="E521" s="44" t="n"/>
      <c r="F521" s="42" t="n"/>
      <c r="G521" s="41">
        <f>IF($C521="",0,MAX(0,$M521-$N521))</f>
        <v/>
      </c>
      <c r="H521" s="45" t="n"/>
      <c r="I521" s="41">
        <f>IF($C521="","",IF(H521="","OK",IF(H521&gt;EMPLOYES!P18,"⚠ Avance &gt; salaire",IF(H521&gt;EMPLOYES!P18*PARAMETRES!$C$218,"⚠ Avance élevée","OK"))))</f>
        <v/>
      </c>
      <c r="J521" s="45" t="n"/>
      <c r="K521" s="46" t="n"/>
      <c r="L521" s="46" t="n"/>
      <c r="M521" s="41">
        <f>IF($C521="","",SUMPRODUCT((PARAMETRES!$B$38:$B$157=PARAMETRES!$C$29)*(PARAMETRES!$C$38:$C$157=3)*(IF(EMPLOYES!M18="5j",PARAMETRES!$I$38:$I$157,PARAMETRES!$H$38:$H$157))))</f>
        <v/>
      </c>
      <c r="N521" s="41">
        <f>IF($C521="","",SUMPRODUCT((O521:AS521="P")+(O521:AS521="F")+(O521:AS521="C")+0.5*(O521:AS521="D"),(1-((O515:AS515=6)*(EMPLOYES!M18="5j")))))</f>
        <v/>
      </c>
      <c r="O521" s="46" t="n"/>
      <c r="P521" s="46" t="n"/>
      <c r="Q521" s="46" t="n"/>
      <c r="R521" s="46" t="n"/>
      <c r="S521" s="46" t="n"/>
      <c r="T521" s="46" t="n"/>
      <c r="U521" s="46" t="n"/>
      <c r="V521" s="46" t="n"/>
      <c r="W521" s="46" t="n"/>
      <c r="X521" s="46" t="n"/>
      <c r="Y521" s="46" t="n"/>
      <c r="Z521" s="46" t="n"/>
      <c r="AA521" s="46" t="n"/>
      <c r="AB521" s="46" t="n"/>
      <c r="AC521" s="46" t="n"/>
      <c r="AD521" s="46" t="n"/>
      <c r="AE521" s="46" t="n"/>
      <c r="AF521" s="46" t="n"/>
      <c r="AG521" s="46" t="n"/>
      <c r="AH521" s="46" t="n"/>
      <c r="AI521" s="46" t="n"/>
      <c r="AJ521" s="46" t="n"/>
      <c r="AK521" s="46" t="n"/>
      <c r="AL521" s="46" t="n"/>
      <c r="AM521" s="46" t="n"/>
      <c r="AN521" s="46" t="n"/>
      <c r="AO521" s="46" t="n"/>
      <c r="AP521" s="46" t="n"/>
      <c r="AQ521" s="46" t="n"/>
      <c r="AR521" s="46" t="n"/>
      <c r="AS521" s="46" t="n"/>
      <c r="AV521" s="36">
        <f>IF($C521="","",EMPLOYES!M18)</f>
        <v/>
      </c>
      <c r="AW521" s="36">
        <f>IF($C521="",0,SUMPRODUCT(--(O521:AS521="C")))</f>
        <v/>
      </c>
      <c r="AX521" s="36">
        <f>IF($C521="",0,SUMPRODUCT(--(O521:AS521="R")))</f>
        <v/>
      </c>
      <c r="AY521" s="44" t="n"/>
    </row>
    <row r="522" hidden="1" outlineLevel="1" ht="15" customHeight="1" s="15">
      <c r="B522" s="41" t="n">
        <v>3</v>
      </c>
      <c r="C522" s="42">
        <f>IF(EMPLOYES!C19="","",EMPLOYES!C19)</f>
        <v/>
      </c>
      <c r="D522" s="43">
        <f>IF(EMPLOYES!C19="","",EMPLOYES!D19)</f>
        <v/>
      </c>
      <c r="E522" s="44" t="n"/>
      <c r="F522" s="42" t="n"/>
      <c r="G522" s="41">
        <f>IF($C522="",0,MAX(0,$M522-$N522))</f>
        <v/>
      </c>
      <c r="H522" s="45" t="n"/>
      <c r="I522" s="41">
        <f>IF($C522="","",IF(H522="","OK",IF(H522&gt;EMPLOYES!P19,"⚠ Avance &gt; salaire",IF(H522&gt;EMPLOYES!P19*PARAMETRES!$C$218,"⚠ Avance élevée","OK"))))</f>
        <v/>
      </c>
      <c r="J522" s="45" t="n"/>
      <c r="K522" s="46" t="n"/>
      <c r="L522" s="46" t="n"/>
      <c r="M522" s="41">
        <f>IF($C522="","",SUMPRODUCT((PARAMETRES!$B$38:$B$157=PARAMETRES!$C$29)*(PARAMETRES!$C$38:$C$157=3)*(IF(EMPLOYES!M19="5j",PARAMETRES!$I$38:$I$157,PARAMETRES!$H$38:$H$157))))</f>
        <v/>
      </c>
      <c r="N522" s="41">
        <f>IF($C522="","",SUMPRODUCT((O522:AS522="P")+(O522:AS522="F")+(O522:AS522="C")+0.5*(O522:AS522="D"),(1-((O515:AS515=6)*(EMPLOYES!M19="5j")))))</f>
        <v/>
      </c>
      <c r="O522" s="46" t="n"/>
      <c r="P522" s="46" t="n"/>
      <c r="Q522" s="46" t="n"/>
      <c r="R522" s="46" t="n"/>
      <c r="S522" s="46" t="n"/>
      <c r="T522" s="46" t="n"/>
      <c r="U522" s="46" t="n"/>
      <c r="V522" s="46" t="n"/>
      <c r="W522" s="46" t="n"/>
      <c r="X522" s="46" t="n"/>
      <c r="Y522" s="46" t="n"/>
      <c r="Z522" s="46" t="n"/>
      <c r="AA522" s="46" t="n"/>
      <c r="AB522" s="46" t="n"/>
      <c r="AC522" s="46" t="n"/>
      <c r="AD522" s="46" t="n"/>
      <c r="AE522" s="46" t="n"/>
      <c r="AF522" s="46" t="n"/>
      <c r="AG522" s="46" t="n"/>
      <c r="AH522" s="46" t="n"/>
      <c r="AI522" s="46" t="n"/>
      <c r="AJ522" s="46" t="n"/>
      <c r="AK522" s="46" t="n"/>
      <c r="AL522" s="46" t="n"/>
      <c r="AM522" s="46" t="n"/>
      <c r="AN522" s="46" t="n"/>
      <c r="AO522" s="46" t="n"/>
      <c r="AP522" s="46" t="n"/>
      <c r="AQ522" s="46" t="n"/>
      <c r="AR522" s="46" t="n"/>
      <c r="AS522" s="46" t="n"/>
      <c r="AV522" s="36">
        <f>IF($C522="","",EMPLOYES!M19)</f>
        <v/>
      </c>
      <c r="AW522" s="36">
        <f>IF($C522="",0,SUMPRODUCT(--(O522:AS522="C")))</f>
        <v/>
      </c>
      <c r="AX522" s="36">
        <f>IF($C522="",0,SUMPRODUCT(--(O522:AS522="R")))</f>
        <v/>
      </c>
      <c r="AY522" s="44" t="n"/>
    </row>
    <row r="523" hidden="1" outlineLevel="1" ht="15" customHeight="1" s="15">
      <c r="B523" s="41" t="n">
        <v>3</v>
      </c>
      <c r="C523" s="42">
        <f>IF(EMPLOYES!C20="","",EMPLOYES!C20)</f>
        <v/>
      </c>
      <c r="D523" s="43">
        <f>IF(EMPLOYES!C20="","",EMPLOYES!D20)</f>
        <v/>
      </c>
      <c r="E523" s="44" t="n"/>
      <c r="F523" s="42" t="n"/>
      <c r="G523" s="41">
        <f>IF($C523="",0,MAX(0,$M523-$N523))</f>
        <v/>
      </c>
      <c r="H523" s="45" t="n"/>
      <c r="I523" s="41">
        <f>IF($C523="","",IF(H523="","OK",IF(H523&gt;EMPLOYES!P20,"⚠ Avance &gt; salaire",IF(H523&gt;EMPLOYES!P20*PARAMETRES!$C$218,"⚠ Avance élevée","OK"))))</f>
        <v/>
      </c>
      <c r="J523" s="45" t="n"/>
      <c r="K523" s="46" t="n"/>
      <c r="L523" s="46" t="n"/>
      <c r="M523" s="41">
        <f>IF($C523="","",SUMPRODUCT((PARAMETRES!$B$38:$B$157=PARAMETRES!$C$29)*(PARAMETRES!$C$38:$C$157=3)*(IF(EMPLOYES!M20="5j",PARAMETRES!$I$38:$I$157,PARAMETRES!$H$38:$H$157))))</f>
        <v/>
      </c>
      <c r="N523" s="41">
        <f>IF($C523="","",SUMPRODUCT((O523:AS523="P")+(O523:AS523="F")+(O523:AS523="C")+0.5*(O523:AS523="D"),(1-((O515:AS515=6)*(EMPLOYES!M20="5j")))))</f>
        <v/>
      </c>
      <c r="O523" s="46" t="n"/>
      <c r="P523" s="46" t="n"/>
      <c r="Q523" s="46" t="n"/>
      <c r="R523" s="46" t="n"/>
      <c r="S523" s="46" t="n"/>
      <c r="T523" s="46" t="n"/>
      <c r="U523" s="46" t="n"/>
      <c r="V523" s="46" t="n"/>
      <c r="W523" s="46" t="n"/>
      <c r="X523" s="46" t="n"/>
      <c r="Y523" s="46" t="n"/>
      <c r="Z523" s="46" t="n"/>
      <c r="AA523" s="46" t="n"/>
      <c r="AB523" s="46" t="n"/>
      <c r="AC523" s="46" t="n"/>
      <c r="AD523" s="46" t="n"/>
      <c r="AE523" s="46" t="n"/>
      <c r="AF523" s="46" t="n"/>
      <c r="AG523" s="46" t="n"/>
      <c r="AH523" s="46" t="n"/>
      <c r="AI523" s="46" t="n"/>
      <c r="AJ523" s="46" t="n"/>
      <c r="AK523" s="46" t="n"/>
      <c r="AL523" s="46" t="n"/>
      <c r="AM523" s="46" t="n"/>
      <c r="AN523" s="46" t="n"/>
      <c r="AO523" s="46" t="n"/>
      <c r="AP523" s="46" t="n"/>
      <c r="AQ523" s="46" t="n"/>
      <c r="AR523" s="46" t="n"/>
      <c r="AS523" s="46" t="n"/>
      <c r="AV523" s="36">
        <f>IF($C523="","",EMPLOYES!M20)</f>
        <v/>
      </c>
      <c r="AW523" s="36">
        <f>IF($C523="",0,SUMPRODUCT(--(O523:AS523="C")))</f>
        <v/>
      </c>
      <c r="AX523" s="36">
        <f>IF($C523="",0,SUMPRODUCT(--(O523:AS523="R")))</f>
        <v/>
      </c>
      <c r="AY523" s="44" t="n"/>
    </row>
    <row r="524" hidden="1" outlineLevel="1" ht="15" customHeight="1" s="15">
      <c r="B524" s="41" t="n">
        <v>3</v>
      </c>
      <c r="C524" s="42">
        <f>IF(EMPLOYES!C21="","",EMPLOYES!C21)</f>
        <v/>
      </c>
      <c r="D524" s="43">
        <f>IF(EMPLOYES!C21="","",EMPLOYES!D21)</f>
        <v/>
      </c>
      <c r="E524" s="44" t="n"/>
      <c r="F524" s="42" t="n"/>
      <c r="G524" s="41">
        <f>IF($C524="",0,MAX(0,$M524-$N524))</f>
        <v/>
      </c>
      <c r="H524" s="45" t="n"/>
      <c r="I524" s="41">
        <f>IF($C524="","",IF(H524="","OK",IF(H524&gt;EMPLOYES!P21,"⚠ Avance &gt; salaire",IF(H524&gt;EMPLOYES!P21*PARAMETRES!$C$218,"⚠ Avance élevée","OK"))))</f>
        <v/>
      </c>
      <c r="J524" s="45" t="n"/>
      <c r="K524" s="46" t="n"/>
      <c r="L524" s="46" t="n"/>
      <c r="M524" s="41">
        <f>IF($C524="","",SUMPRODUCT((PARAMETRES!$B$38:$B$157=PARAMETRES!$C$29)*(PARAMETRES!$C$38:$C$157=3)*(IF(EMPLOYES!M21="5j",PARAMETRES!$I$38:$I$157,PARAMETRES!$H$38:$H$157))))</f>
        <v/>
      </c>
      <c r="N524" s="41">
        <f>IF($C524="","",SUMPRODUCT((O524:AS524="P")+(O524:AS524="F")+(O524:AS524="C")+0.5*(O524:AS524="D"),(1-((O515:AS515=6)*(EMPLOYES!M21="5j")))))</f>
        <v/>
      </c>
      <c r="O524" s="46" t="n"/>
      <c r="P524" s="46" t="n"/>
      <c r="Q524" s="46" t="n"/>
      <c r="R524" s="46" t="n"/>
      <c r="S524" s="46" t="n"/>
      <c r="T524" s="46" t="n"/>
      <c r="U524" s="46" t="n"/>
      <c r="V524" s="46" t="n"/>
      <c r="W524" s="46" t="n"/>
      <c r="X524" s="46" t="n"/>
      <c r="Y524" s="46" t="n"/>
      <c r="Z524" s="46" t="n"/>
      <c r="AA524" s="46" t="n"/>
      <c r="AB524" s="46" t="n"/>
      <c r="AC524" s="46" t="n"/>
      <c r="AD524" s="46" t="n"/>
      <c r="AE524" s="46" t="n"/>
      <c r="AF524" s="46" t="n"/>
      <c r="AG524" s="46" t="n"/>
      <c r="AH524" s="46" t="n"/>
      <c r="AI524" s="46" t="n"/>
      <c r="AJ524" s="46" t="n"/>
      <c r="AK524" s="46" t="n"/>
      <c r="AL524" s="46" t="n"/>
      <c r="AM524" s="46" t="n"/>
      <c r="AN524" s="46" t="n"/>
      <c r="AO524" s="46" t="n"/>
      <c r="AP524" s="46" t="n"/>
      <c r="AQ524" s="46" t="n"/>
      <c r="AR524" s="46" t="n"/>
      <c r="AS524" s="46" t="n"/>
      <c r="AV524" s="36">
        <f>IF($C524="","",EMPLOYES!M21)</f>
        <v/>
      </c>
      <c r="AW524" s="36">
        <f>IF($C524="",0,SUMPRODUCT(--(O524:AS524="C")))</f>
        <v/>
      </c>
      <c r="AX524" s="36">
        <f>IF($C524="",0,SUMPRODUCT(--(O524:AS524="R")))</f>
        <v/>
      </c>
      <c r="AY524" s="44" t="n"/>
    </row>
    <row r="525" hidden="1" outlineLevel="1" ht="15" customHeight="1" s="15">
      <c r="B525" s="41" t="n">
        <v>3</v>
      </c>
      <c r="C525" s="42">
        <f>IF(EMPLOYES!C22="","",EMPLOYES!C22)</f>
        <v/>
      </c>
      <c r="D525" s="43">
        <f>IF(EMPLOYES!C22="","",EMPLOYES!D22)</f>
        <v/>
      </c>
      <c r="E525" s="44" t="n"/>
      <c r="F525" s="42" t="n"/>
      <c r="G525" s="41">
        <f>IF($C525="",0,MAX(0,$M525-$N525))</f>
        <v/>
      </c>
      <c r="H525" s="45" t="n"/>
      <c r="I525" s="41">
        <f>IF($C525="","",IF(H525="","OK",IF(H525&gt;EMPLOYES!P22,"⚠ Avance &gt; salaire",IF(H525&gt;EMPLOYES!P22*PARAMETRES!$C$218,"⚠ Avance élevée","OK"))))</f>
        <v/>
      </c>
      <c r="J525" s="45" t="n"/>
      <c r="K525" s="46" t="n"/>
      <c r="L525" s="46" t="n"/>
      <c r="M525" s="41">
        <f>IF($C525="","",SUMPRODUCT((PARAMETRES!$B$38:$B$157=PARAMETRES!$C$29)*(PARAMETRES!$C$38:$C$157=3)*(IF(EMPLOYES!M22="5j",PARAMETRES!$I$38:$I$157,PARAMETRES!$H$38:$H$157))))</f>
        <v/>
      </c>
      <c r="N525" s="41">
        <f>IF($C525="","",SUMPRODUCT((O525:AS525="P")+(O525:AS525="F")+(O525:AS525="C")+0.5*(O525:AS525="D"),(1-((O515:AS515=6)*(EMPLOYES!M22="5j")))))</f>
        <v/>
      </c>
      <c r="O525" s="46" t="n"/>
      <c r="P525" s="46" t="n"/>
      <c r="Q525" s="46" t="n"/>
      <c r="R525" s="46" t="n"/>
      <c r="S525" s="46" t="n"/>
      <c r="T525" s="46" t="n"/>
      <c r="U525" s="46" t="n"/>
      <c r="V525" s="46" t="n"/>
      <c r="W525" s="46" t="n"/>
      <c r="X525" s="46" t="n"/>
      <c r="Y525" s="46" t="n"/>
      <c r="Z525" s="46" t="n"/>
      <c r="AA525" s="46" t="n"/>
      <c r="AB525" s="46" t="n"/>
      <c r="AC525" s="46" t="n"/>
      <c r="AD525" s="46" t="n"/>
      <c r="AE525" s="46" t="n"/>
      <c r="AF525" s="46" t="n"/>
      <c r="AG525" s="46" t="n"/>
      <c r="AH525" s="46" t="n"/>
      <c r="AI525" s="46" t="n"/>
      <c r="AJ525" s="46" t="n"/>
      <c r="AK525" s="46" t="n"/>
      <c r="AL525" s="46" t="n"/>
      <c r="AM525" s="46" t="n"/>
      <c r="AN525" s="46" t="n"/>
      <c r="AO525" s="46" t="n"/>
      <c r="AP525" s="46" t="n"/>
      <c r="AQ525" s="46" t="n"/>
      <c r="AR525" s="46" t="n"/>
      <c r="AS525" s="46" t="n"/>
      <c r="AV525" s="36">
        <f>IF($C525="","",EMPLOYES!M22)</f>
        <v/>
      </c>
      <c r="AW525" s="36">
        <f>IF($C525="",0,SUMPRODUCT(--(O525:AS525="C")))</f>
        <v/>
      </c>
      <c r="AX525" s="36">
        <f>IF($C525="",0,SUMPRODUCT(--(O525:AS525="R")))</f>
        <v/>
      </c>
      <c r="AY525" s="44" t="n"/>
    </row>
    <row r="526" hidden="1" outlineLevel="1" ht="15" customHeight="1" s="15">
      <c r="B526" s="41" t="n">
        <v>3</v>
      </c>
      <c r="C526" s="42">
        <f>IF(EMPLOYES!C23="","",EMPLOYES!C23)</f>
        <v/>
      </c>
      <c r="D526" s="43">
        <f>IF(EMPLOYES!C23="","",EMPLOYES!D23)</f>
        <v/>
      </c>
      <c r="E526" s="44" t="n"/>
      <c r="F526" s="42" t="n"/>
      <c r="G526" s="41">
        <f>IF($C526="",0,MAX(0,$M526-$N526))</f>
        <v/>
      </c>
      <c r="H526" s="45" t="n"/>
      <c r="I526" s="41">
        <f>IF($C526="","",IF(H526="","OK",IF(H526&gt;EMPLOYES!P23,"⚠ Avance &gt; salaire",IF(H526&gt;EMPLOYES!P23*PARAMETRES!$C$218,"⚠ Avance élevée","OK"))))</f>
        <v/>
      </c>
      <c r="J526" s="45" t="n"/>
      <c r="K526" s="46" t="n"/>
      <c r="L526" s="46" t="n"/>
      <c r="M526" s="41">
        <f>IF($C526="","",SUMPRODUCT((PARAMETRES!$B$38:$B$157=PARAMETRES!$C$29)*(PARAMETRES!$C$38:$C$157=3)*(IF(EMPLOYES!M23="5j",PARAMETRES!$I$38:$I$157,PARAMETRES!$H$38:$H$157))))</f>
        <v/>
      </c>
      <c r="N526" s="41">
        <f>IF($C526="","",SUMPRODUCT((O526:AS526="P")+(O526:AS526="F")+(O526:AS526="C")+0.5*(O526:AS526="D"),(1-((O515:AS515=6)*(EMPLOYES!M23="5j")))))</f>
        <v/>
      </c>
      <c r="O526" s="46" t="n"/>
      <c r="P526" s="46" t="n"/>
      <c r="Q526" s="46" t="n"/>
      <c r="R526" s="46" t="n"/>
      <c r="S526" s="46" t="n"/>
      <c r="T526" s="46" t="n"/>
      <c r="U526" s="46" t="n"/>
      <c r="V526" s="46" t="n"/>
      <c r="W526" s="46" t="n"/>
      <c r="X526" s="46" t="n"/>
      <c r="Y526" s="46" t="n"/>
      <c r="Z526" s="46" t="n"/>
      <c r="AA526" s="46" t="n"/>
      <c r="AB526" s="46" t="n"/>
      <c r="AC526" s="46" t="n"/>
      <c r="AD526" s="46" t="n"/>
      <c r="AE526" s="46" t="n"/>
      <c r="AF526" s="46" t="n"/>
      <c r="AG526" s="46" t="n"/>
      <c r="AH526" s="46" t="n"/>
      <c r="AI526" s="46" t="n"/>
      <c r="AJ526" s="46" t="n"/>
      <c r="AK526" s="46" t="n"/>
      <c r="AL526" s="46" t="n"/>
      <c r="AM526" s="46" t="n"/>
      <c r="AN526" s="46" t="n"/>
      <c r="AO526" s="46" t="n"/>
      <c r="AP526" s="46" t="n"/>
      <c r="AQ526" s="46" t="n"/>
      <c r="AR526" s="46" t="n"/>
      <c r="AS526" s="46" t="n"/>
      <c r="AV526" s="36">
        <f>IF($C526="","",EMPLOYES!M23)</f>
        <v/>
      </c>
      <c r="AW526" s="36">
        <f>IF($C526="",0,SUMPRODUCT(--(O526:AS526="C")))</f>
        <v/>
      </c>
      <c r="AX526" s="36">
        <f>IF($C526="",0,SUMPRODUCT(--(O526:AS526="R")))</f>
        <v/>
      </c>
      <c r="AY526" s="44" t="n"/>
    </row>
    <row r="527" hidden="1" outlineLevel="1" ht="15" customHeight="1" s="15">
      <c r="B527" s="41" t="n">
        <v>3</v>
      </c>
      <c r="C527" s="42">
        <f>IF(EMPLOYES!C24="","",EMPLOYES!C24)</f>
        <v/>
      </c>
      <c r="D527" s="43">
        <f>IF(EMPLOYES!C24="","",EMPLOYES!D24)</f>
        <v/>
      </c>
      <c r="E527" s="44" t="n"/>
      <c r="F527" s="42" t="n"/>
      <c r="G527" s="41">
        <f>IF($C527="",0,MAX(0,$M527-$N527))</f>
        <v/>
      </c>
      <c r="H527" s="45" t="n"/>
      <c r="I527" s="41">
        <f>IF($C527="","",IF(H527="","OK",IF(H527&gt;EMPLOYES!P24,"⚠ Avance &gt; salaire",IF(H527&gt;EMPLOYES!P24*PARAMETRES!$C$218,"⚠ Avance élevée","OK"))))</f>
        <v/>
      </c>
      <c r="J527" s="45" t="n"/>
      <c r="K527" s="46" t="n"/>
      <c r="L527" s="46" t="n"/>
      <c r="M527" s="41">
        <f>IF($C527="","",SUMPRODUCT((PARAMETRES!$B$38:$B$157=PARAMETRES!$C$29)*(PARAMETRES!$C$38:$C$157=3)*(IF(EMPLOYES!M24="5j",PARAMETRES!$I$38:$I$157,PARAMETRES!$H$38:$H$157))))</f>
        <v/>
      </c>
      <c r="N527" s="41">
        <f>IF($C527="","",SUMPRODUCT((O527:AS527="P")+(O527:AS527="F")+(O527:AS527="C")+0.5*(O527:AS527="D"),(1-((O515:AS515=6)*(EMPLOYES!M24="5j")))))</f>
        <v/>
      </c>
      <c r="O527" s="46" t="n"/>
      <c r="P527" s="46" t="n"/>
      <c r="Q527" s="46" t="n"/>
      <c r="R527" s="46" t="n"/>
      <c r="S527" s="46" t="n"/>
      <c r="T527" s="46" t="n"/>
      <c r="U527" s="46" t="n"/>
      <c r="V527" s="46" t="n"/>
      <c r="W527" s="46" t="n"/>
      <c r="X527" s="46" t="n"/>
      <c r="Y527" s="46" t="n"/>
      <c r="Z527" s="46" t="n"/>
      <c r="AA527" s="46" t="n"/>
      <c r="AB527" s="46" t="n"/>
      <c r="AC527" s="46" t="n"/>
      <c r="AD527" s="46" t="n"/>
      <c r="AE527" s="46" t="n"/>
      <c r="AF527" s="46" t="n"/>
      <c r="AG527" s="46" t="n"/>
      <c r="AH527" s="46" t="n"/>
      <c r="AI527" s="46" t="n"/>
      <c r="AJ527" s="46" t="n"/>
      <c r="AK527" s="46" t="n"/>
      <c r="AL527" s="46" t="n"/>
      <c r="AM527" s="46" t="n"/>
      <c r="AN527" s="46" t="n"/>
      <c r="AO527" s="46" t="n"/>
      <c r="AP527" s="46" t="n"/>
      <c r="AQ527" s="46" t="n"/>
      <c r="AR527" s="46" t="n"/>
      <c r="AS527" s="46" t="n"/>
      <c r="AV527" s="36">
        <f>IF($C527="","",EMPLOYES!M24)</f>
        <v/>
      </c>
      <c r="AW527" s="36">
        <f>IF($C527="",0,SUMPRODUCT(--(O527:AS527="C")))</f>
        <v/>
      </c>
      <c r="AX527" s="36">
        <f>IF($C527="",0,SUMPRODUCT(--(O527:AS527="R")))</f>
        <v/>
      </c>
      <c r="AY527" s="44" t="n"/>
    </row>
    <row r="528" hidden="1" outlineLevel="1" ht="15" customHeight="1" s="15">
      <c r="B528" s="41" t="n">
        <v>3</v>
      </c>
      <c r="C528" s="42">
        <f>IF(EMPLOYES!C25="","",EMPLOYES!C25)</f>
        <v/>
      </c>
      <c r="D528" s="43">
        <f>IF(EMPLOYES!C25="","",EMPLOYES!D25)</f>
        <v/>
      </c>
      <c r="E528" s="44" t="n"/>
      <c r="F528" s="42" t="n"/>
      <c r="G528" s="41">
        <f>IF($C528="",0,MAX(0,$M528-$N528))</f>
        <v/>
      </c>
      <c r="H528" s="45" t="n"/>
      <c r="I528" s="41">
        <f>IF($C528="","",IF(H528="","OK",IF(H528&gt;EMPLOYES!P25,"⚠ Avance &gt; salaire",IF(H528&gt;EMPLOYES!P25*PARAMETRES!$C$218,"⚠ Avance élevée","OK"))))</f>
        <v/>
      </c>
      <c r="J528" s="45" t="n"/>
      <c r="K528" s="46" t="n"/>
      <c r="L528" s="46" t="n"/>
      <c r="M528" s="41">
        <f>IF($C528="","",SUMPRODUCT((PARAMETRES!$B$38:$B$157=PARAMETRES!$C$29)*(PARAMETRES!$C$38:$C$157=3)*(IF(EMPLOYES!M25="5j",PARAMETRES!$I$38:$I$157,PARAMETRES!$H$38:$H$157))))</f>
        <v/>
      </c>
      <c r="N528" s="41">
        <f>IF($C528="","",SUMPRODUCT((O528:AS528="P")+(O528:AS528="F")+(O528:AS528="C")+0.5*(O528:AS528="D"),(1-((O515:AS515=6)*(EMPLOYES!M25="5j")))))</f>
        <v/>
      </c>
      <c r="O528" s="46" t="n"/>
      <c r="P528" s="46" t="n"/>
      <c r="Q528" s="46" t="n"/>
      <c r="R528" s="46" t="n"/>
      <c r="S528" s="46" t="n"/>
      <c r="T528" s="46" t="n"/>
      <c r="U528" s="46" t="n"/>
      <c r="V528" s="46" t="n"/>
      <c r="W528" s="46" t="n"/>
      <c r="X528" s="46" t="n"/>
      <c r="Y528" s="46" t="n"/>
      <c r="Z528" s="46" t="n"/>
      <c r="AA528" s="46" t="n"/>
      <c r="AB528" s="46" t="n"/>
      <c r="AC528" s="46" t="n"/>
      <c r="AD528" s="46" t="n"/>
      <c r="AE528" s="46" t="n"/>
      <c r="AF528" s="46" t="n"/>
      <c r="AG528" s="46" t="n"/>
      <c r="AH528" s="46" t="n"/>
      <c r="AI528" s="46" t="n"/>
      <c r="AJ528" s="46" t="n"/>
      <c r="AK528" s="46" t="n"/>
      <c r="AL528" s="46" t="n"/>
      <c r="AM528" s="46" t="n"/>
      <c r="AN528" s="46" t="n"/>
      <c r="AO528" s="46" t="n"/>
      <c r="AP528" s="46" t="n"/>
      <c r="AQ528" s="46" t="n"/>
      <c r="AR528" s="46" t="n"/>
      <c r="AS528" s="46" t="n"/>
      <c r="AV528" s="36">
        <f>IF($C528="","",EMPLOYES!M25)</f>
        <v/>
      </c>
      <c r="AW528" s="36">
        <f>IF($C528="",0,SUMPRODUCT(--(O528:AS528="C")))</f>
        <v/>
      </c>
      <c r="AX528" s="36">
        <f>IF($C528="",0,SUMPRODUCT(--(O528:AS528="R")))</f>
        <v/>
      </c>
      <c r="AY528" s="44" t="n"/>
    </row>
    <row r="529" hidden="1" outlineLevel="1" ht="15" customHeight="1" s="15">
      <c r="B529" s="41" t="n">
        <v>3</v>
      </c>
      <c r="C529" s="42">
        <f>IF(EMPLOYES!C26="","",EMPLOYES!C26)</f>
        <v/>
      </c>
      <c r="D529" s="43">
        <f>IF(EMPLOYES!C26="","",EMPLOYES!D26)</f>
        <v/>
      </c>
      <c r="E529" s="44" t="n"/>
      <c r="F529" s="42" t="n"/>
      <c r="G529" s="41">
        <f>IF($C529="",0,MAX(0,$M529-$N529))</f>
        <v/>
      </c>
      <c r="H529" s="45" t="n"/>
      <c r="I529" s="41">
        <f>IF($C529="","",IF(H529="","OK",IF(H529&gt;EMPLOYES!P26,"⚠ Avance &gt; salaire",IF(H529&gt;EMPLOYES!P26*PARAMETRES!$C$218,"⚠ Avance élevée","OK"))))</f>
        <v/>
      </c>
      <c r="J529" s="45" t="n"/>
      <c r="K529" s="46" t="n"/>
      <c r="L529" s="46" t="n"/>
      <c r="M529" s="41">
        <f>IF($C529="","",SUMPRODUCT((PARAMETRES!$B$38:$B$157=PARAMETRES!$C$29)*(PARAMETRES!$C$38:$C$157=3)*(IF(EMPLOYES!M26="5j",PARAMETRES!$I$38:$I$157,PARAMETRES!$H$38:$H$157))))</f>
        <v/>
      </c>
      <c r="N529" s="41">
        <f>IF($C529="","",SUMPRODUCT((O529:AS529="P")+(O529:AS529="F")+(O529:AS529="C")+0.5*(O529:AS529="D"),(1-((O515:AS515=6)*(EMPLOYES!M26="5j")))))</f>
        <v/>
      </c>
      <c r="O529" s="46" t="n"/>
      <c r="P529" s="46" t="n"/>
      <c r="Q529" s="46" t="n"/>
      <c r="R529" s="46" t="n"/>
      <c r="S529" s="46" t="n"/>
      <c r="T529" s="46" t="n"/>
      <c r="U529" s="46" t="n"/>
      <c r="V529" s="46" t="n"/>
      <c r="W529" s="46" t="n"/>
      <c r="X529" s="46" t="n"/>
      <c r="Y529" s="46" t="n"/>
      <c r="Z529" s="46" t="n"/>
      <c r="AA529" s="46" t="n"/>
      <c r="AB529" s="46" t="n"/>
      <c r="AC529" s="46" t="n"/>
      <c r="AD529" s="46" t="n"/>
      <c r="AE529" s="46" t="n"/>
      <c r="AF529" s="46" t="n"/>
      <c r="AG529" s="46" t="n"/>
      <c r="AH529" s="46" t="n"/>
      <c r="AI529" s="46" t="n"/>
      <c r="AJ529" s="46" t="n"/>
      <c r="AK529" s="46" t="n"/>
      <c r="AL529" s="46" t="n"/>
      <c r="AM529" s="46" t="n"/>
      <c r="AN529" s="46" t="n"/>
      <c r="AO529" s="46" t="n"/>
      <c r="AP529" s="46" t="n"/>
      <c r="AQ529" s="46" t="n"/>
      <c r="AR529" s="46" t="n"/>
      <c r="AS529" s="46" t="n"/>
      <c r="AV529" s="36">
        <f>IF($C529="","",EMPLOYES!M26)</f>
        <v/>
      </c>
      <c r="AW529" s="36">
        <f>IF($C529="",0,SUMPRODUCT(--(O529:AS529="C")))</f>
        <v/>
      </c>
      <c r="AX529" s="36">
        <f>IF($C529="",0,SUMPRODUCT(--(O529:AS529="R")))</f>
        <v/>
      </c>
      <c r="AY529" s="44" t="n"/>
    </row>
    <row r="530" hidden="1" outlineLevel="1" ht="15" customHeight="1" s="15">
      <c r="B530" s="41" t="n">
        <v>3</v>
      </c>
      <c r="C530" s="42">
        <f>IF(EMPLOYES!C27="","",EMPLOYES!C27)</f>
        <v/>
      </c>
      <c r="D530" s="43">
        <f>IF(EMPLOYES!C27="","",EMPLOYES!D27)</f>
        <v/>
      </c>
      <c r="E530" s="44" t="n"/>
      <c r="F530" s="42" t="n"/>
      <c r="G530" s="41">
        <f>IF($C530="",0,MAX(0,$M530-$N530))</f>
        <v/>
      </c>
      <c r="H530" s="45" t="n"/>
      <c r="I530" s="41">
        <f>IF($C530="","",IF(H530="","OK",IF(H530&gt;EMPLOYES!P27,"⚠ Avance &gt; salaire",IF(H530&gt;EMPLOYES!P27*PARAMETRES!$C$218,"⚠ Avance élevée","OK"))))</f>
        <v/>
      </c>
      <c r="J530" s="45" t="n"/>
      <c r="K530" s="46" t="n"/>
      <c r="L530" s="46" t="n"/>
      <c r="M530" s="41">
        <f>IF($C530="","",SUMPRODUCT((PARAMETRES!$B$38:$B$157=PARAMETRES!$C$29)*(PARAMETRES!$C$38:$C$157=3)*(IF(EMPLOYES!M27="5j",PARAMETRES!$I$38:$I$157,PARAMETRES!$H$38:$H$157))))</f>
        <v/>
      </c>
      <c r="N530" s="41">
        <f>IF($C530="","",SUMPRODUCT((O530:AS530="P")+(O530:AS530="F")+(O530:AS530="C")+0.5*(O530:AS530="D"),(1-((O515:AS515=6)*(EMPLOYES!M27="5j")))))</f>
        <v/>
      </c>
      <c r="O530" s="46" t="n"/>
      <c r="P530" s="46" t="n"/>
      <c r="Q530" s="46" t="n"/>
      <c r="R530" s="46" t="n"/>
      <c r="S530" s="46" t="n"/>
      <c r="T530" s="46" t="n"/>
      <c r="U530" s="46" t="n"/>
      <c r="V530" s="46" t="n"/>
      <c r="W530" s="46" t="n"/>
      <c r="X530" s="46" t="n"/>
      <c r="Y530" s="46" t="n"/>
      <c r="Z530" s="46" t="n"/>
      <c r="AA530" s="46" t="n"/>
      <c r="AB530" s="46" t="n"/>
      <c r="AC530" s="46" t="n"/>
      <c r="AD530" s="46" t="n"/>
      <c r="AE530" s="46" t="n"/>
      <c r="AF530" s="46" t="n"/>
      <c r="AG530" s="46" t="n"/>
      <c r="AH530" s="46" t="n"/>
      <c r="AI530" s="46" t="n"/>
      <c r="AJ530" s="46" t="n"/>
      <c r="AK530" s="46" t="n"/>
      <c r="AL530" s="46" t="n"/>
      <c r="AM530" s="46" t="n"/>
      <c r="AN530" s="46" t="n"/>
      <c r="AO530" s="46" t="n"/>
      <c r="AP530" s="46" t="n"/>
      <c r="AQ530" s="46" t="n"/>
      <c r="AR530" s="46" t="n"/>
      <c r="AS530" s="46" t="n"/>
      <c r="AV530" s="36">
        <f>IF($C530="","",EMPLOYES!M27)</f>
        <v/>
      </c>
      <c r="AW530" s="36">
        <f>IF($C530="",0,SUMPRODUCT(--(O530:AS530="C")))</f>
        <v/>
      </c>
      <c r="AX530" s="36">
        <f>IF($C530="",0,SUMPRODUCT(--(O530:AS530="R")))</f>
        <v/>
      </c>
      <c r="AY530" s="44" t="n"/>
    </row>
    <row r="531" hidden="1" outlineLevel="1" ht="15" customHeight="1" s="15">
      <c r="B531" s="41" t="n">
        <v>3</v>
      </c>
      <c r="C531" s="42">
        <f>IF(EMPLOYES!C28="","",EMPLOYES!C28)</f>
        <v/>
      </c>
      <c r="D531" s="43">
        <f>IF(EMPLOYES!C28="","",EMPLOYES!D28)</f>
        <v/>
      </c>
      <c r="E531" s="44" t="n"/>
      <c r="F531" s="42" t="n"/>
      <c r="G531" s="41">
        <f>IF($C531="",0,MAX(0,$M531-$N531))</f>
        <v/>
      </c>
      <c r="H531" s="45" t="n"/>
      <c r="I531" s="41">
        <f>IF($C531="","",IF(H531="","OK",IF(H531&gt;EMPLOYES!P28,"⚠ Avance &gt; salaire",IF(H531&gt;EMPLOYES!P28*PARAMETRES!$C$218,"⚠ Avance élevée","OK"))))</f>
        <v/>
      </c>
      <c r="J531" s="45" t="n"/>
      <c r="K531" s="46" t="n"/>
      <c r="L531" s="46" t="n"/>
      <c r="M531" s="41">
        <f>IF($C531="","",SUMPRODUCT((PARAMETRES!$B$38:$B$157=PARAMETRES!$C$29)*(PARAMETRES!$C$38:$C$157=3)*(IF(EMPLOYES!M28="5j",PARAMETRES!$I$38:$I$157,PARAMETRES!$H$38:$H$157))))</f>
        <v/>
      </c>
      <c r="N531" s="41">
        <f>IF($C531="","",SUMPRODUCT((O531:AS531="P")+(O531:AS531="F")+(O531:AS531="C")+0.5*(O531:AS531="D"),(1-((O515:AS515=6)*(EMPLOYES!M28="5j")))))</f>
        <v/>
      </c>
      <c r="O531" s="46" t="n"/>
      <c r="P531" s="46" t="n"/>
      <c r="Q531" s="46" t="n"/>
      <c r="R531" s="46" t="n"/>
      <c r="S531" s="46" t="n"/>
      <c r="T531" s="46" t="n"/>
      <c r="U531" s="46" t="n"/>
      <c r="V531" s="46" t="n"/>
      <c r="W531" s="46" t="n"/>
      <c r="X531" s="46" t="n"/>
      <c r="Y531" s="46" t="n"/>
      <c r="Z531" s="46" t="n"/>
      <c r="AA531" s="46" t="n"/>
      <c r="AB531" s="46" t="n"/>
      <c r="AC531" s="46" t="n"/>
      <c r="AD531" s="46" t="n"/>
      <c r="AE531" s="46" t="n"/>
      <c r="AF531" s="46" t="n"/>
      <c r="AG531" s="46" t="n"/>
      <c r="AH531" s="46" t="n"/>
      <c r="AI531" s="46" t="n"/>
      <c r="AJ531" s="46" t="n"/>
      <c r="AK531" s="46" t="n"/>
      <c r="AL531" s="46" t="n"/>
      <c r="AM531" s="46" t="n"/>
      <c r="AN531" s="46" t="n"/>
      <c r="AO531" s="46" t="n"/>
      <c r="AP531" s="46" t="n"/>
      <c r="AQ531" s="46" t="n"/>
      <c r="AR531" s="46" t="n"/>
      <c r="AS531" s="46" t="n"/>
      <c r="AV531" s="36">
        <f>IF($C531="","",EMPLOYES!M28)</f>
        <v/>
      </c>
      <c r="AW531" s="36">
        <f>IF($C531="",0,SUMPRODUCT(--(O531:AS531="C")))</f>
        <v/>
      </c>
      <c r="AX531" s="36">
        <f>IF($C531="",0,SUMPRODUCT(--(O531:AS531="R")))</f>
        <v/>
      </c>
      <c r="AY531" s="44" t="n"/>
    </row>
    <row r="532" hidden="1" outlineLevel="1" ht="15" customHeight="1" s="15">
      <c r="B532" s="41" t="n">
        <v>3</v>
      </c>
      <c r="C532" s="42">
        <f>IF(EMPLOYES!C29="","",EMPLOYES!C29)</f>
        <v/>
      </c>
      <c r="D532" s="43">
        <f>IF(EMPLOYES!C29="","",EMPLOYES!D29)</f>
        <v/>
      </c>
      <c r="E532" s="44" t="n"/>
      <c r="F532" s="42" t="n"/>
      <c r="G532" s="41">
        <f>IF($C532="",0,MAX(0,$M532-$N532))</f>
        <v/>
      </c>
      <c r="H532" s="45" t="n"/>
      <c r="I532" s="41">
        <f>IF($C532="","",IF(H532="","OK",IF(H532&gt;EMPLOYES!P29,"⚠ Avance &gt; salaire",IF(H532&gt;EMPLOYES!P29*PARAMETRES!$C$218,"⚠ Avance élevée","OK"))))</f>
        <v/>
      </c>
      <c r="J532" s="45" t="n"/>
      <c r="K532" s="46" t="n"/>
      <c r="L532" s="46" t="n"/>
      <c r="M532" s="41">
        <f>IF($C532="","",SUMPRODUCT((PARAMETRES!$B$38:$B$157=PARAMETRES!$C$29)*(PARAMETRES!$C$38:$C$157=3)*(IF(EMPLOYES!M29="5j",PARAMETRES!$I$38:$I$157,PARAMETRES!$H$38:$H$157))))</f>
        <v/>
      </c>
      <c r="N532" s="41">
        <f>IF($C532="","",SUMPRODUCT((O532:AS532="P")+(O532:AS532="F")+(O532:AS532="C")+0.5*(O532:AS532="D"),(1-((O515:AS515=6)*(EMPLOYES!M29="5j")))))</f>
        <v/>
      </c>
      <c r="O532" s="46" t="n"/>
      <c r="P532" s="46" t="n"/>
      <c r="Q532" s="46" t="n"/>
      <c r="R532" s="46" t="n"/>
      <c r="S532" s="46" t="n"/>
      <c r="T532" s="46" t="n"/>
      <c r="U532" s="46" t="n"/>
      <c r="V532" s="46" t="n"/>
      <c r="W532" s="46" t="n"/>
      <c r="X532" s="46" t="n"/>
      <c r="Y532" s="46" t="n"/>
      <c r="Z532" s="46" t="n"/>
      <c r="AA532" s="46" t="n"/>
      <c r="AB532" s="46" t="n"/>
      <c r="AC532" s="46" t="n"/>
      <c r="AD532" s="46" t="n"/>
      <c r="AE532" s="46" t="n"/>
      <c r="AF532" s="46" t="n"/>
      <c r="AG532" s="46" t="n"/>
      <c r="AH532" s="46" t="n"/>
      <c r="AI532" s="46" t="n"/>
      <c r="AJ532" s="46" t="n"/>
      <c r="AK532" s="46" t="n"/>
      <c r="AL532" s="46" t="n"/>
      <c r="AM532" s="46" t="n"/>
      <c r="AN532" s="46" t="n"/>
      <c r="AO532" s="46" t="n"/>
      <c r="AP532" s="46" t="n"/>
      <c r="AQ532" s="46" t="n"/>
      <c r="AR532" s="46" t="n"/>
      <c r="AS532" s="46" t="n"/>
      <c r="AV532" s="36">
        <f>IF($C532="","",EMPLOYES!M29)</f>
        <v/>
      </c>
      <c r="AW532" s="36">
        <f>IF($C532="",0,SUMPRODUCT(--(O532:AS532="C")))</f>
        <v/>
      </c>
      <c r="AX532" s="36">
        <f>IF($C532="",0,SUMPRODUCT(--(O532:AS532="R")))</f>
        <v/>
      </c>
      <c r="AY532" s="44" t="n"/>
    </row>
    <row r="533" hidden="1" outlineLevel="1" ht="15" customHeight="1" s="15">
      <c r="B533" s="41" t="n">
        <v>3</v>
      </c>
      <c r="C533" s="42">
        <f>IF(EMPLOYES!C30="","",EMPLOYES!C30)</f>
        <v/>
      </c>
      <c r="D533" s="43">
        <f>IF(EMPLOYES!C30="","",EMPLOYES!D30)</f>
        <v/>
      </c>
      <c r="E533" s="44" t="n"/>
      <c r="F533" s="42" t="n"/>
      <c r="G533" s="41">
        <f>IF($C533="",0,MAX(0,$M533-$N533))</f>
        <v/>
      </c>
      <c r="H533" s="45" t="n"/>
      <c r="I533" s="41">
        <f>IF($C533="","",IF(H533="","OK",IF(H533&gt;EMPLOYES!P30,"⚠ Avance &gt; salaire",IF(H533&gt;EMPLOYES!P30*PARAMETRES!$C$218,"⚠ Avance élevée","OK"))))</f>
        <v/>
      </c>
      <c r="J533" s="45" t="n"/>
      <c r="K533" s="46" t="n"/>
      <c r="L533" s="46" t="n"/>
      <c r="M533" s="41">
        <f>IF($C533="","",SUMPRODUCT((PARAMETRES!$B$38:$B$157=PARAMETRES!$C$29)*(PARAMETRES!$C$38:$C$157=3)*(IF(EMPLOYES!M30="5j",PARAMETRES!$I$38:$I$157,PARAMETRES!$H$38:$H$157))))</f>
        <v/>
      </c>
      <c r="N533" s="41">
        <f>IF($C533="","",SUMPRODUCT((O533:AS533="P")+(O533:AS533="F")+(O533:AS533="C")+0.5*(O533:AS533="D"),(1-((O515:AS515=6)*(EMPLOYES!M30="5j")))))</f>
        <v/>
      </c>
      <c r="O533" s="46" t="n"/>
      <c r="P533" s="46" t="n"/>
      <c r="Q533" s="46" t="n"/>
      <c r="R533" s="46" t="n"/>
      <c r="S533" s="46" t="n"/>
      <c r="T533" s="46" t="n"/>
      <c r="U533" s="46" t="n"/>
      <c r="V533" s="46" t="n"/>
      <c r="W533" s="46" t="n"/>
      <c r="X533" s="46" t="n"/>
      <c r="Y533" s="46" t="n"/>
      <c r="Z533" s="46" t="n"/>
      <c r="AA533" s="46" t="n"/>
      <c r="AB533" s="46" t="n"/>
      <c r="AC533" s="46" t="n"/>
      <c r="AD533" s="46" t="n"/>
      <c r="AE533" s="46" t="n"/>
      <c r="AF533" s="46" t="n"/>
      <c r="AG533" s="46" t="n"/>
      <c r="AH533" s="46" t="n"/>
      <c r="AI533" s="46" t="n"/>
      <c r="AJ533" s="46" t="n"/>
      <c r="AK533" s="46" t="n"/>
      <c r="AL533" s="46" t="n"/>
      <c r="AM533" s="46" t="n"/>
      <c r="AN533" s="46" t="n"/>
      <c r="AO533" s="46" t="n"/>
      <c r="AP533" s="46" t="n"/>
      <c r="AQ533" s="46" t="n"/>
      <c r="AR533" s="46" t="n"/>
      <c r="AS533" s="46" t="n"/>
      <c r="AV533" s="36">
        <f>IF($C533="","",EMPLOYES!M30)</f>
        <v/>
      </c>
      <c r="AW533" s="36">
        <f>IF($C533="",0,SUMPRODUCT(--(O533:AS533="C")))</f>
        <v/>
      </c>
      <c r="AX533" s="36">
        <f>IF($C533="",0,SUMPRODUCT(--(O533:AS533="R")))</f>
        <v/>
      </c>
      <c r="AY533" s="44" t="n"/>
    </row>
    <row r="534" hidden="1" outlineLevel="1" ht="15" customHeight="1" s="15">
      <c r="B534" s="41" t="n">
        <v>3</v>
      </c>
      <c r="C534" s="42">
        <f>IF(EMPLOYES!C31="","",EMPLOYES!C31)</f>
        <v/>
      </c>
      <c r="D534" s="43">
        <f>IF(EMPLOYES!C31="","",EMPLOYES!D31)</f>
        <v/>
      </c>
      <c r="E534" s="44" t="n"/>
      <c r="F534" s="42" t="n"/>
      <c r="G534" s="41">
        <f>IF($C534="",0,MAX(0,$M534-$N534))</f>
        <v/>
      </c>
      <c r="H534" s="45" t="n"/>
      <c r="I534" s="41">
        <f>IF($C534="","",IF(H534="","OK",IF(H534&gt;EMPLOYES!P31,"⚠ Avance &gt; salaire",IF(H534&gt;EMPLOYES!P31*PARAMETRES!$C$218,"⚠ Avance élevée","OK"))))</f>
        <v/>
      </c>
      <c r="J534" s="45" t="n"/>
      <c r="K534" s="46" t="n"/>
      <c r="L534" s="46" t="n"/>
      <c r="M534" s="41">
        <f>IF($C534="","",SUMPRODUCT((PARAMETRES!$B$38:$B$157=PARAMETRES!$C$29)*(PARAMETRES!$C$38:$C$157=3)*(IF(EMPLOYES!M31="5j",PARAMETRES!$I$38:$I$157,PARAMETRES!$H$38:$H$157))))</f>
        <v/>
      </c>
      <c r="N534" s="41">
        <f>IF($C534="","",SUMPRODUCT((O534:AS534="P")+(O534:AS534="F")+(O534:AS534="C")+0.5*(O534:AS534="D"),(1-((O515:AS515=6)*(EMPLOYES!M31="5j")))))</f>
        <v/>
      </c>
      <c r="O534" s="46" t="n"/>
      <c r="P534" s="46" t="n"/>
      <c r="Q534" s="46" t="n"/>
      <c r="R534" s="46" t="n"/>
      <c r="S534" s="46" t="n"/>
      <c r="T534" s="46" t="n"/>
      <c r="U534" s="46" t="n"/>
      <c r="V534" s="46" t="n"/>
      <c r="W534" s="46" t="n"/>
      <c r="X534" s="46" t="n"/>
      <c r="Y534" s="46" t="n"/>
      <c r="Z534" s="46" t="n"/>
      <c r="AA534" s="46" t="n"/>
      <c r="AB534" s="46" t="n"/>
      <c r="AC534" s="46" t="n"/>
      <c r="AD534" s="46" t="n"/>
      <c r="AE534" s="46" t="n"/>
      <c r="AF534" s="46" t="n"/>
      <c r="AG534" s="46" t="n"/>
      <c r="AH534" s="46" t="n"/>
      <c r="AI534" s="46" t="n"/>
      <c r="AJ534" s="46" t="n"/>
      <c r="AK534" s="46" t="n"/>
      <c r="AL534" s="46" t="n"/>
      <c r="AM534" s="46" t="n"/>
      <c r="AN534" s="46" t="n"/>
      <c r="AO534" s="46" t="n"/>
      <c r="AP534" s="46" t="n"/>
      <c r="AQ534" s="46" t="n"/>
      <c r="AR534" s="46" t="n"/>
      <c r="AS534" s="46" t="n"/>
      <c r="AV534" s="36">
        <f>IF($C534="","",EMPLOYES!M31)</f>
        <v/>
      </c>
      <c r="AW534" s="36">
        <f>IF($C534="",0,SUMPRODUCT(--(O534:AS534="C")))</f>
        <v/>
      </c>
      <c r="AX534" s="36">
        <f>IF($C534="",0,SUMPRODUCT(--(O534:AS534="R")))</f>
        <v/>
      </c>
      <c r="AY534" s="44" t="n"/>
    </row>
    <row r="535" hidden="1" outlineLevel="1" ht="15" customHeight="1" s="15">
      <c r="B535" s="41" t="n">
        <v>3</v>
      </c>
      <c r="C535" s="42">
        <f>IF(EMPLOYES!C32="","",EMPLOYES!C32)</f>
        <v/>
      </c>
      <c r="D535" s="43">
        <f>IF(EMPLOYES!C32="","",EMPLOYES!D32)</f>
        <v/>
      </c>
      <c r="E535" s="44" t="n"/>
      <c r="F535" s="42" t="n"/>
      <c r="G535" s="41">
        <f>IF($C535="",0,MAX(0,$M535-$N535))</f>
        <v/>
      </c>
      <c r="H535" s="45" t="n"/>
      <c r="I535" s="41">
        <f>IF($C535="","",IF(H535="","OK",IF(H535&gt;EMPLOYES!P32,"⚠ Avance &gt; salaire",IF(H535&gt;EMPLOYES!P32*PARAMETRES!$C$218,"⚠ Avance élevée","OK"))))</f>
        <v/>
      </c>
      <c r="J535" s="45" t="n"/>
      <c r="K535" s="46" t="n"/>
      <c r="L535" s="46" t="n"/>
      <c r="M535" s="41">
        <f>IF($C535="","",SUMPRODUCT((PARAMETRES!$B$38:$B$157=PARAMETRES!$C$29)*(PARAMETRES!$C$38:$C$157=3)*(IF(EMPLOYES!M32="5j",PARAMETRES!$I$38:$I$157,PARAMETRES!$H$38:$H$157))))</f>
        <v/>
      </c>
      <c r="N535" s="41">
        <f>IF($C535="","",SUMPRODUCT((O535:AS535="P")+(O535:AS535="F")+(O535:AS535="C")+0.5*(O535:AS535="D"),(1-((O515:AS515=6)*(EMPLOYES!M32="5j")))))</f>
        <v/>
      </c>
      <c r="O535" s="46" t="n"/>
      <c r="P535" s="46" t="n"/>
      <c r="Q535" s="46" t="n"/>
      <c r="R535" s="46" t="n"/>
      <c r="S535" s="46" t="n"/>
      <c r="T535" s="46" t="n"/>
      <c r="U535" s="46" t="n"/>
      <c r="V535" s="46" t="n"/>
      <c r="W535" s="46" t="n"/>
      <c r="X535" s="46" t="n"/>
      <c r="Y535" s="46" t="n"/>
      <c r="Z535" s="46" t="n"/>
      <c r="AA535" s="46" t="n"/>
      <c r="AB535" s="46" t="n"/>
      <c r="AC535" s="46" t="n"/>
      <c r="AD535" s="46" t="n"/>
      <c r="AE535" s="46" t="n"/>
      <c r="AF535" s="46" t="n"/>
      <c r="AG535" s="46" t="n"/>
      <c r="AH535" s="46" t="n"/>
      <c r="AI535" s="46" t="n"/>
      <c r="AJ535" s="46" t="n"/>
      <c r="AK535" s="46" t="n"/>
      <c r="AL535" s="46" t="n"/>
      <c r="AM535" s="46" t="n"/>
      <c r="AN535" s="46" t="n"/>
      <c r="AO535" s="46" t="n"/>
      <c r="AP535" s="46" t="n"/>
      <c r="AQ535" s="46" t="n"/>
      <c r="AR535" s="46" t="n"/>
      <c r="AS535" s="46" t="n"/>
      <c r="AV535" s="36">
        <f>IF($C535="","",EMPLOYES!M32)</f>
        <v/>
      </c>
      <c r="AW535" s="36">
        <f>IF($C535="",0,SUMPRODUCT(--(O535:AS535="C")))</f>
        <v/>
      </c>
      <c r="AX535" s="36">
        <f>IF($C535="",0,SUMPRODUCT(--(O535:AS535="R")))</f>
        <v/>
      </c>
      <c r="AY535" s="44" t="n"/>
    </row>
    <row r="536" hidden="1" outlineLevel="1" ht="15" customHeight="1" s="15">
      <c r="B536" s="41" t="n">
        <v>3</v>
      </c>
      <c r="C536" s="42">
        <f>IF(EMPLOYES!C33="","",EMPLOYES!C33)</f>
        <v/>
      </c>
      <c r="D536" s="43">
        <f>IF(EMPLOYES!C33="","",EMPLOYES!D33)</f>
        <v/>
      </c>
      <c r="E536" s="44" t="n"/>
      <c r="F536" s="42" t="n"/>
      <c r="G536" s="41">
        <f>IF($C536="",0,MAX(0,$M536-$N536))</f>
        <v/>
      </c>
      <c r="H536" s="45" t="n"/>
      <c r="I536" s="41">
        <f>IF($C536="","",IF(H536="","OK",IF(H536&gt;EMPLOYES!P33,"⚠ Avance &gt; salaire",IF(H536&gt;EMPLOYES!P33*PARAMETRES!$C$218,"⚠ Avance élevée","OK"))))</f>
        <v/>
      </c>
      <c r="J536" s="45" t="n"/>
      <c r="K536" s="46" t="n"/>
      <c r="L536" s="46" t="n"/>
      <c r="M536" s="41">
        <f>IF($C536="","",SUMPRODUCT((PARAMETRES!$B$38:$B$157=PARAMETRES!$C$29)*(PARAMETRES!$C$38:$C$157=3)*(IF(EMPLOYES!M33="5j",PARAMETRES!$I$38:$I$157,PARAMETRES!$H$38:$H$157))))</f>
        <v/>
      </c>
      <c r="N536" s="41">
        <f>IF($C536="","",SUMPRODUCT((O536:AS536="P")+(O536:AS536="F")+(O536:AS536="C")+0.5*(O536:AS536="D"),(1-((O515:AS515=6)*(EMPLOYES!M33="5j")))))</f>
        <v/>
      </c>
      <c r="O536" s="46" t="n"/>
      <c r="P536" s="46" t="n"/>
      <c r="Q536" s="46" t="n"/>
      <c r="R536" s="46" t="n"/>
      <c r="S536" s="46" t="n"/>
      <c r="T536" s="46" t="n"/>
      <c r="U536" s="46" t="n"/>
      <c r="V536" s="46" t="n"/>
      <c r="W536" s="46" t="n"/>
      <c r="X536" s="46" t="n"/>
      <c r="Y536" s="46" t="n"/>
      <c r="Z536" s="46" t="n"/>
      <c r="AA536" s="46" t="n"/>
      <c r="AB536" s="46" t="n"/>
      <c r="AC536" s="46" t="n"/>
      <c r="AD536" s="46" t="n"/>
      <c r="AE536" s="46" t="n"/>
      <c r="AF536" s="46" t="n"/>
      <c r="AG536" s="46" t="n"/>
      <c r="AH536" s="46" t="n"/>
      <c r="AI536" s="46" t="n"/>
      <c r="AJ536" s="46" t="n"/>
      <c r="AK536" s="46" t="n"/>
      <c r="AL536" s="46" t="n"/>
      <c r="AM536" s="46" t="n"/>
      <c r="AN536" s="46" t="n"/>
      <c r="AO536" s="46" t="n"/>
      <c r="AP536" s="46" t="n"/>
      <c r="AQ536" s="46" t="n"/>
      <c r="AR536" s="46" t="n"/>
      <c r="AS536" s="46" t="n"/>
      <c r="AV536" s="36">
        <f>IF($C536="","",EMPLOYES!M33)</f>
        <v/>
      </c>
      <c r="AW536" s="36">
        <f>IF($C536="",0,SUMPRODUCT(--(O536:AS536="C")))</f>
        <v/>
      </c>
      <c r="AX536" s="36">
        <f>IF($C536="",0,SUMPRODUCT(--(O536:AS536="R")))</f>
        <v/>
      </c>
      <c r="AY536" s="44" t="n"/>
    </row>
    <row r="537" hidden="1" outlineLevel="1" ht="15" customHeight="1" s="15">
      <c r="B537" s="41" t="n">
        <v>3</v>
      </c>
      <c r="C537" s="42">
        <f>IF(EMPLOYES!C34="","",EMPLOYES!C34)</f>
        <v/>
      </c>
      <c r="D537" s="43">
        <f>IF(EMPLOYES!C34="","",EMPLOYES!D34)</f>
        <v/>
      </c>
      <c r="E537" s="44" t="n"/>
      <c r="F537" s="42" t="n"/>
      <c r="G537" s="41">
        <f>IF($C537="",0,MAX(0,$M537-$N537))</f>
        <v/>
      </c>
      <c r="H537" s="45" t="n"/>
      <c r="I537" s="41">
        <f>IF($C537="","",IF(H537="","OK",IF(H537&gt;EMPLOYES!P34,"⚠ Avance &gt; salaire",IF(H537&gt;EMPLOYES!P34*PARAMETRES!$C$218,"⚠ Avance élevée","OK"))))</f>
        <v/>
      </c>
      <c r="J537" s="45" t="n"/>
      <c r="K537" s="46" t="n"/>
      <c r="L537" s="46" t="n"/>
      <c r="M537" s="41">
        <f>IF($C537="","",SUMPRODUCT((PARAMETRES!$B$38:$B$157=PARAMETRES!$C$29)*(PARAMETRES!$C$38:$C$157=3)*(IF(EMPLOYES!M34="5j",PARAMETRES!$I$38:$I$157,PARAMETRES!$H$38:$H$157))))</f>
        <v/>
      </c>
      <c r="N537" s="41">
        <f>IF($C537="","",SUMPRODUCT((O537:AS537="P")+(O537:AS537="F")+(O537:AS537="C")+0.5*(O537:AS537="D"),(1-((O515:AS515=6)*(EMPLOYES!M34="5j")))))</f>
        <v/>
      </c>
      <c r="O537" s="46" t="n"/>
      <c r="P537" s="46" t="n"/>
      <c r="Q537" s="46" t="n"/>
      <c r="R537" s="46" t="n"/>
      <c r="S537" s="46" t="n"/>
      <c r="T537" s="46" t="n"/>
      <c r="U537" s="46" t="n"/>
      <c r="V537" s="46" t="n"/>
      <c r="W537" s="46" t="n"/>
      <c r="X537" s="46" t="n"/>
      <c r="Y537" s="46" t="n"/>
      <c r="Z537" s="46" t="n"/>
      <c r="AA537" s="46" t="n"/>
      <c r="AB537" s="46" t="n"/>
      <c r="AC537" s="46" t="n"/>
      <c r="AD537" s="46" t="n"/>
      <c r="AE537" s="46" t="n"/>
      <c r="AF537" s="46" t="n"/>
      <c r="AG537" s="46" t="n"/>
      <c r="AH537" s="46" t="n"/>
      <c r="AI537" s="46" t="n"/>
      <c r="AJ537" s="46" t="n"/>
      <c r="AK537" s="46" t="n"/>
      <c r="AL537" s="46" t="n"/>
      <c r="AM537" s="46" t="n"/>
      <c r="AN537" s="46" t="n"/>
      <c r="AO537" s="46" t="n"/>
      <c r="AP537" s="46" t="n"/>
      <c r="AQ537" s="46" t="n"/>
      <c r="AR537" s="46" t="n"/>
      <c r="AS537" s="46" t="n"/>
      <c r="AV537" s="36">
        <f>IF($C537="","",EMPLOYES!M34)</f>
        <v/>
      </c>
      <c r="AW537" s="36">
        <f>IF($C537="",0,SUMPRODUCT(--(O537:AS537="C")))</f>
        <v/>
      </c>
      <c r="AX537" s="36">
        <f>IF($C537="",0,SUMPRODUCT(--(O537:AS537="R")))</f>
        <v/>
      </c>
      <c r="AY537" s="44" t="n"/>
    </row>
    <row r="538" hidden="1" outlineLevel="1" ht="15" customHeight="1" s="15">
      <c r="B538" s="41" t="n">
        <v>3</v>
      </c>
      <c r="C538" s="42">
        <f>IF(EMPLOYES!C35="","",EMPLOYES!C35)</f>
        <v/>
      </c>
      <c r="D538" s="43">
        <f>IF(EMPLOYES!C35="","",EMPLOYES!D35)</f>
        <v/>
      </c>
      <c r="E538" s="44" t="n"/>
      <c r="F538" s="42" t="n"/>
      <c r="G538" s="41">
        <f>IF($C538="",0,MAX(0,$M538-$N538))</f>
        <v/>
      </c>
      <c r="H538" s="45" t="n"/>
      <c r="I538" s="41">
        <f>IF($C538="","",IF(H538="","OK",IF(H538&gt;EMPLOYES!P35,"⚠ Avance &gt; salaire",IF(H538&gt;EMPLOYES!P35*PARAMETRES!$C$218,"⚠ Avance élevée","OK"))))</f>
        <v/>
      </c>
      <c r="J538" s="45" t="n"/>
      <c r="K538" s="46" t="n"/>
      <c r="L538" s="46" t="n"/>
      <c r="M538" s="41">
        <f>IF($C538="","",SUMPRODUCT((PARAMETRES!$B$38:$B$157=PARAMETRES!$C$29)*(PARAMETRES!$C$38:$C$157=3)*(IF(EMPLOYES!M35="5j",PARAMETRES!$I$38:$I$157,PARAMETRES!$H$38:$H$157))))</f>
        <v/>
      </c>
      <c r="N538" s="41">
        <f>IF($C538="","",SUMPRODUCT((O538:AS538="P")+(O538:AS538="F")+(O538:AS538="C")+0.5*(O538:AS538="D"),(1-((O515:AS515=6)*(EMPLOYES!M35="5j")))))</f>
        <v/>
      </c>
      <c r="O538" s="46" t="n"/>
      <c r="P538" s="46" t="n"/>
      <c r="Q538" s="46" t="n"/>
      <c r="R538" s="46" t="n"/>
      <c r="S538" s="46" t="n"/>
      <c r="T538" s="46" t="n"/>
      <c r="U538" s="46" t="n"/>
      <c r="V538" s="46" t="n"/>
      <c r="W538" s="46" t="n"/>
      <c r="X538" s="46" t="n"/>
      <c r="Y538" s="46" t="n"/>
      <c r="Z538" s="46" t="n"/>
      <c r="AA538" s="46" t="n"/>
      <c r="AB538" s="46" t="n"/>
      <c r="AC538" s="46" t="n"/>
      <c r="AD538" s="46" t="n"/>
      <c r="AE538" s="46" t="n"/>
      <c r="AF538" s="46" t="n"/>
      <c r="AG538" s="46" t="n"/>
      <c r="AH538" s="46" t="n"/>
      <c r="AI538" s="46" t="n"/>
      <c r="AJ538" s="46" t="n"/>
      <c r="AK538" s="46" t="n"/>
      <c r="AL538" s="46" t="n"/>
      <c r="AM538" s="46" t="n"/>
      <c r="AN538" s="46" t="n"/>
      <c r="AO538" s="46" t="n"/>
      <c r="AP538" s="46" t="n"/>
      <c r="AQ538" s="46" t="n"/>
      <c r="AR538" s="46" t="n"/>
      <c r="AS538" s="46" t="n"/>
      <c r="AV538" s="36">
        <f>IF($C538="","",EMPLOYES!M35)</f>
        <v/>
      </c>
      <c r="AW538" s="36">
        <f>IF($C538="",0,SUMPRODUCT(--(O538:AS538="C")))</f>
        <v/>
      </c>
      <c r="AX538" s="36">
        <f>IF($C538="",0,SUMPRODUCT(--(O538:AS538="R")))</f>
        <v/>
      </c>
      <c r="AY538" s="44" t="n"/>
    </row>
    <row r="539" hidden="1" outlineLevel="1" ht="15" customHeight="1" s="15">
      <c r="B539" s="41" t="n">
        <v>3</v>
      </c>
      <c r="C539" s="42">
        <f>IF(EMPLOYES!C36="","",EMPLOYES!C36)</f>
        <v/>
      </c>
      <c r="D539" s="43">
        <f>IF(EMPLOYES!C36="","",EMPLOYES!D36)</f>
        <v/>
      </c>
      <c r="E539" s="44" t="n"/>
      <c r="F539" s="42" t="n"/>
      <c r="G539" s="41">
        <f>IF($C539="",0,MAX(0,$M539-$N539))</f>
        <v/>
      </c>
      <c r="H539" s="45" t="n"/>
      <c r="I539" s="41">
        <f>IF($C539="","",IF(H539="","OK",IF(H539&gt;EMPLOYES!P36,"⚠ Avance &gt; salaire",IF(H539&gt;EMPLOYES!P36*PARAMETRES!$C$218,"⚠ Avance élevée","OK"))))</f>
        <v/>
      </c>
      <c r="J539" s="45" t="n"/>
      <c r="K539" s="46" t="n"/>
      <c r="L539" s="46" t="n"/>
      <c r="M539" s="41">
        <f>IF($C539="","",SUMPRODUCT((PARAMETRES!$B$38:$B$157=PARAMETRES!$C$29)*(PARAMETRES!$C$38:$C$157=3)*(IF(EMPLOYES!M36="5j",PARAMETRES!$I$38:$I$157,PARAMETRES!$H$38:$H$157))))</f>
        <v/>
      </c>
      <c r="N539" s="41">
        <f>IF($C539="","",SUMPRODUCT((O539:AS539="P")+(O539:AS539="F")+(O539:AS539="C")+0.5*(O539:AS539="D"),(1-((O515:AS515=6)*(EMPLOYES!M36="5j")))))</f>
        <v/>
      </c>
      <c r="O539" s="46" t="n"/>
      <c r="P539" s="46" t="n"/>
      <c r="Q539" s="46" t="n"/>
      <c r="R539" s="46" t="n"/>
      <c r="S539" s="46" t="n"/>
      <c r="T539" s="46" t="n"/>
      <c r="U539" s="46" t="n"/>
      <c r="V539" s="46" t="n"/>
      <c r="W539" s="46" t="n"/>
      <c r="X539" s="46" t="n"/>
      <c r="Y539" s="46" t="n"/>
      <c r="Z539" s="46" t="n"/>
      <c r="AA539" s="46" t="n"/>
      <c r="AB539" s="46" t="n"/>
      <c r="AC539" s="46" t="n"/>
      <c r="AD539" s="46" t="n"/>
      <c r="AE539" s="46" t="n"/>
      <c r="AF539" s="46" t="n"/>
      <c r="AG539" s="46" t="n"/>
      <c r="AH539" s="46" t="n"/>
      <c r="AI539" s="46" t="n"/>
      <c r="AJ539" s="46" t="n"/>
      <c r="AK539" s="46" t="n"/>
      <c r="AL539" s="46" t="n"/>
      <c r="AM539" s="46" t="n"/>
      <c r="AN539" s="46" t="n"/>
      <c r="AO539" s="46" t="n"/>
      <c r="AP539" s="46" t="n"/>
      <c r="AQ539" s="46" t="n"/>
      <c r="AR539" s="46" t="n"/>
      <c r="AS539" s="46" t="n"/>
      <c r="AV539" s="36">
        <f>IF($C539="","",EMPLOYES!M36)</f>
        <v/>
      </c>
      <c r="AW539" s="36">
        <f>IF($C539="",0,SUMPRODUCT(--(O539:AS539="C")))</f>
        <v/>
      </c>
      <c r="AX539" s="36">
        <f>IF($C539="",0,SUMPRODUCT(--(O539:AS539="R")))</f>
        <v/>
      </c>
      <c r="AY539" s="44" t="n"/>
    </row>
    <row r="540" hidden="1" outlineLevel="1" ht="15" customHeight="1" s="15">
      <c r="B540" s="41" t="n">
        <v>3</v>
      </c>
      <c r="C540" s="42">
        <f>IF(EMPLOYES!C37="","",EMPLOYES!C37)</f>
        <v/>
      </c>
      <c r="D540" s="43">
        <f>IF(EMPLOYES!C37="","",EMPLOYES!D37)</f>
        <v/>
      </c>
      <c r="E540" s="44" t="n"/>
      <c r="F540" s="42" t="n"/>
      <c r="G540" s="41">
        <f>IF($C540="",0,MAX(0,$M540-$N540))</f>
        <v/>
      </c>
      <c r="H540" s="45" t="n"/>
      <c r="I540" s="41">
        <f>IF($C540="","",IF(H540="","OK",IF(H540&gt;EMPLOYES!P37,"⚠ Avance &gt; salaire",IF(H540&gt;EMPLOYES!P37*PARAMETRES!$C$218,"⚠ Avance élevée","OK"))))</f>
        <v/>
      </c>
      <c r="J540" s="45" t="n"/>
      <c r="K540" s="46" t="n"/>
      <c r="L540" s="46" t="n"/>
      <c r="M540" s="41">
        <f>IF($C540="","",SUMPRODUCT((PARAMETRES!$B$38:$B$157=PARAMETRES!$C$29)*(PARAMETRES!$C$38:$C$157=3)*(IF(EMPLOYES!M37="5j",PARAMETRES!$I$38:$I$157,PARAMETRES!$H$38:$H$157))))</f>
        <v/>
      </c>
      <c r="N540" s="41">
        <f>IF($C540="","",SUMPRODUCT((O540:AS540="P")+(O540:AS540="F")+(O540:AS540="C")+0.5*(O540:AS540="D"),(1-((O515:AS515=6)*(EMPLOYES!M37="5j")))))</f>
        <v/>
      </c>
      <c r="O540" s="46" t="n"/>
      <c r="P540" s="46" t="n"/>
      <c r="Q540" s="46" t="n"/>
      <c r="R540" s="46" t="n"/>
      <c r="S540" s="46" t="n"/>
      <c r="T540" s="46" t="n"/>
      <c r="U540" s="46" t="n"/>
      <c r="V540" s="46" t="n"/>
      <c r="W540" s="46" t="n"/>
      <c r="X540" s="46" t="n"/>
      <c r="Y540" s="46" t="n"/>
      <c r="Z540" s="46" t="n"/>
      <c r="AA540" s="46" t="n"/>
      <c r="AB540" s="46" t="n"/>
      <c r="AC540" s="46" t="n"/>
      <c r="AD540" s="46" t="n"/>
      <c r="AE540" s="46" t="n"/>
      <c r="AF540" s="46" t="n"/>
      <c r="AG540" s="46" t="n"/>
      <c r="AH540" s="46" t="n"/>
      <c r="AI540" s="46" t="n"/>
      <c r="AJ540" s="46" t="n"/>
      <c r="AK540" s="46" t="n"/>
      <c r="AL540" s="46" t="n"/>
      <c r="AM540" s="46" t="n"/>
      <c r="AN540" s="46" t="n"/>
      <c r="AO540" s="46" t="n"/>
      <c r="AP540" s="46" t="n"/>
      <c r="AQ540" s="46" t="n"/>
      <c r="AR540" s="46" t="n"/>
      <c r="AS540" s="46" t="n"/>
      <c r="AV540" s="36">
        <f>IF($C540="","",EMPLOYES!M37)</f>
        <v/>
      </c>
      <c r="AW540" s="36">
        <f>IF($C540="",0,SUMPRODUCT(--(O540:AS540="C")))</f>
        <v/>
      </c>
      <c r="AX540" s="36">
        <f>IF($C540="",0,SUMPRODUCT(--(O540:AS540="R")))</f>
        <v/>
      </c>
      <c r="AY540" s="44" t="n"/>
    </row>
    <row r="541" hidden="1" outlineLevel="1" ht="15" customHeight="1" s="15">
      <c r="B541" s="41" t="n">
        <v>3</v>
      </c>
      <c r="C541" s="42">
        <f>IF(EMPLOYES!C38="","",EMPLOYES!C38)</f>
        <v/>
      </c>
      <c r="D541" s="43">
        <f>IF(EMPLOYES!C38="","",EMPLOYES!D38)</f>
        <v/>
      </c>
      <c r="E541" s="44" t="n"/>
      <c r="F541" s="42" t="n"/>
      <c r="G541" s="41">
        <f>IF($C541="",0,MAX(0,$M541-$N541))</f>
        <v/>
      </c>
      <c r="H541" s="45" t="n"/>
      <c r="I541" s="41">
        <f>IF($C541="","",IF(H541="","OK",IF(H541&gt;EMPLOYES!P38,"⚠ Avance &gt; salaire",IF(H541&gt;EMPLOYES!P38*PARAMETRES!$C$218,"⚠ Avance élevée","OK"))))</f>
        <v/>
      </c>
      <c r="J541" s="45" t="n"/>
      <c r="K541" s="46" t="n"/>
      <c r="L541" s="46" t="n"/>
      <c r="M541" s="41">
        <f>IF($C541="","",SUMPRODUCT((PARAMETRES!$B$38:$B$157=PARAMETRES!$C$29)*(PARAMETRES!$C$38:$C$157=3)*(IF(EMPLOYES!M38="5j",PARAMETRES!$I$38:$I$157,PARAMETRES!$H$38:$H$157))))</f>
        <v/>
      </c>
      <c r="N541" s="41">
        <f>IF($C541="","",SUMPRODUCT((O541:AS541="P")+(O541:AS541="F")+(O541:AS541="C")+0.5*(O541:AS541="D"),(1-((O515:AS515=6)*(EMPLOYES!M38="5j")))))</f>
        <v/>
      </c>
      <c r="O541" s="46" t="n"/>
      <c r="P541" s="46" t="n"/>
      <c r="Q541" s="46" t="n"/>
      <c r="R541" s="46" t="n"/>
      <c r="S541" s="46" t="n"/>
      <c r="T541" s="46" t="n"/>
      <c r="U541" s="46" t="n"/>
      <c r="V541" s="46" t="n"/>
      <c r="W541" s="46" t="n"/>
      <c r="X541" s="46" t="n"/>
      <c r="Y541" s="46" t="n"/>
      <c r="Z541" s="46" t="n"/>
      <c r="AA541" s="46" t="n"/>
      <c r="AB541" s="46" t="n"/>
      <c r="AC541" s="46" t="n"/>
      <c r="AD541" s="46" t="n"/>
      <c r="AE541" s="46" t="n"/>
      <c r="AF541" s="46" t="n"/>
      <c r="AG541" s="46" t="n"/>
      <c r="AH541" s="46" t="n"/>
      <c r="AI541" s="46" t="n"/>
      <c r="AJ541" s="46" t="n"/>
      <c r="AK541" s="46" t="n"/>
      <c r="AL541" s="46" t="n"/>
      <c r="AM541" s="46" t="n"/>
      <c r="AN541" s="46" t="n"/>
      <c r="AO541" s="46" t="n"/>
      <c r="AP541" s="46" t="n"/>
      <c r="AQ541" s="46" t="n"/>
      <c r="AR541" s="46" t="n"/>
      <c r="AS541" s="46" t="n"/>
      <c r="AV541" s="36">
        <f>IF($C541="","",EMPLOYES!M38)</f>
        <v/>
      </c>
      <c r="AW541" s="36">
        <f>IF($C541="",0,SUMPRODUCT(--(O541:AS541="C")))</f>
        <v/>
      </c>
      <c r="AX541" s="36">
        <f>IF($C541="",0,SUMPRODUCT(--(O541:AS541="R")))</f>
        <v/>
      </c>
      <c r="AY541" s="44" t="n"/>
    </row>
    <row r="542" hidden="1" outlineLevel="1" ht="15" customHeight="1" s="15">
      <c r="B542" s="41" t="n">
        <v>3</v>
      </c>
      <c r="C542" s="42">
        <f>IF(EMPLOYES!C39="","",EMPLOYES!C39)</f>
        <v/>
      </c>
      <c r="D542" s="43">
        <f>IF(EMPLOYES!C39="","",EMPLOYES!D39)</f>
        <v/>
      </c>
      <c r="E542" s="44" t="n"/>
      <c r="F542" s="42" t="n"/>
      <c r="G542" s="41">
        <f>IF($C542="",0,MAX(0,$M542-$N542))</f>
        <v/>
      </c>
      <c r="H542" s="45" t="n"/>
      <c r="I542" s="41">
        <f>IF($C542="","",IF(H542="","OK",IF(H542&gt;EMPLOYES!P39,"⚠ Avance &gt; salaire",IF(H542&gt;EMPLOYES!P39*PARAMETRES!$C$218,"⚠ Avance élevée","OK"))))</f>
        <v/>
      </c>
      <c r="J542" s="45" t="n"/>
      <c r="K542" s="46" t="n"/>
      <c r="L542" s="46" t="n"/>
      <c r="M542" s="41">
        <f>IF($C542="","",SUMPRODUCT((PARAMETRES!$B$38:$B$157=PARAMETRES!$C$29)*(PARAMETRES!$C$38:$C$157=3)*(IF(EMPLOYES!M39="5j",PARAMETRES!$I$38:$I$157,PARAMETRES!$H$38:$H$157))))</f>
        <v/>
      </c>
      <c r="N542" s="41">
        <f>IF($C542="","",SUMPRODUCT((O542:AS542="P")+(O542:AS542="F")+(O542:AS542="C")+0.5*(O542:AS542="D"),(1-((O515:AS515=6)*(EMPLOYES!M39="5j")))))</f>
        <v/>
      </c>
      <c r="O542" s="46" t="n"/>
      <c r="P542" s="46" t="n"/>
      <c r="Q542" s="46" t="n"/>
      <c r="R542" s="46" t="n"/>
      <c r="S542" s="46" t="n"/>
      <c r="T542" s="46" t="n"/>
      <c r="U542" s="46" t="n"/>
      <c r="V542" s="46" t="n"/>
      <c r="W542" s="46" t="n"/>
      <c r="X542" s="46" t="n"/>
      <c r="Y542" s="46" t="n"/>
      <c r="Z542" s="46" t="n"/>
      <c r="AA542" s="46" t="n"/>
      <c r="AB542" s="46" t="n"/>
      <c r="AC542" s="46" t="n"/>
      <c r="AD542" s="46" t="n"/>
      <c r="AE542" s="46" t="n"/>
      <c r="AF542" s="46" t="n"/>
      <c r="AG542" s="46" t="n"/>
      <c r="AH542" s="46" t="n"/>
      <c r="AI542" s="46" t="n"/>
      <c r="AJ542" s="46" t="n"/>
      <c r="AK542" s="46" t="n"/>
      <c r="AL542" s="46" t="n"/>
      <c r="AM542" s="46" t="n"/>
      <c r="AN542" s="46" t="n"/>
      <c r="AO542" s="46" t="n"/>
      <c r="AP542" s="46" t="n"/>
      <c r="AQ542" s="46" t="n"/>
      <c r="AR542" s="46" t="n"/>
      <c r="AS542" s="46" t="n"/>
      <c r="AV542" s="36">
        <f>IF($C542="","",EMPLOYES!M39)</f>
        <v/>
      </c>
      <c r="AW542" s="36">
        <f>IF($C542="",0,SUMPRODUCT(--(O542:AS542="C")))</f>
        <v/>
      </c>
      <c r="AX542" s="36">
        <f>IF($C542="",0,SUMPRODUCT(--(O542:AS542="R")))</f>
        <v/>
      </c>
      <c r="AY542" s="44" t="n"/>
    </row>
    <row r="543" hidden="1" outlineLevel="1" ht="15" customHeight="1" s="15">
      <c r="B543" s="41" t="n">
        <v>3</v>
      </c>
      <c r="C543" s="42">
        <f>IF(EMPLOYES!C40="","",EMPLOYES!C40)</f>
        <v/>
      </c>
      <c r="D543" s="43">
        <f>IF(EMPLOYES!C40="","",EMPLOYES!D40)</f>
        <v/>
      </c>
      <c r="E543" s="44" t="n"/>
      <c r="F543" s="42" t="n"/>
      <c r="G543" s="41">
        <f>IF($C543="",0,MAX(0,$M543-$N543))</f>
        <v/>
      </c>
      <c r="H543" s="45" t="n"/>
      <c r="I543" s="41">
        <f>IF($C543="","",IF(H543="","OK",IF(H543&gt;EMPLOYES!P40,"⚠ Avance &gt; salaire",IF(H543&gt;EMPLOYES!P40*PARAMETRES!$C$218,"⚠ Avance élevée","OK"))))</f>
        <v/>
      </c>
      <c r="J543" s="45" t="n"/>
      <c r="K543" s="46" t="n"/>
      <c r="L543" s="46" t="n"/>
      <c r="M543" s="41">
        <f>IF($C543="","",SUMPRODUCT((PARAMETRES!$B$38:$B$157=PARAMETRES!$C$29)*(PARAMETRES!$C$38:$C$157=3)*(IF(EMPLOYES!M40="5j",PARAMETRES!$I$38:$I$157,PARAMETRES!$H$38:$H$157))))</f>
        <v/>
      </c>
      <c r="N543" s="41">
        <f>IF($C543="","",SUMPRODUCT((O543:AS543="P")+(O543:AS543="F")+(O543:AS543="C")+0.5*(O543:AS543="D"),(1-((O515:AS515=6)*(EMPLOYES!M40="5j")))))</f>
        <v/>
      </c>
      <c r="O543" s="46" t="n"/>
      <c r="P543" s="46" t="n"/>
      <c r="Q543" s="46" t="n"/>
      <c r="R543" s="46" t="n"/>
      <c r="S543" s="46" t="n"/>
      <c r="T543" s="46" t="n"/>
      <c r="U543" s="46" t="n"/>
      <c r="V543" s="46" t="n"/>
      <c r="W543" s="46" t="n"/>
      <c r="X543" s="46" t="n"/>
      <c r="Y543" s="46" t="n"/>
      <c r="Z543" s="46" t="n"/>
      <c r="AA543" s="46" t="n"/>
      <c r="AB543" s="46" t="n"/>
      <c r="AC543" s="46" t="n"/>
      <c r="AD543" s="46" t="n"/>
      <c r="AE543" s="46" t="n"/>
      <c r="AF543" s="46" t="n"/>
      <c r="AG543" s="46" t="n"/>
      <c r="AH543" s="46" t="n"/>
      <c r="AI543" s="46" t="n"/>
      <c r="AJ543" s="46" t="n"/>
      <c r="AK543" s="46" t="n"/>
      <c r="AL543" s="46" t="n"/>
      <c r="AM543" s="46" t="n"/>
      <c r="AN543" s="46" t="n"/>
      <c r="AO543" s="46" t="n"/>
      <c r="AP543" s="46" t="n"/>
      <c r="AQ543" s="46" t="n"/>
      <c r="AR543" s="46" t="n"/>
      <c r="AS543" s="46" t="n"/>
      <c r="AV543" s="36">
        <f>IF($C543="","",EMPLOYES!M40)</f>
        <v/>
      </c>
      <c r="AW543" s="36">
        <f>IF($C543="",0,SUMPRODUCT(--(O543:AS543="C")))</f>
        <v/>
      </c>
      <c r="AX543" s="36">
        <f>IF($C543="",0,SUMPRODUCT(--(O543:AS543="R")))</f>
        <v/>
      </c>
      <c r="AY543" s="44" t="n"/>
    </row>
    <row r="544" hidden="1" outlineLevel="1" ht="15" customHeight="1" s="15">
      <c r="B544" s="41" t="n">
        <v>3</v>
      </c>
      <c r="C544" s="42">
        <f>IF(EMPLOYES!C41="","",EMPLOYES!C41)</f>
        <v/>
      </c>
      <c r="D544" s="43">
        <f>IF(EMPLOYES!C41="","",EMPLOYES!D41)</f>
        <v/>
      </c>
      <c r="E544" s="44" t="n"/>
      <c r="F544" s="42" t="n"/>
      <c r="G544" s="41">
        <f>IF($C544="",0,MAX(0,$M544-$N544))</f>
        <v/>
      </c>
      <c r="H544" s="45" t="n"/>
      <c r="I544" s="41">
        <f>IF($C544="","",IF(H544="","OK",IF(H544&gt;EMPLOYES!P41,"⚠ Avance &gt; salaire",IF(H544&gt;EMPLOYES!P41*PARAMETRES!$C$218,"⚠ Avance élevée","OK"))))</f>
        <v/>
      </c>
      <c r="J544" s="45" t="n"/>
      <c r="K544" s="46" t="n"/>
      <c r="L544" s="46" t="n"/>
      <c r="M544" s="41">
        <f>IF($C544="","",SUMPRODUCT((PARAMETRES!$B$38:$B$157=PARAMETRES!$C$29)*(PARAMETRES!$C$38:$C$157=3)*(IF(EMPLOYES!M41="5j",PARAMETRES!$I$38:$I$157,PARAMETRES!$H$38:$H$157))))</f>
        <v/>
      </c>
      <c r="N544" s="41">
        <f>IF($C544="","",SUMPRODUCT((O544:AS544="P")+(O544:AS544="F")+(O544:AS544="C")+0.5*(O544:AS544="D"),(1-((O515:AS515=6)*(EMPLOYES!M41="5j")))))</f>
        <v/>
      </c>
      <c r="O544" s="46" t="n"/>
      <c r="P544" s="46" t="n"/>
      <c r="Q544" s="46" t="n"/>
      <c r="R544" s="46" t="n"/>
      <c r="S544" s="46" t="n"/>
      <c r="T544" s="46" t="n"/>
      <c r="U544" s="46" t="n"/>
      <c r="V544" s="46" t="n"/>
      <c r="W544" s="46" t="n"/>
      <c r="X544" s="46" t="n"/>
      <c r="Y544" s="46" t="n"/>
      <c r="Z544" s="46" t="n"/>
      <c r="AA544" s="46" t="n"/>
      <c r="AB544" s="46" t="n"/>
      <c r="AC544" s="46" t="n"/>
      <c r="AD544" s="46" t="n"/>
      <c r="AE544" s="46" t="n"/>
      <c r="AF544" s="46" t="n"/>
      <c r="AG544" s="46" t="n"/>
      <c r="AH544" s="46" t="n"/>
      <c r="AI544" s="46" t="n"/>
      <c r="AJ544" s="46" t="n"/>
      <c r="AK544" s="46" t="n"/>
      <c r="AL544" s="46" t="n"/>
      <c r="AM544" s="46" t="n"/>
      <c r="AN544" s="46" t="n"/>
      <c r="AO544" s="46" t="n"/>
      <c r="AP544" s="46" t="n"/>
      <c r="AQ544" s="46" t="n"/>
      <c r="AR544" s="46" t="n"/>
      <c r="AS544" s="46" t="n"/>
      <c r="AV544" s="36">
        <f>IF($C544="","",EMPLOYES!M41)</f>
        <v/>
      </c>
      <c r="AW544" s="36">
        <f>IF($C544="",0,SUMPRODUCT(--(O544:AS544="C")))</f>
        <v/>
      </c>
      <c r="AX544" s="36">
        <f>IF($C544="",0,SUMPRODUCT(--(O544:AS544="R")))</f>
        <v/>
      </c>
      <c r="AY544" s="44" t="n"/>
    </row>
    <row r="545" hidden="1" outlineLevel="1" ht="15" customHeight="1" s="15">
      <c r="B545" s="41" t="n">
        <v>3</v>
      </c>
      <c r="C545" s="42">
        <f>IF(EMPLOYES!C42="","",EMPLOYES!C42)</f>
        <v/>
      </c>
      <c r="D545" s="43">
        <f>IF(EMPLOYES!C42="","",EMPLOYES!D42)</f>
        <v/>
      </c>
      <c r="E545" s="44" t="n"/>
      <c r="F545" s="42" t="n"/>
      <c r="G545" s="41">
        <f>IF($C545="",0,MAX(0,$M545-$N545))</f>
        <v/>
      </c>
      <c r="H545" s="45" t="n"/>
      <c r="I545" s="41">
        <f>IF($C545="","",IF(H545="","OK",IF(H545&gt;EMPLOYES!P42,"⚠ Avance &gt; salaire",IF(H545&gt;EMPLOYES!P42*PARAMETRES!$C$218,"⚠ Avance élevée","OK"))))</f>
        <v/>
      </c>
      <c r="J545" s="45" t="n"/>
      <c r="K545" s="46" t="n"/>
      <c r="L545" s="46" t="n"/>
      <c r="M545" s="41">
        <f>IF($C545="","",SUMPRODUCT((PARAMETRES!$B$38:$B$157=PARAMETRES!$C$29)*(PARAMETRES!$C$38:$C$157=3)*(IF(EMPLOYES!M42="5j",PARAMETRES!$I$38:$I$157,PARAMETRES!$H$38:$H$157))))</f>
        <v/>
      </c>
      <c r="N545" s="41">
        <f>IF($C545="","",SUMPRODUCT((O545:AS545="P")+(O545:AS545="F")+(O545:AS545="C")+0.5*(O545:AS545="D"),(1-((O515:AS515=6)*(EMPLOYES!M42="5j")))))</f>
        <v/>
      </c>
      <c r="O545" s="46" t="n"/>
      <c r="P545" s="46" t="n"/>
      <c r="Q545" s="46" t="n"/>
      <c r="R545" s="46" t="n"/>
      <c r="S545" s="46" t="n"/>
      <c r="T545" s="46" t="n"/>
      <c r="U545" s="46" t="n"/>
      <c r="V545" s="46" t="n"/>
      <c r="W545" s="46" t="n"/>
      <c r="X545" s="46" t="n"/>
      <c r="Y545" s="46" t="n"/>
      <c r="Z545" s="46" t="n"/>
      <c r="AA545" s="46" t="n"/>
      <c r="AB545" s="46" t="n"/>
      <c r="AC545" s="46" t="n"/>
      <c r="AD545" s="46" t="n"/>
      <c r="AE545" s="46" t="n"/>
      <c r="AF545" s="46" t="n"/>
      <c r="AG545" s="46" t="n"/>
      <c r="AH545" s="46" t="n"/>
      <c r="AI545" s="46" t="n"/>
      <c r="AJ545" s="46" t="n"/>
      <c r="AK545" s="46" t="n"/>
      <c r="AL545" s="46" t="n"/>
      <c r="AM545" s="46" t="n"/>
      <c r="AN545" s="46" t="n"/>
      <c r="AO545" s="46" t="n"/>
      <c r="AP545" s="46" t="n"/>
      <c r="AQ545" s="46" t="n"/>
      <c r="AR545" s="46" t="n"/>
      <c r="AS545" s="46" t="n"/>
      <c r="AV545" s="36">
        <f>IF($C545="","",EMPLOYES!M42)</f>
        <v/>
      </c>
      <c r="AW545" s="36">
        <f>IF($C545="",0,SUMPRODUCT(--(O545:AS545="C")))</f>
        <v/>
      </c>
      <c r="AX545" s="36">
        <f>IF($C545="",0,SUMPRODUCT(--(O545:AS545="R")))</f>
        <v/>
      </c>
      <c r="AY545" s="44" t="n"/>
    </row>
    <row r="546" hidden="1" outlineLevel="1" ht="15" customHeight="1" s="15">
      <c r="B546" s="41" t="n">
        <v>3</v>
      </c>
      <c r="C546" s="42">
        <f>IF(EMPLOYES!C43="","",EMPLOYES!C43)</f>
        <v/>
      </c>
      <c r="D546" s="43">
        <f>IF(EMPLOYES!C43="","",EMPLOYES!D43)</f>
        <v/>
      </c>
      <c r="E546" s="44" t="n"/>
      <c r="F546" s="42" t="n"/>
      <c r="G546" s="41">
        <f>IF($C546="",0,MAX(0,$M546-$N546))</f>
        <v/>
      </c>
      <c r="H546" s="45" t="n"/>
      <c r="I546" s="41">
        <f>IF($C546="","",IF(H546="","OK",IF(H546&gt;EMPLOYES!P43,"⚠ Avance &gt; salaire",IF(H546&gt;EMPLOYES!P43*PARAMETRES!$C$218,"⚠ Avance élevée","OK"))))</f>
        <v/>
      </c>
      <c r="J546" s="45" t="n"/>
      <c r="K546" s="46" t="n"/>
      <c r="L546" s="46" t="n"/>
      <c r="M546" s="41">
        <f>IF($C546="","",SUMPRODUCT((PARAMETRES!$B$38:$B$157=PARAMETRES!$C$29)*(PARAMETRES!$C$38:$C$157=3)*(IF(EMPLOYES!M43="5j",PARAMETRES!$I$38:$I$157,PARAMETRES!$H$38:$H$157))))</f>
        <v/>
      </c>
      <c r="N546" s="41">
        <f>IF($C546="","",SUMPRODUCT((O546:AS546="P")+(O546:AS546="F")+(O546:AS546="C")+0.5*(O546:AS546="D"),(1-((O515:AS515=6)*(EMPLOYES!M43="5j")))))</f>
        <v/>
      </c>
      <c r="O546" s="46" t="n"/>
      <c r="P546" s="46" t="n"/>
      <c r="Q546" s="46" t="n"/>
      <c r="R546" s="46" t="n"/>
      <c r="S546" s="46" t="n"/>
      <c r="T546" s="46" t="n"/>
      <c r="U546" s="46" t="n"/>
      <c r="V546" s="46" t="n"/>
      <c r="W546" s="46" t="n"/>
      <c r="X546" s="46" t="n"/>
      <c r="Y546" s="46" t="n"/>
      <c r="Z546" s="46" t="n"/>
      <c r="AA546" s="46" t="n"/>
      <c r="AB546" s="46" t="n"/>
      <c r="AC546" s="46" t="n"/>
      <c r="AD546" s="46" t="n"/>
      <c r="AE546" s="46" t="n"/>
      <c r="AF546" s="46" t="n"/>
      <c r="AG546" s="46" t="n"/>
      <c r="AH546" s="46" t="n"/>
      <c r="AI546" s="46" t="n"/>
      <c r="AJ546" s="46" t="n"/>
      <c r="AK546" s="46" t="n"/>
      <c r="AL546" s="46" t="n"/>
      <c r="AM546" s="46" t="n"/>
      <c r="AN546" s="46" t="n"/>
      <c r="AO546" s="46" t="n"/>
      <c r="AP546" s="46" t="n"/>
      <c r="AQ546" s="46" t="n"/>
      <c r="AR546" s="46" t="n"/>
      <c r="AS546" s="46" t="n"/>
      <c r="AV546" s="36">
        <f>IF($C546="","",EMPLOYES!M43)</f>
        <v/>
      </c>
      <c r="AW546" s="36">
        <f>IF($C546="",0,SUMPRODUCT(--(O546:AS546="C")))</f>
        <v/>
      </c>
      <c r="AX546" s="36">
        <f>IF($C546="",0,SUMPRODUCT(--(O546:AS546="R")))</f>
        <v/>
      </c>
      <c r="AY546" s="44" t="n"/>
    </row>
    <row r="547" hidden="1" outlineLevel="1" ht="15" customHeight="1" s="15">
      <c r="B547" s="41" t="n">
        <v>3</v>
      </c>
      <c r="C547" s="42">
        <f>IF(EMPLOYES!C44="","",EMPLOYES!C44)</f>
        <v/>
      </c>
      <c r="D547" s="43">
        <f>IF(EMPLOYES!C44="","",EMPLOYES!D44)</f>
        <v/>
      </c>
      <c r="E547" s="44" t="n"/>
      <c r="F547" s="42" t="n"/>
      <c r="G547" s="41">
        <f>IF($C547="",0,MAX(0,$M547-$N547))</f>
        <v/>
      </c>
      <c r="H547" s="45" t="n"/>
      <c r="I547" s="41">
        <f>IF($C547="","",IF(H547="","OK",IF(H547&gt;EMPLOYES!P44,"⚠ Avance &gt; salaire",IF(H547&gt;EMPLOYES!P44*PARAMETRES!$C$218,"⚠ Avance élevée","OK"))))</f>
        <v/>
      </c>
      <c r="J547" s="45" t="n"/>
      <c r="K547" s="46" t="n"/>
      <c r="L547" s="46" t="n"/>
      <c r="M547" s="41">
        <f>IF($C547="","",SUMPRODUCT((PARAMETRES!$B$38:$B$157=PARAMETRES!$C$29)*(PARAMETRES!$C$38:$C$157=3)*(IF(EMPLOYES!M44="5j",PARAMETRES!$I$38:$I$157,PARAMETRES!$H$38:$H$157))))</f>
        <v/>
      </c>
      <c r="N547" s="41">
        <f>IF($C547="","",SUMPRODUCT((O547:AS547="P")+(O547:AS547="F")+(O547:AS547="C")+0.5*(O547:AS547="D"),(1-((O515:AS515=6)*(EMPLOYES!M44="5j")))))</f>
        <v/>
      </c>
      <c r="O547" s="46" t="n"/>
      <c r="P547" s="46" t="n"/>
      <c r="Q547" s="46" t="n"/>
      <c r="R547" s="46" t="n"/>
      <c r="S547" s="46" t="n"/>
      <c r="T547" s="46" t="n"/>
      <c r="U547" s="46" t="n"/>
      <c r="V547" s="46" t="n"/>
      <c r="W547" s="46" t="n"/>
      <c r="X547" s="46" t="n"/>
      <c r="Y547" s="46" t="n"/>
      <c r="Z547" s="46" t="n"/>
      <c r="AA547" s="46" t="n"/>
      <c r="AB547" s="46" t="n"/>
      <c r="AC547" s="46" t="n"/>
      <c r="AD547" s="46" t="n"/>
      <c r="AE547" s="46" t="n"/>
      <c r="AF547" s="46" t="n"/>
      <c r="AG547" s="46" t="n"/>
      <c r="AH547" s="46" t="n"/>
      <c r="AI547" s="46" t="n"/>
      <c r="AJ547" s="46" t="n"/>
      <c r="AK547" s="46" t="n"/>
      <c r="AL547" s="46" t="n"/>
      <c r="AM547" s="46" t="n"/>
      <c r="AN547" s="46" t="n"/>
      <c r="AO547" s="46" t="n"/>
      <c r="AP547" s="46" t="n"/>
      <c r="AQ547" s="46" t="n"/>
      <c r="AR547" s="46" t="n"/>
      <c r="AS547" s="46" t="n"/>
      <c r="AV547" s="36">
        <f>IF($C547="","",EMPLOYES!M44)</f>
        <v/>
      </c>
      <c r="AW547" s="36">
        <f>IF($C547="",0,SUMPRODUCT(--(O547:AS547="C")))</f>
        <v/>
      </c>
      <c r="AX547" s="36">
        <f>IF($C547="",0,SUMPRODUCT(--(O547:AS547="R")))</f>
        <v/>
      </c>
      <c r="AY547" s="44" t="n"/>
    </row>
    <row r="548" hidden="1" outlineLevel="1" ht="15" customHeight="1" s="15">
      <c r="B548" s="41" t="n">
        <v>3</v>
      </c>
      <c r="C548" s="42">
        <f>IF(EMPLOYES!C45="","",EMPLOYES!C45)</f>
        <v/>
      </c>
      <c r="D548" s="43">
        <f>IF(EMPLOYES!C45="","",EMPLOYES!D45)</f>
        <v/>
      </c>
      <c r="E548" s="44" t="n"/>
      <c r="F548" s="42" t="n"/>
      <c r="G548" s="41">
        <f>IF($C548="",0,MAX(0,$M548-$N548))</f>
        <v/>
      </c>
      <c r="H548" s="45" t="n"/>
      <c r="I548" s="41">
        <f>IF($C548="","",IF(H548="","OK",IF(H548&gt;EMPLOYES!P45,"⚠ Avance &gt; salaire",IF(H548&gt;EMPLOYES!P45*PARAMETRES!$C$218,"⚠ Avance élevée","OK"))))</f>
        <v/>
      </c>
      <c r="J548" s="45" t="n"/>
      <c r="K548" s="46" t="n"/>
      <c r="L548" s="46" t="n"/>
      <c r="M548" s="41">
        <f>IF($C548="","",SUMPRODUCT((PARAMETRES!$B$38:$B$157=PARAMETRES!$C$29)*(PARAMETRES!$C$38:$C$157=3)*(IF(EMPLOYES!M45="5j",PARAMETRES!$I$38:$I$157,PARAMETRES!$H$38:$H$157))))</f>
        <v/>
      </c>
      <c r="N548" s="41">
        <f>IF($C548="","",SUMPRODUCT((O548:AS548="P")+(O548:AS548="F")+(O548:AS548="C")+0.5*(O548:AS548="D"),(1-((O515:AS515=6)*(EMPLOYES!M45="5j")))))</f>
        <v/>
      </c>
      <c r="O548" s="46" t="n"/>
      <c r="P548" s="46" t="n"/>
      <c r="Q548" s="46" t="n"/>
      <c r="R548" s="46" t="n"/>
      <c r="S548" s="46" t="n"/>
      <c r="T548" s="46" t="n"/>
      <c r="U548" s="46" t="n"/>
      <c r="V548" s="46" t="n"/>
      <c r="W548" s="46" t="n"/>
      <c r="X548" s="46" t="n"/>
      <c r="Y548" s="46" t="n"/>
      <c r="Z548" s="46" t="n"/>
      <c r="AA548" s="46" t="n"/>
      <c r="AB548" s="46" t="n"/>
      <c r="AC548" s="46" t="n"/>
      <c r="AD548" s="46" t="n"/>
      <c r="AE548" s="46" t="n"/>
      <c r="AF548" s="46" t="n"/>
      <c r="AG548" s="46" t="n"/>
      <c r="AH548" s="46" t="n"/>
      <c r="AI548" s="46" t="n"/>
      <c r="AJ548" s="46" t="n"/>
      <c r="AK548" s="46" t="n"/>
      <c r="AL548" s="46" t="n"/>
      <c r="AM548" s="46" t="n"/>
      <c r="AN548" s="46" t="n"/>
      <c r="AO548" s="46" t="n"/>
      <c r="AP548" s="46" t="n"/>
      <c r="AQ548" s="46" t="n"/>
      <c r="AR548" s="46" t="n"/>
      <c r="AS548" s="46" t="n"/>
      <c r="AV548" s="36">
        <f>IF($C548="","",EMPLOYES!M45)</f>
        <v/>
      </c>
      <c r="AW548" s="36">
        <f>IF($C548="",0,SUMPRODUCT(--(O548:AS548="C")))</f>
        <v/>
      </c>
      <c r="AX548" s="36">
        <f>IF($C548="",0,SUMPRODUCT(--(O548:AS548="R")))</f>
        <v/>
      </c>
      <c r="AY548" s="44" t="n"/>
    </row>
    <row r="549" hidden="1" outlineLevel="1" ht="15" customHeight="1" s="15">
      <c r="B549" s="41" t="n">
        <v>3</v>
      </c>
      <c r="C549" s="42">
        <f>IF(EMPLOYES!C46="","",EMPLOYES!C46)</f>
        <v/>
      </c>
      <c r="D549" s="43">
        <f>IF(EMPLOYES!C46="","",EMPLOYES!D46)</f>
        <v/>
      </c>
      <c r="E549" s="44" t="n"/>
      <c r="F549" s="42" t="n"/>
      <c r="G549" s="41">
        <f>IF($C549="",0,MAX(0,$M549-$N549))</f>
        <v/>
      </c>
      <c r="H549" s="45" t="n"/>
      <c r="I549" s="41">
        <f>IF($C549="","",IF(H549="","OK",IF(H549&gt;EMPLOYES!P46,"⚠ Avance &gt; salaire",IF(H549&gt;EMPLOYES!P46*PARAMETRES!$C$218,"⚠ Avance élevée","OK"))))</f>
        <v/>
      </c>
      <c r="J549" s="45" t="n"/>
      <c r="K549" s="46" t="n"/>
      <c r="L549" s="46" t="n"/>
      <c r="M549" s="41">
        <f>IF($C549="","",SUMPRODUCT((PARAMETRES!$B$38:$B$157=PARAMETRES!$C$29)*(PARAMETRES!$C$38:$C$157=3)*(IF(EMPLOYES!M46="5j",PARAMETRES!$I$38:$I$157,PARAMETRES!$H$38:$H$157))))</f>
        <v/>
      </c>
      <c r="N549" s="41">
        <f>IF($C549="","",SUMPRODUCT((O549:AS549="P")+(O549:AS549="F")+(O549:AS549="C")+0.5*(O549:AS549="D"),(1-((O515:AS515=6)*(EMPLOYES!M46="5j")))))</f>
        <v/>
      </c>
      <c r="O549" s="46" t="n"/>
      <c r="P549" s="46" t="n"/>
      <c r="Q549" s="46" t="n"/>
      <c r="R549" s="46" t="n"/>
      <c r="S549" s="46" t="n"/>
      <c r="T549" s="46" t="n"/>
      <c r="U549" s="46" t="n"/>
      <c r="V549" s="46" t="n"/>
      <c r="W549" s="46" t="n"/>
      <c r="X549" s="46" t="n"/>
      <c r="Y549" s="46" t="n"/>
      <c r="Z549" s="46" t="n"/>
      <c r="AA549" s="46" t="n"/>
      <c r="AB549" s="46" t="n"/>
      <c r="AC549" s="46" t="n"/>
      <c r="AD549" s="46" t="n"/>
      <c r="AE549" s="46" t="n"/>
      <c r="AF549" s="46" t="n"/>
      <c r="AG549" s="46" t="n"/>
      <c r="AH549" s="46" t="n"/>
      <c r="AI549" s="46" t="n"/>
      <c r="AJ549" s="46" t="n"/>
      <c r="AK549" s="46" t="n"/>
      <c r="AL549" s="46" t="n"/>
      <c r="AM549" s="46" t="n"/>
      <c r="AN549" s="46" t="n"/>
      <c r="AO549" s="46" t="n"/>
      <c r="AP549" s="46" t="n"/>
      <c r="AQ549" s="46" t="n"/>
      <c r="AR549" s="46" t="n"/>
      <c r="AS549" s="46" t="n"/>
      <c r="AV549" s="36">
        <f>IF($C549="","",EMPLOYES!M46)</f>
        <v/>
      </c>
      <c r="AW549" s="36">
        <f>IF($C549="",0,SUMPRODUCT(--(O549:AS549="C")))</f>
        <v/>
      </c>
      <c r="AX549" s="36">
        <f>IF($C549="",0,SUMPRODUCT(--(O549:AS549="R")))</f>
        <v/>
      </c>
      <c r="AY549" s="44" t="n"/>
    </row>
    <row r="550" hidden="1" outlineLevel="1" ht="15" customHeight="1" s="15">
      <c r="B550" s="41" t="n">
        <v>3</v>
      </c>
      <c r="C550" s="42">
        <f>IF(EMPLOYES!C47="","",EMPLOYES!C47)</f>
        <v/>
      </c>
      <c r="D550" s="43">
        <f>IF(EMPLOYES!C47="","",EMPLOYES!D47)</f>
        <v/>
      </c>
      <c r="E550" s="44" t="n"/>
      <c r="F550" s="42" t="n"/>
      <c r="G550" s="41">
        <f>IF($C550="",0,MAX(0,$M550-$N550))</f>
        <v/>
      </c>
      <c r="H550" s="45" t="n"/>
      <c r="I550" s="41">
        <f>IF($C550="","",IF(H550="","OK",IF(H550&gt;EMPLOYES!P47,"⚠ Avance &gt; salaire",IF(H550&gt;EMPLOYES!P47*PARAMETRES!$C$218,"⚠ Avance élevée","OK"))))</f>
        <v/>
      </c>
      <c r="J550" s="45" t="n"/>
      <c r="K550" s="46" t="n"/>
      <c r="L550" s="46" t="n"/>
      <c r="M550" s="41">
        <f>IF($C550="","",SUMPRODUCT((PARAMETRES!$B$38:$B$157=PARAMETRES!$C$29)*(PARAMETRES!$C$38:$C$157=3)*(IF(EMPLOYES!M47="5j",PARAMETRES!$I$38:$I$157,PARAMETRES!$H$38:$H$157))))</f>
        <v/>
      </c>
      <c r="N550" s="41">
        <f>IF($C550="","",SUMPRODUCT((O550:AS550="P")+(O550:AS550="F")+(O550:AS550="C")+0.5*(O550:AS550="D"),(1-((O515:AS515=6)*(EMPLOYES!M47="5j")))))</f>
        <v/>
      </c>
      <c r="O550" s="46" t="n"/>
      <c r="P550" s="46" t="n"/>
      <c r="Q550" s="46" t="n"/>
      <c r="R550" s="46" t="n"/>
      <c r="S550" s="46" t="n"/>
      <c r="T550" s="46" t="n"/>
      <c r="U550" s="46" t="n"/>
      <c r="V550" s="46" t="n"/>
      <c r="W550" s="46" t="n"/>
      <c r="X550" s="46" t="n"/>
      <c r="Y550" s="46" t="n"/>
      <c r="Z550" s="46" t="n"/>
      <c r="AA550" s="46" t="n"/>
      <c r="AB550" s="46" t="n"/>
      <c r="AC550" s="46" t="n"/>
      <c r="AD550" s="46" t="n"/>
      <c r="AE550" s="46" t="n"/>
      <c r="AF550" s="46" t="n"/>
      <c r="AG550" s="46" t="n"/>
      <c r="AH550" s="46" t="n"/>
      <c r="AI550" s="46" t="n"/>
      <c r="AJ550" s="46" t="n"/>
      <c r="AK550" s="46" t="n"/>
      <c r="AL550" s="46" t="n"/>
      <c r="AM550" s="46" t="n"/>
      <c r="AN550" s="46" t="n"/>
      <c r="AO550" s="46" t="n"/>
      <c r="AP550" s="46" t="n"/>
      <c r="AQ550" s="46" t="n"/>
      <c r="AR550" s="46" t="n"/>
      <c r="AS550" s="46" t="n"/>
      <c r="AV550" s="36">
        <f>IF($C550="","",EMPLOYES!M47)</f>
        <v/>
      </c>
      <c r="AW550" s="36">
        <f>IF($C550="",0,SUMPRODUCT(--(O550:AS550="C")))</f>
        <v/>
      </c>
      <c r="AX550" s="36">
        <f>IF($C550="",0,SUMPRODUCT(--(O550:AS550="R")))</f>
        <v/>
      </c>
      <c r="AY550" s="44" t="n"/>
    </row>
    <row r="551" hidden="1" outlineLevel="1" ht="15" customHeight="1" s="15">
      <c r="B551" s="41" t="n">
        <v>3</v>
      </c>
      <c r="C551" s="42">
        <f>IF(EMPLOYES!C48="","",EMPLOYES!C48)</f>
        <v/>
      </c>
      <c r="D551" s="43">
        <f>IF(EMPLOYES!C48="","",EMPLOYES!D48)</f>
        <v/>
      </c>
      <c r="E551" s="44" t="n"/>
      <c r="F551" s="42" t="n"/>
      <c r="G551" s="41">
        <f>IF($C551="",0,MAX(0,$M551-$N551))</f>
        <v/>
      </c>
      <c r="H551" s="45" t="n"/>
      <c r="I551" s="41">
        <f>IF($C551="","",IF(H551="","OK",IF(H551&gt;EMPLOYES!P48,"⚠ Avance &gt; salaire",IF(H551&gt;EMPLOYES!P48*PARAMETRES!$C$218,"⚠ Avance élevée","OK"))))</f>
        <v/>
      </c>
      <c r="J551" s="45" t="n"/>
      <c r="K551" s="46" t="n"/>
      <c r="L551" s="46" t="n"/>
      <c r="M551" s="41">
        <f>IF($C551="","",SUMPRODUCT((PARAMETRES!$B$38:$B$157=PARAMETRES!$C$29)*(PARAMETRES!$C$38:$C$157=3)*(IF(EMPLOYES!M48="5j",PARAMETRES!$I$38:$I$157,PARAMETRES!$H$38:$H$157))))</f>
        <v/>
      </c>
      <c r="N551" s="41">
        <f>IF($C551="","",SUMPRODUCT((O551:AS551="P")+(O551:AS551="F")+(O551:AS551="C")+0.5*(O551:AS551="D"),(1-((O515:AS515=6)*(EMPLOYES!M48="5j")))))</f>
        <v/>
      </c>
      <c r="O551" s="46" t="n"/>
      <c r="P551" s="46" t="n"/>
      <c r="Q551" s="46" t="n"/>
      <c r="R551" s="46" t="n"/>
      <c r="S551" s="46" t="n"/>
      <c r="T551" s="46" t="n"/>
      <c r="U551" s="46" t="n"/>
      <c r="V551" s="46" t="n"/>
      <c r="W551" s="46" t="n"/>
      <c r="X551" s="46" t="n"/>
      <c r="Y551" s="46" t="n"/>
      <c r="Z551" s="46" t="n"/>
      <c r="AA551" s="46" t="n"/>
      <c r="AB551" s="46" t="n"/>
      <c r="AC551" s="46" t="n"/>
      <c r="AD551" s="46" t="n"/>
      <c r="AE551" s="46" t="n"/>
      <c r="AF551" s="46" t="n"/>
      <c r="AG551" s="46" t="n"/>
      <c r="AH551" s="46" t="n"/>
      <c r="AI551" s="46" t="n"/>
      <c r="AJ551" s="46" t="n"/>
      <c r="AK551" s="46" t="n"/>
      <c r="AL551" s="46" t="n"/>
      <c r="AM551" s="46" t="n"/>
      <c r="AN551" s="46" t="n"/>
      <c r="AO551" s="46" t="n"/>
      <c r="AP551" s="46" t="n"/>
      <c r="AQ551" s="46" t="n"/>
      <c r="AR551" s="46" t="n"/>
      <c r="AS551" s="46" t="n"/>
      <c r="AV551" s="36">
        <f>IF($C551="","",EMPLOYES!M48)</f>
        <v/>
      </c>
      <c r="AW551" s="36">
        <f>IF($C551="",0,SUMPRODUCT(--(O551:AS551="C")))</f>
        <v/>
      </c>
      <c r="AX551" s="36">
        <f>IF($C551="",0,SUMPRODUCT(--(O551:AS551="R")))</f>
        <v/>
      </c>
      <c r="AY551" s="44" t="n"/>
    </row>
    <row r="552" hidden="1" outlineLevel="1" ht="15" customHeight="1" s="15">
      <c r="B552" s="41" t="n">
        <v>3</v>
      </c>
      <c r="C552" s="42">
        <f>IF(EMPLOYES!C49="","",EMPLOYES!C49)</f>
        <v/>
      </c>
      <c r="D552" s="43">
        <f>IF(EMPLOYES!C49="","",EMPLOYES!D49)</f>
        <v/>
      </c>
      <c r="E552" s="44" t="n"/>
      <c r="F552" s="42" t="n"/>
      <c r="G552" s="41">
        <f>IF($C552="",0,MAX(0,$M552-$N552))</f>
        <v/>
      </c>
      <c r="H552" s="45" t="n"/>
      <c r="I552" s="41">
        <f>IF($C552="","",IF(H552="","OK",IF(H552&gt;EMPLOYES!P49,"⚠ Avance &gt; salaire",IF(H552&gt;EMPLOYES!P49*PARAMETRES!$C$218,"⚠ Avance élevée","OK"))))</f>
        <v/>
      </c>
      <c r="J552" s="45" t="n"/>
      <c r="K552" s="46" t="n"/>
      <c r="L552" s="46" t="n"/>
      <c r="M552" s="41">
        <f>IF($C552="","",SUMPRODUCT((PARAMETRES!$B$38:$B$157=PARAMETRES!$C$29)*(PARAMETRES!$C$38:$C$157=3)*(IF(EMPLOYES!M49="5j",PARAMETRES!$I$38:$I$157,PARAMETRES!$H$38:$H$157))))</f>
        <v/>
      </c>
      <c r="N552" s="41">
        <f>IF($C552="","",SUMPRODUCT((O552:AS552="P")+(O552:AS552="F")+(O552:AS552="C")+0.5*(O552:AS552="D"),(1-((O515:AS515=6)*(EMPLOYES!M49="5j")))))</f>
        <v/>
      </c>
      <c r="O552" s="46" t="n"/>
      <c r="P552" s="46" t="n"/>
      <c r="Q552" s="46" t="n"/>
      <c r="R552" s="46" t="n"/>
      <c r="S552" s="46" t="n"/>
      <c r="T552" s="46" t="n"/>
      <c r="U552" s="46" t="n"/>
      <c r="V552" s="46" t="n"/>
      <c r="W552" s="46" t="n"/>
      <c r="X552" s="46" t="n"/>
      <c r="Y552" s="46" t="n"/>
      <c r="Z552" s="46" t="n"/>
      <c r="AA552" s="46" t="n"/>
      <c r="AB552" s="46" t="n"/>
      <c r="AC552" s="46" t="n"/>
      <c r="AD552" s="46" t="n"/>
      <c r="AE552" s="46" t="n"/>
      <c r="AF552" s="46" t="n"/>
      <c r="AG552" s="46" t="n"/>
      <c r="AH552" s="46" t="n"/>
      <c r="AI552" s="46" t="n"/>
      <c r="AJ552" s="46" t="n"/>
      <c r="AK552" s="46" t="n"/>
      <c r="AL552" s="46" t="n"/>
      <c r="AM552" s="46" t="n"/>
      <c r="AN552" s="46" t="n"/>
      <c r="AO552" s="46" t="n"/>
      <c r="AP552" s="46" t="n"/>
      <c r="AQ552" s="46" t="n"/>
      <c r="AR552" s="46" t="n"/>
      <c r="AS552" s="46" t="n"/>
      <c r="AV552" s="36">
        <f>IF($C552="","",EMPLOYES!M49)</f>
        <v/>
      </c>
      <c r="AW552" s="36">
        <f>IF($C552="",0,SUMPRODUCT(--(O552:AS552="C")))</f>
        <v/>
      </c>
      <c r="AX552" s="36">
        <f>IF($C552="",0,SUMPRODUCT(--(O552:AS552="R")))</f>
        <v/>
      </c>
      <c r="AY552" s="44" t="n"/>
    </row>
    <row r="553" hidden="1" outlineLevel="1" ht="15" customHeight="1" s="15">
      <c r="B553" s="41" t="n">
        <v>3</v>
      </c>
      <c r="C553" s="42">
        <f>IF(EMPLOYES!C50="","",EMPLOYES!C50)</f>
        <v/>
      </c>
      <c r="D553" s="43">
        <f>IF(EMPLOYES!C50="","",EMPLOYES!D50)</f>
        <v/>
      </c>
      <c r="E553" s="44" t="n"/>
      <c r="F553" s="42" t="n"/>
      <c r="G553" s="41">
        <f>IF($C553="",0,MAX(0,$M553-$N553))</f>
        <v/>
      </c>
      <c r="H553" s="45" t="n"/>
      <c r="I553" s="41">
        <f>IF($C553="","",IF(H553="","OK",IF(H553&gt;EMPLOYES!P50,"⚠ Avance &gt; salaire",IF(H553&gt;EMPLOYES!P50*PARAMETRES!$C$218,"⚠ Avance élevée","OK"))))</f>
        <v/>
      </c>
      <c r="J553" s="45" t="n"/>
      <c r="K553" s="46" t="n"/>
      <c r="L553" s="46" t="n"/>
      <c r="M553" s="41">
        <f>IF($C553="","",SUMPRODUCT((PARAMETRES!$B$38:$B$157=PARAMETRES!$C$29)*(PARAMETRES!$C$38:$C$157=3)*(IF(EMPLOYES!M50="5j",PARAMETRES!$I$38:$I$157,PARAMETRES!$H$38:$H$157))))</f>
        <v/>
      </c>
      <c r="N553" s="41">
        <f>IF($C553="","",SUMPRODUCT((O553:AS553="P")+(O553:AS553="F")+(O553:AS553="C")+0.5*(O553:AS553="D"),(1-((O515:AS515=6)*(EMPLOYES!M50="5j")))))</f>
        <v/>
      </c>
      <c r="O553" s="46" t="n"/>
      <c r="P553" s="46" t="n"/>
      <c r="Q553" s="46" t="n"/>
      <c r="R553" s="46" t="n"/>
      <c r="S553" s="46" t="n"/>
      <c r="T553" s="46" t="n"/>
      <c r="U553" s="46" t="n"/>
      <c r="V553" s="46" t="n"/>
      <c r="W553" s="46" t="n"/>
      <c r="X553" s="46" t="n"/>
      <c r="Y553" s="46" t="n"/>
      <c r="Z553" s="46" t="n"/>
      <c r="AA553" s="46" t="n"/>
      <c r="AB553" s="46" t="n"/>
      <c r="AC553" s="46" t="n"/>
      <c r="AD553" s="46" t="n"/>
      <c r="AE553" s="46" t="n"/>
      <c r="AF553" s="46" t="n"/>
      <c r="AG553" s="46" t="n"/>
      <c r="AH553" s="46" t="n"/>
      <c r="AI553" s="46" t="n"/>
      <c r="AJ553" s="46" t="n"/>
      <c r="AK553" s="46" t="n"/>
      <c r="AL553" s="46" t="n"/>
      <c r="AM553" s="46" t="n"/>
      <c r="AN553" s="46" t="n"/>
      <c r="AO553" s="46" t="n"/>
      <c r="AP553" s="46" t="n"/>
      <c r="AQ553" s="46" t="n"/>
      <c r="AR553" s="46" t="n"/>
      <c r="AS553" s="46" t="n"/>
      <c r="AV553" s="36">
        <f>IF($C553="","",EMPLOYES!M50)</f>
        <v/>
      </c>
      <c r="AW553" s="36">
        <f>IF($C553="",0,SUMPRODUCT(--(O553:AS553="C")))</f>
        <v/>
      </c>
      <c r="AX553" s="36">
        <f>IF($C553="",0,SUMPRODUCT(--(O553:AS553="R")))</f>
        <v/>
      </c>
      <c r="AY553" s="44" t="n"/>
    </row>
    <row r="554" hidden="1" outlineLevel="1" ht="15" customHeight="1" s="15">
      <c r="B554" s="41" t="n">
        <v>3</v>
      </c>
      <c r="C554" s="42">
        <f>IF(EMPLOYES!C51="","",EMPLOYES!C51)</f>
        <v/>
      </c>
      <c r="D554" s="43">
        <f>IF(EMPLOYES!C51="","",EMPLOYES!D51)</f>
        <v/>
      </c>
      <c r="E554" s="44" t="n"/>
      <c r="F554" s="42" t="n"/>
      <c r="G554" s="41">
        <f>IF($C554="",0,MAX(0,$M554-$N554))</f>
        <v/>
      </c>
      <c r="H554" s="45" t="n"/>
      <c r="I554" s="41">
        <f>IF($C554="","",IF(H554="","OK",IF(H554&gt;EMPLOYES!P51,"⚠ Avance &gt; salaire",IF(H554&gt;EMPLOYES!P51*PARAMETRES!$C$218,"⚠ Avance élevée","OK"))))</f>
        <v/>
      </c>
      <c r="J554" s="45" t="n"/>
      <c r="K554" s="46" t="n"/>
      <c r="L554" s="46" t="n"/>
      <c r="M554" s="41">
        <f>IF($C554="","",SUMPRODUCT((PARAMETRES!$B$38:$B$157=PARAMETRES!$C$29)*(PARAMETRES!$C$38:$C$157=3)*(IF(EMPLOYES!M51="5j",PARAMETRES!$I$38:$I$157,PARAMETRES!$H$38:$H$157))))</f>
        <v/>
      </c>
      <c r="N554" s="41">
        <f>IF($C554="","",SUMPRODUCT((O554:AS554="P")+(O554:AS554="F")+(O554:AS554="C")+0.5*(O554:AS554="D"),(1-((O515:AS515=6)*(EMPLOYES!M51="5j")))))</f>
        <v/>
      </c>
      <c r="O554" s="46" t="n"/>
      <c r="P554" s="46" t="n"/>
      <c r="Q554" s="46" t="n"/>
      <c r="R554" s="46" t="n"/>
      <c r="S554" s="46" t="n"/>
      <c r="T554" s="46" t="n"/>
      <c r="U554" s="46" t="n"/>
      <c r="V554" s="46" t="n"/>
      <c r="W554" s="46" t="n"/>
      <c r="X554" s="46" t="n"/>
      <c r="Y554" s="46" t="n"/>
      <c r="Z554" s="46" t="n"/>
      <c r="AA554" s="46" t="n"/>
      <c r="AB554" s="46" t="n"/>
      <c r="AC554" s="46" t="n"/>
      <c r="AD554" s="46" t="n"/>
      <c r="AE554" s="46" t="n"/>
      <c r="AF554" s="46" t="n"/>
      <c r="AG554" s="46" t="n"/>
      <c r="AH554" s="46" t="n"/>
      <c r="AI554" s="46" t="n"/>
      <c r="AJ554" s="46" t="n"/>
      <c r="AK554" s="46" t="n"/>
      <c r="AL554" s="46" t="n"/>
      <c r="AM554" s="46" t="n"/>
      <c r="AN554" s="46" t="n"/>
      <c r="AO554" s="46" t="n"/>
      <c r="AP554" s="46" t="n"/>
      <c r="AQ554" s="46" t="n"/>
      <c r="AR554" s="46" t="n"/>
      <c r="AS554" s="46" t="n"/>
      <c r="AV554" s="36">
        <f>IF($C554="","",EMPLOYES!M51)</f>
        <v/>
      </c>
      <c r="AW554" s="36">
        <f>IF($C554="",0,SUMPRODUCT(--(O554:AS554="C")))</f>
        <v/>
      </c>
      <c r="AX554" s="36">
        <f>IF($C554="",0,SUMPRODUCT(--(O554:AS554="R")))</f>
        <v/>
      </c>
      <c r="AY554" s="44" t="n"/>
    </row>
    <row r="555" hidden="1" outlineLevel="1" ht="15" customHeight="1" s="15">
      <c r="B555" s="41" t="n">
        <v>3</v>
      </c>
      <c r="C555" s="42">
        <f>IF(EMPLOYES!C52="","",EMPLOYES!C52)</f>
        <v/>
      </c>
      <c r="D555" s="43">
        <f>IF(EMPLOYES!C52="","",EMPLOYES!D52)</f>
        <v/>
      </c>
      <c r="E555" s="44" t="n"/>
      <c r="F555" s="42" t="n"/>
      <c r="G555" s="41">
        <f>IF($C555="",0,MAX(0,$M555-$N555))</f>
        <v/>
      </c>
      <c r="H555" s="45" t="n"/>
      <c r="I555" s="41">
        <f>IF($C555="","",IF(H555="","OK",IF(H555&gt;EMPLOYES!P52,"⚠ Avance &gt; salaire",IF(H555&gt;EMPLOYES!P52*PARAMETRES!$C$218,"⚠ Avance élevée","OK"))))</f>
        <v/>
      </c>
      <c r="J555" s="45" t="n"/>
      <c r="K555" s="46" t="n"/>
      <c r="L555" s="46" t="n"/>
      <c r="M555" s="41">
        <f>IF($C555="","",SUMPRODUCT((PARAMETRES!$B$38:$B$157=PARAMETRES!$C$29)*(PARAMETRES!$C$38:$C$157=3)*(IF(EMPLOYES!M52="5j",PARAMETRES!$I$38:$I$157,PARAMETRES!$H$38:$H$157))))</f>
        <v/>
      </c>
      <c r="N555" s="41">
        <f>IF($C555="","",SUMPRODUCT((O555:AS555="P")+(O555:AS555="F")+(O555:AS555="C")+0.5*(O555:AS555="D"),(1-((O515:AS515=6)*(EMPLOYES!M52="5j")))))</f>
        <v/>
      </c>
      <c r="O555" s="46" t="n"/>
      <c r="P555" s="46" t="n"/>
      <c r="Q555" s="46" t="n"/>
      <c r="R555" s="46" t="n"/>
      <c r="S555" s="46" t="n"/>
      <c r="T555" s="46" t="n"/>
      <c r="U555" s="46" t="n"/>
      <c r="V555" s="46" t="n"/>
      <c r="W555" s="46" t="n"/>
      <c r="X555" s="46" t="n"/>
      <c r="Y555" s="46" t="n"/>
      <c r="Z555" s="46" t="n"/>
      <c r="AA555" s="46" t="n"/>
      <c r="AB555" s="46" t="n"/>
      <c r="AC555" s="46" t="n"/>
      <c r="AD555" s="46" t="n"/>
      <c r="AE555" s="46" t="n"/>
      <c r="AF555" s="46" t="n"/>
      <c r="AG555" s="46" t="n"/>
      <c r="AH555" s="46" t="n"/>
      <c r="AI555" s="46" t="n"/>
      <c r="AJ555" s="46" t="n"/>
      <c r="AK555" s="46" t="n"/>
      <c r="AL555" s="46" t="n"/>
      <c r="AM555" s="46" t="n"/>
      <c r="AN555" s="46" t="n"/>
      <c r="AO555" s="46" t="n"/>
      <c r="AP555" s="46" t="n"/>
      <c r="AQ555" s="46" t="n"/>
      <c r="AR555" s="46" t="n"/>
      <c r="AS555" s="46" t="n"/>
      <c r="AV555" s="36">
        <f>IF($C555="","",EMPLOYES!M52)</f>
        <v/>
      </c>
      <c r="AW555" s="36">
        <f>IF($C555="",0,SUMPRODUCT(--(O555:AS555="C")))</f>
        <v/>
      </c>
      <c r="AX555" s="36">
        <f>IF($C555="",0,SUMPRODUCT(--(O555:AS555="R")))</f>
        <v/>
      </c>
      <c r="AY555" s="44" t="n"/>
    </row>
    <row r="556" hidden="1" outlineLevel="1" ht="15" customHeight="1" s="15">
      <c r="B556" s="41" t="n">
        <v>3</v>
      </c>
      <c r="C556" s="42">
        <f>IF(EMPLOYES!C53="","",EMPLOYES!C53)</f>
        <v/>
      </c>
      <c r="D556" s="43">
        <f>IF(EMPLOYES!C53="","",EMPLOYES!D53)</f>
        <v/>
      </c>
      <c r="E556" s="44" t="n"/>
      <c r="F556" s="42" t="n"/>
      <c r="G556" s="41">
        <f>IF($C556="",0,MAX(0,$M556-$N556))</f>
        <v/>
      </c>
      <c r="H556" s="45" t="n"/>
      <c r="I556" s="41">
        <f>IF($C556="","",IF(H556="","OK",IF(H556&gt;EMPLOYES!P53,"⚠ Avance &gt; salaire",IF(H556&gt;EMPLOYES!P53*PARAMETRES!$C$218,"⚠ Avance élevée","OK"))))</f>
        <v/>
      </c>
      <c r="J556" s="45" t="n"/>
      <c r="K556" s="46" t="n"/>
      <c r="L556" s="46" t="n"/>
      <c r="M556" s="41">
        <f>IF($C556="","",SUMPRODUCT((PARAMETRES!$B$38:$B$157=PARAMETRES!$C$29)*(PARAMETRES!$C$38:$C$157=3)*(IF(EMPLOYES!M53="5j",PARAMETRES!$I$38:$I$157,PARAMETRES!$H$38:$H$157))))</f>
        <v/>
      </c>
      <c r="N556" s="41">
        <f>IF($C556="","",SUMPRODUCT((O556:AS556="P")+(O556:AS556="F")+(O556:AS556="C")+0.5*(O556:AS556="D"),(1-((O515:AS515=6)*(EMPLOYES!M53="5j")))))</f>
        <v/>
      </c>
      <c r="O556" s="46" t="n"/>
      <c r="P556" s="46" t="n"/>
      <c r="Q556" s="46" t="n"/>
      <c r="R556" s="46" t="n"/>
      <c r="S556" s="46" t="n"/>
      <c r="T556" s="46" t="n"/>
      <c r="U556" s="46" t="n"/>
      <c r="V556" s="46" t="n"/>
      <c r="W556" s="46" t="n"/>
      <c r="X556" s="46" t="n"/>
      <c r="Y556" s="46" t="n"/>
      <c r="Z556" s="46" t="n"/>
      <c r="AA556" s="46" t="n"/>
      <c r="AB556" s="46" t="n"/>
      <c r="AC556" s="46" t="n"/>
      <c r="AD556" s="46" t="n"/>
      <c r="AE556" s="46" t="n"/>
      <c r="AF556" s="46" t="n"/>
      <c r="AG556" s="46" t="n"/>
      <c r="AH556" s="46" t="n"/>
      <c r="AI556" s="46" t="n"/>
      <c r="AJ556" s="46" t="n"/>
      <c r="AK556" s="46" t="n"/>
      <c r="AL556" s="46" t="n"/>
      <c r="AM556" s="46" t="n"/>
      <c r="AN556" s="46" t="n"/>
      <c r="AO556" s="46" t="n"/>
      <c r="AP556" s="46" t="n"/>
      <c r="AQ556" s="46" t="n"/>
      <c r="AR556" s="46" t="n"/>
      <c r="AS556" s="46" t="n"/>
      <c r="AV556" s="36">
        <f>IF($C556="","",EMPLOYES!M53)</f>
        <v/>
      </c>
      <c r="AW556" s="36">
        <f>IF($C556="",0,SUMPRODUCT(--(O556:AS556="C")))</f>
        <v/>
      </c>
      <c r="AX556" s="36">
        <f>IF($C556="",0,SUMPRODUCT(--(O556:AS556="R")))</f>
        <v/>
      </c>
      <c r="AY556" s="44" t="n"/>
    </row>
    <row r="557" hidden="1" outlineLevel="1" ht="15" customHeight="1" s="15">
      <c r="B557" s="41" t="n">
        <v>3</v>
      </c>
      <c r="C557" s="42">
        <f>IF(EMPLOYES!C54="","",EMPLOYES!C54)</f>
        <v/>
      </c>
      <c r="D557" s="43">
        <f>IF(EMPLOYES!C54="","",EMPLOYES!D54)</f>
        <v/>
      </c>
      <c r="E557" s="44" t="n"/>
      <c r="F557" s="42" t="n"/>
      <c r="G557" s="41">
        <f>IF($C557="",0,MAX(0,$M557-$N557))</f>
        <v/>
      </c>
      <c r="H557" s="45" t="n"/>
      <c r="I557" s="41">
        <f>IF($C557="","",IF(H557="","OK",IF(H557&gt;EMPLOYES!P54,"⚠ Avance &gt; salaire",IF(H557&gt;EMPLOYES!P54*PARAMETRES!$C$218,"⚠ Avance élevée","OK"))))</f>
        <v/>
      </c>
      <c r="J557" s="45" t="n"/>
      <c r="K557" s="46" t="n"/>
      <c r="L557" s="46" t="n"/>
      <c r="M557" s="41">
        <f>IF($C557="","",SUMPRODUCT((PARAMETRES!$B$38:$B$157=PARAMETRES!$C$29)*(PARAMETRES!$C$38:$C$157=3)*(IF(EMPLOYES!M54="5j",PARAMETRES!$I$38:$I$157,PARAMETRES!$H$38:$H$157))))</f>
        <v/>
      </c>
      <c r="N557" s="41">
        <f>IF($C557="","",SUMPRODUCT((O557:AS557="P")+(O557:AS557="F")+(O557:AS557="C")+0.5*(O557:AS557="D"),(1-((O515:AS515=6)*(EMPLOYES!M54="5j")))))</f>
        <v/>
      </c>
      <c r="O557" s="46" t="n"/>
      <c r="P557" s="46" t="n"/>
      <c r="Q557" s="46" t="n"/>
      <c r="R557" s="46" t="n"/>
      <c r="S557" s="46" t="n"/>
      <c r="T557" s="46" t="n"/>
      <c r="U557" s="46" t="n"/>
      <c r="V557" s="46" t="n"/>
      <c r="W557" s="46" t="n"/>
      <c r="X557" s="46" t="n"/>
      <c r="Y557" s="46" t="n"/>
      <c r="Z557" s="46" t="n"/>
      <c r="AA557" s="46" t="n"/>
      <c r="AB557" s="46" t="n"/>
      <c r="AC557" s="46" t="n"/>
      <c r="AD557" s="46" t="n"/>
      <c r="AE557" s="46" t="n"/>
      <c r="AF557" s="46" t="n"/>
      <c r="AG557" s="46" t="n"/>
      <c r="AH557" s="46" t="n"/>
      <c r="AI557" s="46" t="n"/>
      <c r="AJ557" s="46" t="n"/>
      <c r="AK557" s="46" t="n"/>
      <c r="AL557" s="46" t="n"/>
      <c r="AM557" s="46" t="n"/>
      <c r="AN557" s="46" t="n"/>
      <c r="AO557" s="46" t="n"/>
      <c r="AP557" s="46" t="n"/>
      <c r="AQ557" s="46" t="n"/>
      <c r="AR557" s="46" t="n"/>
      <c r="AS557" s="46" t="n"/>
      <c r="AV557" s="36">
        <f>IF($C557="","",EMPLOYES!M54)</f>
        <v/>
      </c>
      <c r="AW557" s="36">
        <f>IF($C557="",0,SUMPRODUCT(--(O557:AS557="C")))</f>
        <v/>
      </c>
      <c r="AX557" s="36">
        <f>IF($C557="",0,SUMPRODUCT(--(O557:AS557="R")))</f>
        <v/>
      </c>
      <c r="AY557" s="44" t="n"/>
    </row>
    <row r="558" hidden="1" outlineLevel="1" ht="15" customHeight="1" s="15">
      <c r="B558" s="41" t="n">
        <v>3</v>
      </c>
      <c r="C558" s="42">
        <f>IF(EMPLOYES!C55="","",EMPLOYES!C55)</f>
        <v/>
      </c>
      <c r="D558" s="43">
        <f>IF(EMPLOYES!C55="","",EMPLOYES!D55)</f>
        <v/>
      </c>
      <c r="E558" s="44" t="n"/>
      <c r="F558" s="42" t="n"/>
      <c r="G558" s="41">
        <f>IF($C558="",0,MAX(0,$M558-$N558))</f>
        <v/>
      </c>
      <c r="H558" s="45" t="n"/>
      <c r="I558" s="41">
        <f>IF($C558="","",IF(H558="","OK",IF(H558&gt;EMPLOYES!P55,"⚠ Avance &gt; salaire",IF(H558&gt;EMPLOYES!P55*PARAMETRES!$C$218,"⚠ Avance élevée","OK"))))</f>
        <v/>
      </c>
      <c r="J558" s="45" t="n"/>
      <c r="K558" s="46" t="n"/>
      <c r="L558" s="46" t="n"/>
      <c r="M558" s="41">
        <f>IF($C558="","",SUMPRODUCT((PARAMETRES!$B$38:$B$157=PARAMETRES!$C$29)*(PARAMETRES!$C$38:$C$157=3)*(IF(EMPLOYES!M55="5j",PARAMETRES!$I$38:$I$157,PARAMETRES!$H$38:$H$157))))</f>
        <v/>
      </c>
      <c r="N558" s="41">
        <f>IF($C558="","",SUMPRODUCT((O558:AS558="P")+(O558:AS558="F")+(O558:AS558="C")+0.5*(O558:AS558="D"),(1-((O515:AS515=6)*(EMPLOYES!M55="5j")))))</f>
        <v/>
      </c>
      <c r="O558" s="46" t="n"/>
      <c r="P558" s="46" t="n"/>
      <c r="Q558" s="46" t="n"/>
      <c r="R558" s="46" t="n"/>
      <c r="S558" s="46" t="n"/>
      <c r="T558" s="46" t="n"/>
      <c r="U558" s="46" t="n"/>
      <c r="V558" s="46" t="n"/>
      <c r="W558" s="46" t="n"/>
      <c r="X558" s="46" t="n"/>
      <c r="Y558" s="46" t="n"/>
      <c r="Z558" s="46" t="n"/>
      <c r="AA558" s="46" t="n"/>
      <c r="AB558" s="46" t="n"/>
      <c r="AC558" s="46" t="n"/>
      <c r="AD558" s="46" t="n"/>
      <c r="AE558" s="46" t="n"/>
      <c r="AF558" s="46" t="n"/>
      <c r="AG558" s="46" t="n"/>
      <c r="AH558" s="46" t="n"/>
      <c r="AI558" s="46" t="n"/>
      <c r="AJ558" s="46" t="n"/>
      <c r="AK558" s="46" t="n"/>
      <c r="AL558" s="46" t="n"/>
      <c r="AM558" s="46" t="n"/>
      <c r="AN558" s="46" t="n"/>
      <c r="AO558" s="46" t="n"/>
      <c r="AP558" s="46" t="n"/>
      <c r="AQ558" s="46" t="n"/>
      <c r="AR558" s="46" t="n"/>
      <c r="AS558" s="46" t="n"/>
      <c r="AV558" s="36">
        <f>IF($C558="","",EMPLOYES!M55)</f>
        <v/>
      </c>
      <c r="AW558" s="36">
        <f>IF($C558="",0,SUMPRODUCT(--(O558:AS558="C")))</f>
        <v/>
      </c>
      <c r="AX558" s="36">
        <f>IF($C558="",0,SUMPRODUCT(--(O558:AS558="R")))</f>
        <v/>
      </c>
      <c r="AY558" s="44" t="n"/>
    </row>
    <row r="559" hidden="1" outlineLevel="1" ht="15" customHeight="1" s="15">
      <c r="B559" s="41" t="n">
        <v>3</v>
      </c>
      <c r="C559" s="42">
        <f>IF(EMPLOYES!C56="","",EMPLOYES!C56)</f>
        <v/>
      </c>
      <c r="D559" s="43">
        <f>IF(EMPLOYES!C56="","",EMPLOYES!D56)</f>
        <v/>
      </c>
      <c r="E559" s="44" t="n"/>
      <c r="F559" s="42" t="n"/>
      <c r="G559" s="41">
        <f>IF($C559="",0,MAX(0,$M559-$N559))</f>
        <v/>
      </c>
      <c r="H559" s="45" t="n"/>
      <c r="I559" s="41">
        <f>IF($C559="","",IF(H559="","OK",IF(H559&gt;EMPLOYES!P56,"⚠ Avance &gt; salaire",IF(H559&gt;EMPLOYES!P56*PARAMETRES!$C$218,"⚠ Avance élevée","OK"))))</f>
        <v/>
      </c>
      <c r="J559" s="45" t="n"/>
      <c r="K559" s="46" t="n"/>
      <c r="L559" s="46" t="n"/>
      <c r="M559" s="41">
        <f>IF($C559="","",SUMPRODUCT((PARAMETRES!$B$38:$B$157=PARAMETRES!$C$29)*(PARAMETRES!$C$38:$C$157=3)*(IF(EMPLOYES!M56="5j",PARAMETRES!$I$38:$I$157,PARAMETRES!$H$38:$H$157))))</f>
        <v/>
      </c>
      <c r="N559" s="41">
        <f>IF($C559="","",SUMPRODUCT((O559:AS559="P")+(O559:AS559="F")+(O559:AS559="C")+0.5*(O559:AS559="D"),(1-((O515:AS515=6)*(EMPLOYES!M56="5j")))))</f>
        <v/>
      </c>
      <c r="O559" s="46" t="n"/>
      <c r="P559" s="46" t="n"/>
      <c r="Q559" s="46" t="n"/>
      <c r="R559" s="46" t="n"/>
      <c r="S559" s="46" t="n"/>
      <c r="T559" s="46" t="n"/>
      <c r="U559" s="46" t="n"/>
      <c r="V559" s="46" t="n"/>
      <c r="W559" s="46" t="n"/>
      <c r="X559" s="46" t="n"/>
      <c r="Y559" s="46" t="n"/>
      <c r="Z559" s="46" t="n"/>
      <c r="AA559" s="46" t="n"/>
      <c r="AB559" s="46" t="n"/>
      <c r="AC559" s="46" t="n"/>
      <c r="AD559" s="46" t="n"/>
      <c r="AE559" s="46" t="n"/>
      <c r="AF559" s="46" t="n"/>
      <c r="AG559" s="46" t="n"/>
      <c r="AH559" s="46" t="n"/>
      <c r="AI559" s="46" t="n"/>
      <c r="AJ559" s="46" t="n"/>
      <c r="AK559" s="46" t="n"/>
      <c r="AL559" s="46" t="n"/>
      <c r="AM559" s="46" t="n"/>
      <c r="AN559" s="46" t="n"/>
      <c r="AO559" s="46" t="n"/>
      <c r="AP559" s="46" t="n"/>
      <c r="AQ559" s="46" t="n"/>
      <c r="AR559" s="46" t="n"/>
      <c r="AS559" s="46" t="n"/>
      <c r="AV559" s="36">
        <f>IF($C559="","",EMPLOYES!M56)</f>
        <v/>
      </c>
      <c r="AW559" s="36">
        <f>IF($C559="",0,SUMPRODUCT(--(O559:AS559="C")))</f>
        <v/>
      </c>
      <c r="AX559" s="36">
        <f>IF($C559="",0,SUMPRODUCT(--(O559:AS559="R")))</f>
        <v/>
      </c>
      <c r="AY559" s="44" t="n"/>
    </row>
    <row r="560" hidden="1" outlineLevel="1" ht="15" customHeight="1" s="15">
      <c r="B560" s="41" t="n">
        <v>3</v>
      </c>
      <c r="C560" s="42">
        <f>IF(EMPLOYES!C57="","",EMPLOYES!C57)</f>
        <v/>
      </c>
      <c r="D560" s="43">
        <f>IF(EMPLOYES!C57="","",EMPLOYES!D57)</f>
        <v/>
      </c>
      <c r="E560" s="44" t="n"/>
      <c r="F560" s="42" t="n"/>
      <c r="G560" s="41">
        <f>IF($C560="",0,MAX(0,$M560-$N560))</f>
        <v/>
      </c>
      <c r="H560" s="45" t="n"/>
      <c r="I560" s="41">
        <f>IF($C560="","",IF(H560="","OK",IF(H560&gt;EMPLOYES!P57,"⚠ Avance &gt; salaire",IF(H560&gt;EMPLOYES!P57*PARAMETRES!$C$218,"⚠ Avance élevée","OK"))))</f>
        <v/>
      </c>
      <c r="J560" s="45" t="n"/>
      <c r="K560" s="46" t="n"/>
      <c r="L560" s="46" t="n"/>
      <c r="M560" s="41">
        <f>IF($C560="","",SUMPRODUCT((PARAMETRES!$B$38:$B$157=PARAMETRES!$C$29)*(PARAMETRES!$C$38:$C$157=3)*(IF(EMPLOYES!M57="5j",PARAMETRES!$I$38:$I$157,PARAMETRES!$H$38:$H$157))))</f>
        <v/>
      </c>
      <c r="N560" s="41">
        <f>IF($C560="","",SUMPRODUCT((O560:AS560="P")+(O560:AS560="F")+(O560:AS560="C")+0.5*(O560:AS560="D"),(1-((O515:AS515=6)*(EMPLOYES!M57="5j")))))</f>
        <v/>
      </c>
      <c r="O560" s="46" t="n"/>
      <c r="P560" s="46" t="n"/>
      <c r="Q560" s="46" t="n"/>
      <c r="R560" s="46" t="n"/>
      <c r="S560" s="46" t="n"/>
      <c r="T560" s="46" t="n"/>
      <c r="U560" s="46" t="n"/>
      <c r="V560" s="46" t="n"/>
      <c r="W560" s="46" t="n"/>
      <c r="X560" s="46" t="n"/>
      <c r="Y560" s="46" t="n"/>
      <c r="Z560" s="46" t="n"/>
      <c r="AA560" s="46" t="n"/>
      <c r="AB560" s="46" t="n"/>
      <c r="AC560" s="46" t="n"/>
      <c r="AD560" s="46" t="n"/>
      <c r="AE560" s="46" t="n"/>
      <c r="AF560" s="46" t="n"/>
      <c r="AG560" s="46" t="n"/>
      <c r="AH560" s="46" t="n"/>
      <c r="AI560" s="46" t="n"/>
      <c r="AJ560" s="46" t="n"/>
      <c r="AK560" s="46" t="n"/>
      <c r="AL560" s="46" t="n"/>
      <c r="AM560" s="46" t="n"/>
      <c r="AN560" s="46" t="n"/>
      <c r="AO560" s="46" t="n"/>
      <c r="AP560" s="46" t="n"/>
      <c r="AQ560" s="46" t="n"/>
      <c r="AR560" s="46" t="n"/>
      <c r="AS560" s="46" t="n"/>
      <c r="AV560" s="36">
        <f>IF($C560="","",EMPLOYES!M57)</f>
        <v/>
      </c>
      <c r="AW560" s="36">
        <f>IF($C560="",0,SUMPRODUCT(--(O560:AS560="C")))</f>
        <v/>
      </c>
      <c r="AX560" s="36">
        <f>IF($C560="",0,SUMPRODUCT(--(O560:AS560="R")))</f>
        <v/>
      </c>
      <c r="AY560" s="44" t="n"/>
    </row>
    <row r="561" hidden="1" outlineLevel="1" ht="15" customHeight="1" s="15">
      <c r="B561" s="41" t="n">
        <v>3</v>
      </c>
      <c r="C561" s="42">
        <f>IF(EMPLOYES!C58="","",EMPLOYES!C58)</f>
        <v/>
      </c>
      <c r="D561" s="43">
        <f>IF(EMPLOYES!C58="","",EMPLOYES!D58)</f>
        <v/>
      </c>
      <c r="E561" s="44" t="n"/>
      <c r="F561" s="42" t="n"/>
      <c r="G561" s="41">
        <f>IF($C561="",0,MAX(0,$M561-$N561))</f>
        <v/>
      </c>
      <c r="H561" s="45" t="n"/>
      <c r="I561" s="41">
        <f>IF($C561="","",IF(H561="","OK",IF(H561&gt;EMPLOYES!P58,"⚠ Avance &gt; salaire",IF(H561&gt;EMPLOYES!P58*PARAMETRES!$C$218,"⚠ Avance élevée","OK"))))</f>
        <v/>
      </c>
      <c r="J561" s="45" t="n"/>
      <c r="K561" s="46" t="n"/>
      <c r="L561" s="46" t="n"/>
      <c r="M561" s="41">
        <f>IF($C561="","",SUMPRODUCT((PARAMETRES!$B$38:$B$157=PARAMETRES!$C$29)*(PARAMETRES!$C$38:$C$157=3)*(IF(EMPLOYES!M58="5j",PARAMETRES!$I$38:$I$157,PARAMETRES!$H$38:$H$157))))</f>
        <v/>
      </c>
      <c r="N561" s="41">
        <f>IF($C561="","",SUMPRODUCT((O561:AS561="P")+(O561:AS561="F")+(O561:AS561="C")+0.5*(O561:AS561="D"),(1-((O515:AS515=6)*(EMPLOYES!M58="5j")))))</f>
        <v/>
      </c>
      <c r="O561" s="46" t="n"/>
      <c r="P561" s="46" t="n"/>
      <c r="Q561" s="46" t="n"/>
      <c r="R561" s="46" t="n"/>
      <c r="S561" s="46" t="n"/>
      <c r="T561" s="46" t="n"/>
      <c r="U561" s="46" t="n"/>
      <c r="V561" s="46" t="n"/>
      <c r="W561" s="46" t="n"/>
      <c r="X561" s="46" t="n"/>
      <c r="Y561" s="46" t="n"/>
      <c r="Z561" s="46" t="n"/>
      <c r="AA561" s="46" t="n"/>
      <c r="AB561" s="46" t="n"/>
      <c r="AC561" s="46" t="n"/>
      <c r="AD561" s="46" t="n"/>
      <c r="AE561" s="46" t="n"/>
      <c r="AF561" s="46" t="n"/>
      <c r="AG561" s="46" t="n"/>
      <c r="AH561" s="46" t="n"/>
      <c r="AI561" s="46" t="n"/>
      <c r="AJ561" s="46" t="n"/>
      <c r="AK561" s="46" t="n"/>
      <c r="AL561" s="46" t="n"/>
      <c r="AM561" s="46" t="n"/>
      <c r="AN561" s="46" t="n"/>
      <c r="AO561" s="46" t="n"/>
      <c r="AP561" s="46" t="n"/>
      <c r="AQ561" s="46" t="n"/>
      <c r="AR561" s="46" t="n"/>
      <c r="AS561" s="46" t="n"/>
      <c r="AV561" s="36">
        <f>IF($C561="","",EMPLOYES!M58)</f>
        <v/>
      </c>
      <c r="AW561" s="36">
        <f>IF($C561="",0,SUMPRODUCT(--(O561:AS561="C")))</f>
        <v/>
      </c>
      <c r="AX561" s="36">
        <f>IF($C561="",0,SUMPRODUCT(--(O561:AS561="R")))</f>
        <v/>
      </c>
      <c r="AY561" s="44" t="n"/>
    </row>
    <row r="562" hidden="1" outlineLevel="1" ht="15" customHeight="1" s="15">
      <c r="B562" s="41" t="n">
        <v>3</v>
      </c>
      <c r="C562" s="42">
        <f>IF(EMPLOYES!C59="","",EMPLOYES!C59)</f>
        <v/>
      </c>
      <c r="D562" s="43">
        <f>IF(EMPLOYES!C59="","",EMPLOYES!D59)</f>
        <v/>
      </c>
      <c r="E562" s="44" t="n"/>
      <c r="F562" s="42" t="n"/>
      <c r="G562" s="41">
        <f>IF($C562="",0,MAX(0,$M562-$N562))</f>
        <v/>
      </c>
      <c r="H562" s="45" t="n"/>
      <c r="I562" s="41">
        <f>IF($C562="","",IF(H562="","OK",IF(H562&gt;EMPLOYES!P59,"⚠ Avance &gt; salaire",IF(H562&gt;EMPLOYES!P59*PARAMETRES!$C$218,"⚠ Avance élevée","OK"))))</f>
        <v/>
      </c>
      <c r="J562" s="45" t="n"/>
      <c r="K562" s="46" t="n"/>
      <c r="L562" s="46" t="n"/>
      <c r="M562" s="41">
        <f>IF($C562="","",SUMPRODUCT((PARAMETRES!$B$38:$B$157=PARAMETRES!$C$29)*(PARAMETRES!$C$38:$C$157=3)*(IF(EMPLOYES!M59="5j",PARAMETRES!$I$38:$I$157,PARAMETRES!$H$38:$H$157))))</f>
        <v/>
      </c>
      <c r="N562" s="41">
        <f>IF($C562="","",SUMPRODUCT((O562:AS562="P")+(O562:AS562="F")+(O562:AS562="C")+0.5*(O562:AS562="D"),(1-((O515:AS515=6)*(EMPLOYES!M59="5j")))))</f>
        <v/>
      </c>
      <c r="O562" s="46" t="n"/>
      <c r="P562" s="46" t="n"/>
      <c r="Q562" s="46" t="n"/>
      <c r="R562" s="46" t="n"/>
      <c r="S562" s="46" t="n"/>
      <c r="T562" s="46" t="n"/>
      <c r="U562" s="46" t="n"/>
      <c r="V562" s="46" t="n"/>
      <c r="W562" s="46" t="n"/>
      <c r="X562" s="46" t="n"/>
      <c r="Y562" s="46" t="n"/>
      <c r="Z562" s="46" t="n"/>
      <c r="AA562" s="46" t="n"/>
      <c r="AB562" s="46" t="n"/>
      <c r="AC562" s="46" t="n"/>
      <c r="AD562" s="46" t="n"/>
      <c r="AE562" s="46" t="n"/>
      <c r="AF562" s="46" t="n"/>
      <c r="AG562" s="46" t="n"/>
      <c r="AH562" s="46" t="n"/>
      <c r="AI562" s="46" t="n"/>
      <c r="AJ562" s="46" t="n"/>
      <c r="AK562" s="46" t="n"/>
      <c r="AL562" s="46" t="n"/>
      <c r="AM562" s="46" t="n"/>
      <c r="AN562" s="46" t="n"/>
      <c r="AO562" s="46" t="n"/>
      <c r="AP562" s="46" t="n"/>
      <c r="AQ562" s="46" t="n"/>
      <c r="AR562" s="46" t="n"/>
      <c r="AS562" s="46" t="n"/>
      <c r="AV562" s="36">
        <f>IF($C562="","",EMPLOYES!M59)</f>
        <v/>
      </c>
      <c r="AW562" s="36">
        <f>IF($C562="",0,SUMPRODUCT(--(O562:AS562="C")))</f>
        <v/>
      </c>
      <c r="AX562" s="36">
        <f>IF($C562="",0,SUMPRODUCT(--(O562:AS562="R")))</f>
        <v/>
      </c>
      <c r="AY562" s="44" t="n"/>
    </row>
    <row r="563" hidden="1" outlineLevel="1" ht="15" customHeight="1" s="15">
      <c r="B563" s="41" t="n">
        <v>3</v>
      </c>
      <c r="C563" s="42">
        <f>IF(EMPLOYES!C60="","",EMPLOYES!C60)</f>
        <v/>
      </c>
      <c r="D563" s="43">
        <f>IF(EMPLOYES!C60="","",EMPLOYES!D60)</f>
        <v/>
      </c>
      <c r="E563" s="44" t="n"/>
      <c r="F563" s="42" t="n"/>
      <c r="G563" s="41">
        <f>IF($C563="",0,MAX(0,$M563-$N563))</f>
        <v/>
      </c>
      <c r="H563" s="45" t="n"/>
      <c r="I563" s="41">
        <f>IF($C563="","",IF(H563="","OK",IF(H563&gt;EMPLOYES!P60,"⚠ Avance &gt; salaire",IF(H563&gt;EMPLOYES!P60*PARAMETRES!$C$218,"⚠ Avance élevée","OK"))))</f>
        <v/>
      </c>
      <c r="J563" s="45" t="n"/>
      <c r="K563" s="46" t="n"/>
      <c r="L563" s="46" t="n"/>
      <c r="M563" s="41">
        <f>IF($C563="","",SUMPRODUCT((PARAMETRES!$B$38:$B$157=PARAMETRES!$C$29)*(PARAMETRES!$C$38:$C$157=3)*(IF(EMPLOYES!M60="5j",PARAMETRES!$I$38:$I$157,PARAMETRES!$H$38:$H$157))))</f>
        <v/>
      </c>
      <c r="N563" s="41">
        <f>IF($C563="","",SUMPRODUCT((O563:AS563="P")+(O563:AS563="F")+(O563:AS563="C")+0.5*(O563:AS563="D"),(1-((O515:AS515=6)*(EMPLOYES!M60="5j")))))</f>
        <v/>
      </c>
      <c r="O563" s="46" t="n"/>
      <c r="P563" s="46" t="n"/>
      <c r="Q563" s="46" t="n"/>
      <c r="R563" s="46" t="n"/>
      <c r="S563" s="46" t="n"/>
      <c r="T563" s="46" t="n"/>
      <c r="U563" s="46" t="n"/>
      <c r="V563" s="46" t="n"/>
      <c r="W563" s="46" t="n"/>
      <c r="X563" s="46" t="n"/>
      <c r="Y563" s="46" t="n"/>
      <c r="Z563" s="46" t="n"/>
      <c r="AA563" s="46" t="n"/>
      <c r="AB563" s="46" t="n"/>
      <c r="AC563" s="46" t="n"/>
      <c r="AD563" s="46" t="n"/>
      <c r="AE563" s="46" t="n"/>
      <c r="AF563" s="46" t="n"/>
      <c r="AG563" s="46" t="n"/>
      <c r="AH563" s="46" t="n"/>
      <c r="AI563" s="46" t="n"/>
      <c r="AJ563" s="46" t="n"/>
      <c r="AK563" s="46" t="n"/>
      <c r="AL563" s="46" t="n"/>
      <c r="AM563" s="46" t="n"/>
      <c r="AN563" s="46" t="n"/>
      <c r="AO563" s="46" t="n"/>
      <c r="AP563" s="46" t="n"/>
      <c r="AQ563" s="46" t="n"/>
      <c r="AR563" s="46" t="n"/>
      <c r="AS563" s="46" t="n"/>
      <c r="AV563" s="36">
        <f>IF($C563="","",EMPLOYES!M60)</f>
        <v/>
      </c>
      <c r="AW563" s="36">
        <f>IF($C563="",0,SUMPRODUCT(--(O563:AS563="C")))</f>
        <v/>
      </c>
      <c r="AX563" s="36">
        <f>IF($C563="",0,SUMPRODUCT(--(O563:AS563="R")))</f>
        <v/>
      </c>
      <c r="AY563" s="44" t="n"/>
    </row>
    <row r="564" hidden="1" outlineLevel="1" ht="15" customHeight="1" s="15">
      <c r="B564" s="41" t="n">
        <v>3</v>
      </c>
      <c r="C564" s="42">
        <f>IF(EMPLOYES!C61="","",EMPLOYES!C61)</f>
        <v/>
      </c>
      <c r="D564" s="43">
        <f>IF(EMPLOYES!C61="","",EMPLOYES!D61)</f>
        <v/>
      </c>
      <c r="E564" s="44" t="n"/>
      <c r="F564" s="42" t="n"/>
      <c r="G564" s="41">
        <f>IF($C564="",0,MAX(0,$M564-$N564))</f>
        <v/>
      </c>
      <c r="H564" s="45" t="n"/>
      <c r="I564" s="41">
        <f>IF($C564="","",IF(H564="","OK",IF(H564&gt;EMPLOYES!P61,"⚠ Avance &gt; salaire",IF(H564&gt;EMPLOYES!P61*PARAMETRES!$C$218,"⚠ Avance élevée","OK"))))</f>
        <v/>
      </c>
      <c r="J564" s="45" t="n"/>
      <c r="K564" s="46" t="n"/>
      <c r="L564" s="46" t="n"/>
      <c r="M564" s="41">
        <f>IF($C564="","",SUMPRODUCT((PARAMETRES!$B$38:$B$157=PARAMETRES!$C$29)*(PARAMETRES!$C$38:$C$157=3)*(IF(EMPLOYES!M61="5j",PARAMETRES!$I$38:$I$157,PARAMETRES!$H$38:$H$157))))</f>
        <v/>
      </c>
      <c r="N564" s="41">
        <f>IF($C564="","",SUMPRODUCT((O564:AS564="P")+(O564:AS564="F")+(O564:AS564="C")+0.5*(O564:AS564="D"),(1-((O515:AS515=6)*(EMPLOYES!M61="5j")))))</f>
        <v/>
      </c>
      <c r="O564" s="46" t="n"/>
      <c r="P564" s="46" t="n"/>
      <c r="Q564" s="46" t="n"/>
      <c r="R564" s="46" t="n"/>
      <c r="S564" s="46" t="n"/>
      <c r="T564" s="46" t="n"/>
      <c r="U564" s="46" t="n"/>
      <c r="V564" s="46" t="n"/>
      <c r="W564" s="46" t="n"/>
      <c r="X564" s="46" t="n"/>
      <c r="Y564" s="46" t="n"/>
      <c r="Z564" s="46" t="n"/>
      <c r="AA564" s="46" t="n"/>
      <c r="AB564" s="46" t="n"/>
      <c r="AC564" s="46" t="n"/>
      <c r="AD564" s="46" t="n"/>
      <c r="AE564" s="46" t="n"/>
      <c r="AF564" s="46" t="n"/>
      <c r="AG564" s="46" t="n"/>
      <c r="AH564" s="46" t="n"/>
      <c r="AI564" s="46" t="n"/>
      <c r="AJ564" s="46" t="n"/>
      <c r="AK564" s="46" t="n"/>
      <c r="AL564" s="46" t="n"/>
      <c r="AM564" s="46" t="n"/>
      <c r="AN564" s="46" t="n"/>
      <c r="AO564" s="46" t="n"/>
      <c r="AP564" s="46" t="n"/>
      <c r="AQ564" s="46" t="n"/>
      <c r="AR564" s="46" t="n"/>
      <c r="AS564" s="46" t="n"/>
      <c r="AV564" s="36">
        <f>IF($C564="","",EMPLOYES!M61)</f>
        <v/>
      </c>
      <c r="AW564" s="36">
        <f>IF($C564="",0,SUMPRODUCT(--(O564:AS564="C")))</f>
        <v/>
      </c>
      <c r="AX564" s="36">
        <f>IF($C564="",0,SUMPRODUCT(--(O564:AS564="R")))</f>
        <v/>
      </c>
      <c r="AY564" s="44" t="n"/>
    </row>
    <row r="565" hidden="1" outlineLevel="1" ht="15" customHeight="1" s="15">
      <c r="B565" s="41" t="n">
        <v>3</v>
      </c>
      <c r="C565" s="42">
        <f>IF(EMPLOYES!C62="","",EMPLOYES!C62)</f>
        <v/>
      </c>
      <c r="D565" s="43">
        <f>IF(EMPLOYES!C62="","",EMPLOYES!D62)</f>
        <v/>
      </c>
      <c r="E565" s="44" t="n"/>
      <c r="F565" s="42" t="n"/>
      <c r="G565" s="41">
        <f>IF($C565="",0,MAX(0,$M565-$N565))</f>
        <v/>
      </c>
      <c r="H565" s="45" t="n"/>
      <c r="I565" s="41">
        <f>IF($C565="","",IF(H565="","OK",IF(H565&gt;EMPLOYES!P62,"⚠ Avance &gt; salaire",IF(H565&gt;EMPLOYES!P62*PARAMETRES!$C$218,"⚠ Avance élevée","OK"))))</f>
        <v/>
      </c>
      <c r="J565" s="45" t="n"/>
      <c r="K565" s="46" t="n"/>
      <c r="L565" s="46" t="n"/>
      <c r="M565" s="41">
        <f>IF($C565="","",SUMPRODUCT((PARAMETRES!$B$38:$B$157=PARAMETRES!$C$29)*(PARAMETRES!$C$38:$C$157=3)*(IF(EMPLOYES!M62="5j",PARAMETRES!$I$38:$I$157,PARAMETRES!$H$38:$H$157))))</f>
        <v/>
      </c>
      <c r="N565" s="41">
        <f>IF($C565="","",SUMPRODUCT((O565:AS565="P")+(O565:AS565="F")+(O565:AS565="C")+0.5*(O565:AS565="D"),(1-((O515:AS515=6)*(EMPLOYES!M62="5j")))))</f>
        <v/>
      </c>
      <c r="O565" s="46" t="n"/>
      <c r="P565" s="46" t="n"/>
      <c r="Q565" s="46" t="n"/>
      <c r="R565" s="46" t="n"/>
      <c r="S565" s="46" t="n"/>
      <c r="T565" s="46" t="n"/>
      <c r="U565" s="46" t="n"/>
      <c r="V565" s="46" t="n"/>
      <c r="W565" s="46" t="n"/>
      <c r="X565" s="46" t="n"/>
      <c r="Y565" s="46" t="n"/>
      <c r="Z565" s="46" t="n"/>
      <c r="AA565" s="46" t="n"/>
      <c r="AB565" s="46" t="n"/>
      <c r="AC565" s="46" t="n"/>
      <c r="AD565" s="46" t="n"/>
      <c r="AE565" s="46" t="n"/>
      <c r="AF565" s="46" t="n"/>
      <c r="AG565" s="46" t="n"/>
      <c r="AH565" s="46" t="n"/>
      <c r="AI565" s="46" t="n"/>
      <c r="AJ565" s="46" t="n"/>
      <c r="AK565" s="46" t="n"/>
      <c r="AL565" s="46" t="n"/>
      <c r="AM565" s="46" t="n"/>
      <c r="AN565" s="46" t="n"/>
      <c r="AO565" s="46" t="n"/>
      <c r="AP565" s="46" t="n"/>
      <c r="AQ565" s="46" t="n"/>
      <c r="AR565" s="46" t="n"/>
      <c r="AS565" s="46" t="n"/>
      <c r="AV565" s="36">
        <f>IF($C565="","",EMPLOYES!M62)</f>
        <v/>
      </c>
      <c r="AW565" s="36">
        <f>IF($C565="",0,SUMPRODUCT(--(O565:AS565="C")))</f>
        <v/>
      </c>
      <c r="AX565" s="36">
        <f>IF($C565="",0,SUMPRODUCT(--(O565:AS565="R")))</f>
        <v/>
      </c>
      <c r="AY565" s="44" t="n"/>
    </row>
    <row r="566" hidden="1" outlineLevel="1" ht="15" customHeight="1" s="15">
      <c r="B566" s="41" t="n">
        <v>3</v>
      </c>
      <c r="C566" s="42">
        <f>IF(EMPLOYES!C63="","",EMPLOYES!C63)</f>
        <v/>
      </c>
      <c r="D566" s="43">
        <f>IF(EMPLOYES!C63="","",EMPLOYES!D63)</f>
        <v/>
      </c>
      <c r="E566" s="44" t="n"/>
      <c r="F566" s="42" t="n"/>
      <c r="G566" s="41">
        <f>IF($C566="",0,MAX(0,$M566-$N566))</f>
        <v/>
      </c>
      <c r="H566" s="45" t="n"/>
      <c r="I566" s="41">
        <f>IF($C566="","",IF(H566="","OK",IF(H566&gt;EMPLOYES!P63,"⚠ Avance &gt; salaire",IF(H566&gt;EMPLOYES!P63*PARAMETRES!$C$218,"⚠ Avance élevée","OK"))))</f>
        <v/>
      </c>
      <c r="J566" s="45" t="n"/>
      <c r="K566" s="46" t="n"/>
      <c r="L566" s="46" t="n"/>
      <c r="M566" s="41">
        <f>IF($C566="","",SUMPRODUCT((PARAMETRES!$B$38:$B$157=PARAMETRES!$C$29)*(PARAMETRES!$C$38:$C$157=3)*(IF(EMPLOYES!M63="5j",PARAMETRES!$I$38:$I$157,PARAMETRES!$H$38:$H$157))))</f>
        <v/>
      </c>
      <c r="N566" s="41">
        <f>IF($C566="","",SUMPRODUCT((O566:AS566="P")+(O566:AS566="F")+(O566:AS566="C")+0.5*(O566:AS566="D"),(1-((O515:AS515=6)*(EMPLOYES!M63="5j")))))</f>
        <v/>
      </c>
      <c r="O566" s="46" t="n"/>
      <c r="P566" s="46" t="n"/>
      <c r="Q566" s="46" t="n"/>
      <c r="R566" s="46" t="n"/>
      <c r="S566" s="46" t="n"/>
      <c r="T566" s="46" t="n"/>
      <c r="U566" s="46" t="n"/>
      <c r="V566" s="46" t="n"/>
      <c r="W566" s="46" t="n"/>
      <c r="X566" s="46" t="n"/>
      <c r="Y566" s="46" t="n"/>
      <c r="Z566" s="46" t="n"/>
      <c r="AA566" s="46" t="n"/>
      <c r="AB566" s="46" t="n"/>
      <c r="AC566" s="46" t="n"/>
      <c r="AD566" s="46" t="n"/>
      <c r="AE566" s="46" t="n"/>
      <c r="AF566" s="46" t="n"/>
      <c r="AG566" s="46" t="n"/>
      <c r="AH566" s="46" t="n"/>
      <c r="AI566" s="46" t="n"/>
      <c r="AJ566" s="46" t="n"/>
      <c r="AK566" s="46" t="n"/>
      <c r="AL566" s="46" t="n"/>
      <c r="AM566" s="46" t="n"/>
      <c r="AN566" s="46" t="n"/>
      <c r="AO566" s="46" t="n"/>
      <c r="AP566" s="46" t="n"/>
      <c r="AQ566" s="46" t="n"/>
      <c r="AR566" s="46" t="n"/>
      <c r="AS566" s="46" t="n"/>
      <c r="AV566" s="36">
        <f>IF($C566="","",EMPLOYES!M63)</f>
        <v/>
      </c>
      <c r="AW566" s="36">
        <f>IF($C566="",0,SUMPRODUCT(--(O566:AS566="C")))</f>
        <v/>
      </c>
      <c r="AX566" s="36">
        <f>IF($C566="",0,SUMPRODUCT(--(O566:AS566="R")))</f>
        <v/>
      </c>
      <c r="AY566" s="44" t="n"/>
    </row>
    <row r="567" hidden="1" outlineLevel="1" ht="15" customHeight="1" s="15">
      <c r="B567" s="41" t="n">
        <v>3</v>
      </c>
      <c r="C567" s="42">
        <f>IF(EMPLOYES!C64="","",EMPLOYES!C64)</f>
        <v/>
      </c>
      <c r="D567" s="43">
        <f>IF(EMPLOYES!C64="","",EMPLOYES!D64)</f>
        <v/>
      </c>
      <c r="E567" s="44" t="n"/>
      <c r="F567" s="42" t="n"/>
      <c r="G567" s="41">
        <f>IF($C567="",0,MAX(0,$M567-$N567))</f>
        <v/>
      </c>
      <c r="H567" s="45" t="n"/>
      <c r="I567" s="41">
        <f>IF($C567="","",IF(H567="","OK",IF(H567&gt;EMPLOYES!P64,"⚠ Avance &gt; salaire",IF(H567&gt;EMPLOYES!P64*PARAMETRES!$C$218,"⚠ Avance élevée","OK"))))</f>
        <v/>
      </c>
      <c r="J567" s="45" t="n"/>
      <c r="K567" s="46" t="n"/>
      <c r="L567" s="46" t="n"/>
      <c r="M567" s="41">
        <f>IF($C567="","",SUMPRODUCT((PARAMETRES!$B$38:$B$157=PARAMETRES!$C$29)*(PARAMETRES!$C$38:$C$157=3)*(IF(EMPLOYES!M64="5j",PARAMETRES!$I$38:$I$157,PARAMETRES!$H$38:$H$157))))</f>
        <v/>
      </c>
      <c r="N567" s="41">
        <f>IF($C567="","",SUMPRODUCT((O567:AS567="P")+(O567:AS567="F")+(O567:AS567="C")+0.5*(O567:AS567="D"),(1-((O515:AS515=6)*(EMPLOYES!M64="5j")))))</f>
        <v/>
      </c>
      <c r="O567" s="46" t="n"/>
      <c r="P567" s="46" t="n"/>
      <c r="Q567" s="46" t="n"/>
      <c r="R567" s="46" t="n"/>
      <c r="S567" s="46" t="n"/>
      <c r="T567" s="46" t="n"/>
      <c r="U567" s="46" t="n"/>
      <c r="V567" s="46" t="n"/>
      <c r="W567" s="46" t="n"/>
      <c r="X567" s="46" t="n"/>
      <c r="Y567" s="46" t="n"/>
      <c r="Z567" s="46" t="n"/>
      <c r="AA567" s="46" t="n"/>
      <c r="AB567" s="46" t="n"/>
      <c r="AC567" s="46" t="n"/>
      <c r="AD567" s="46" t="n"/>
      <c r="AE567" s="46" t="n"/>
      <c r="AF567" s="46" t="n"/>
      <c r="AG567" s="46" t="n"/>
      <c r="AH567" s="46" t="n"/>
      <c r="AI567" s="46" t="n"/>
      <c r="AJ567" s="46" t="n"/>
      <c r="AK567" s="46" t="n"/>
      <c r="AL567" s="46" t="n"/>
      <c r="AM567" s="46" t="n"/>
      <c r="AN567" s="46" t="n"/>
      <c r="AO567" s="46" t="n"/>
      <c r="AP567" s="46" t="n"/>
      <c r="AQ567" s="46" t="n"/>
      <c r="AR567" s="46" t="n"/>
      <c r="AS567" s="46" t="n"/>
      <c r="AV567" s="36">
        <f>IF($C567="","",EMPLOYES!M64)</f>
        <v/>
      </c>
      <c r="AW567" s="36">
        <f>IF($C567="",0,SUMPRODUCT(--(O567:AS567="C")))</f>
        <v/>
      </c>
      <c r="AX567" s="36">
        <f>IF($C567="",0,SUMPRODUCT(--(O567:AS567="R")))</f>
        <v/>
      </c>
      <c r="AY567" s="44" t="n"/>
    </row>
    <row r="568" hidden="1" outlineLevel="1" ht="15" customHeight="1" s="15">
      <c r="B568" s="41" t="n">
        <v>3</v>
      </c>
      <c r="C568" s="42">
        <f>IF(EMPLOYES!C65="","",EMPLOYES!C65)</f>
        <v/>
      </c>
      <c r="D568" s="43">
        <f>IF(EMPLOYES!C65="","",EMPLOYES!D65)</f>
        <v/>
      </c>
      <c r="E568" s="44" t="n"/>
      <c r="F568" s="42" t="n"/>
      <c r="G568" s="41">
        <f>IF($C568="",0,MAX(0,$M568-$N568))</f>
        <v/>
      </c>
      <c r="H568" s="45" t="n"/>
      <c r="I568" s="41">
        <f>IF($C568="","",IF(H568="","OK",IF(H568&gt;EMPLOYES!P65,"⚠ Avance &gt; salaire",IF(H568&gt;EMPLOYES!P65*PARAMETRES!$C$218,"⚠ Avance élevée","OK"))))</f>
        <v/>
      </c>
      <c r="J568" s="45" t="n"/>
      <c r="K568" s="46" t="n"/>
      <c r="L568" s="46" t="n"/>
      <c r="M568" s="41">
        <f>IF($C568="","",SUMPRODUCT((PARAMETRES!$B$38:$B$157=PARAMETRES!$C$29)*(PARAMETRES!$C$38:$C$157=3)*(IF(EMPLOYES!M65="5j",PARAMETRES!$I$38:$I$157,PARAMETRES!$H$38:$H$157))))</f>
        <v/>
      </c>
      <c r="N568" s="41">
        <f>IF($C568="","",SUMPRODUCT((O568:AS568="P")+(O568:AS568="F")+(O568:AS568="C")+0.5*(O568:AS568="D"),(1-((O515:AS515=6)*(EMPLOYES!M65="5j")))))</f>
        <v/>
      </c>
      <c r="O568" s="46" t="n"/>
      <c r="P568" s="46" t="n"/>
      <c r="Q568" s="46" t="n"/>
      <c r="R568" s="46" t="n"/>
      <c r="S568" s="46" t="n"/>
      <c r="T568" s="46" t="n"/>
      <c r="U568" s="46" t="n"/>
      <c r="V568" s="46" t="n"/>
      <c r="W568" s="46" t="n"/>
      <c r="X568" s="46" t="n"/>
      <c r="Y568" s="46" t="n"/>
      <c r="Z568" s="46" t="n"/>
      <c r="AA568" s="46" t="n"/>
      <c r="AB568" s="46" t="n"/>
      <c r="AC568" s="46" t="n"/>
      <c r="AD568" s="46" t="n"/>
      <c r="AE568" s="46" t="n"/>
      <c r="AF568" s="46" t="n"/>
      <c r="AG568" s="46" t="n"/>
      <c r="AH568" s="46" t="n"/>
      <c r="AI568" s="46" t="n"/>
      <c r="AJ568" s="46" t="n"/>
      <c r="AK568" s="46" t="n"/>
      <c r="AL568" s="46" t="n"/>
      <c r="AM568" s="46" t="n"/>
      <c r="AN568" s="46" t="n"/>
      <c r="AO568" s="46" t="n"/>
      <c r="AP568" s="46" t="n"/>
      <c r="AQ568" s="46" t="n"/>
      <c r="AR568" s="46" t="n"/>
      <c r="AS568" s="46" t="n"/>
      <c r="AV568" s="36">
        <f>IF($C568="","",EMPLOYES!M65)</f>
        <v/>
      </c>
      <c r="AW568" s="36">
        <f>IF($C568="",0,SUMPRODUCT(--(O568:AS568="C")))</f>
        <v/>
      </c>
      <c r="AX568" s="36">
        <f>IF($C568="",0,SUMPRODUCT(--(O568:AS568="R")))</f>
        <v/>
      </c>
      <c r="AY568" s="44" t="n"/>
    </row>
    <row r="569" hidden="1" outlineLevel="1" ht="15" customHeight="1" s="15">
      <c r="B569" s="41" t="n">
        <v>3</v>
      </c>
      <c r="C569" s="42">
        <f>IF(EMPLOYES!C66="","",EMPLOYES!C66)</f>
        <v/>
      </c>
      <c r="D569" s="43">
        <f>IF(EMPLOYES!C66="","",EMPLOYES!D66)</f>
        <v/>
      </c>
      <c r="E569" s="44" t="n"/>
      <c r="F569" s="42" t="n"/>
      <c r="G569" s="41">
        <f>IF($C569="",0,MAX(0,$M569-$N569))</f>
        <v/>
      </c>
      <c r="H569" s="45" t="n"/>
      <c r="I569" s="41">
        <f>IF($C569="","",IF(H569="","OK",IF(H569&gt;EMPLOYES!P66,"⚠ Avance &gt; salaire",IF(H569&gt;EMPLOYES!P66*PARAMETRES!$C$218,"⚠ Avance élevée","OK"))))</f>
        <v/>
      </c>
      <c r="J569" s="45" t="n"/>
      <c r="K569" s="46" t="n"/>
      <c r="L569" s="46" t="n"/>
      <c r="M569" s="41">
        <f>IF($C569="","",SUMPRODUCT((PARAMETRES!$B$38:$B$157=PARAMETRES!$C$29)*(PARAMETRES!$C$38:$C$157=3)*(IF(EMPLOYES!M66="5j",PARAMETRES!$I$38:$I$157,PARAMETRES!$H$38:$H$157))))</f>
        <v/>
      </c>
      <c r="N569" s="41">
        <f>IF($C569="","",SUMPRODUCT((O569:AS569="P")+(O569:AS569="F")+(O569:AS569="C")+0.5*(O569:AS569="D"),(1-((O515:AS515=6)*(EMPLOYES!M66="5j")))))</f>
        <v/>
      </c>
      <c r="O569" s="46" t="n"/>
      <c r="P569" s="46" t="n"/>
      <c r="Q569" s="46" t="n"/>
      <c r="R569" s="46" t="n"/>
      <c r="S569" s="46" t="n"/>
      <c r="T569" s="46" t="n"/>
      <c r="U569" s="46" t="n"/>
      <c r="V569" s="46" t="n"/>
      <c r="W569" s="46" t="n"/>
      <c r="X569" s="46" t="n"/>
      <c r="Y569" s="46" t="n"/>
      <c r="Z569" s="46" t="n"/>
      <c r="AA569" s="46" t="n"/>
      <c r="AB569" s="46" t="n"/>
      <c r="AC569" s="46" t="n"/>
      <c r="AD569" s="46" t="n"/>
      <c r="AE569" s="46" t="n"/>
      <c r="AF569" s="46" t="n"/>
      <c r="AG569" s="46" t="n"/>
      <c r="AH569" s="46" t="n"/>
      <c r="AI569" s="46" t="n"/>
      <c r="AJ569" s="46" t="n"/>
      <c r="AK569" s="46" t="n"/>
      <c r="AL569" s="46" t="n"/>
      <c r="AM569" s="46" t="n"/>
      <c r="AN569" s="46" t="n"/>
      <c r="AO569" s="46" t="n"/>
      <c r="AP569" s="46" t="n"/>
      <c r="AQ569" s="46" t="n"/>
      <c r="AR569" s="46" t="n"/>
      <c r="AS569" s="46" t="n"/>
      <c r="AV569" s="36">
        <f>IF($C569="","",EMPLOYES!M66)</f>
        <v/>
      </c>
      <c r="AW569" s="36">
        <f>IF($C569="",0,SUMPRODUCT(--(O569:AS569="C")))</f>
        <v/>
      </c>
      <c r="AX569" s="36">
        <f>IF($C569="",0,SUMPRODUCT(--(O569:AS569="R")))</f>
        <v/>
      </c>
      <c r="AY569" s="44" t="n"/>
    </row>
    <row r="570" hidden="1" outlineLevel="1" ht="15" customHeight="1" s="15">
      <c r="B570" s="41" t="n">
        <v>3</v>
      </c>
      <c r="C570" s="42">
        <f>IF(EMPLOYES!C67="","",EMPLOYES!C67)</f>
        <v/>
      </c>
      <c r="D570" s="43">
        <f>IF(EMPLOYES!C67="","",EMPLOYES!D67)</f>
        <v/>
      </c>
      <c r="E570" s="44" t="n"/>
      <c r="F570" s="42" t="n"/>
      <c r="G570" s="41">
        <f>IF($C570="",0,MAX(0,$M570-$N570))</f>
        <v/>
      </c>
      <c r="H570" s="45" t="n"/>
      <c r="I570" s="41">
        <f>IF($C570="","",IF(H570="","OK",IF(H570&gt;EMPLOYES!P67,"⚠ Avance &gt; salaire",IF(H570&gt;EMPLOYES!P67*PARAMETRES!$C$218,"⚠ Avance élevée","OK"))))</f>
        <v/>
      </c>
      <c r="J570" s="45" t="n"/>
      <c r="K570" s="46" t="n"/>
      <c r="L570" s="46" t="n"/>
      <c r="M570" s="41">
        <f>IF($C570="","",SUMPRODUCT((PARAMETRES!$B$38:$B$157=PARAMETRES!$C$29)*(PARAMETRES!$C$38:$C$157=3)*(IF(EMPLOYES!M67="5j",PARAMETRES!$I$38:$I$157,PARAMETRES!$H$38:$H$157))))</f>
        <v/>
      </c>
      <c r="N570" s="41">
        <f>IF($C570="","",SUMPRODUCT((O570:AS570="P")+(O570:AS570="F")+(O570:AS570="C")+0.5*(O570:AS570="D"),(1-((O515:AS515=6)*(EMPLOYES!M67="5j")))))</f>
        <v/>
      </c>
      <c r="O570" s="46" t="n"/>
      <c r="P570" s="46" t="n"/>
      <c r="Q570" s="46" t="n"/>
      <c r="R570" s="46" t="n"/>
      <c r="S570" s="46" t="n"/>
      <c r="T570" s="46" t="n"/>
      <c r="U570" s="46" t="n"/>
      <c r="V570" s="46" t="n"/>
      <c r="W570" s="46" t="n"/>
      <c r="X570" s="46" t="n"/>
      <c r="Y570" s="46" t="n"/>
      <c r="Z570" s="46" t="n"/>
      <c r="AA570" s="46" t="n"/>
      <c r="AB570" s="46" t="n"/>
      <c r="AC570" s="46" t="n"/>
      <c r="AD570" s="46" t="n"/>
      <c r="AE570" s="46" t="n"/>
      <c r="AF570" s="46" t="n"/>
      <c r="AG570" s="46" t="n"/>
      <c r="AH570" s="46" t="n"/>
      <c r="AI570" s="46" t="n"/>
      <c r="AJ570" s="46" t="n"/>
      <c r="AK570" s="46" t="n"/>
      <c r="AL570" s="46" t="n"/>
      <c r="AM570" s="46" t="n"/>
      <c r="AN570" s="46" t="n"/>
      <c r="AO570" s="46" t="n"/>
      <c r="AP570" s="46" t="n"/>
      <c r="AQ570" s="46" t="n"/>
      <c r="AR570" s="46" t="n"/>
      <c r="AS570" s="46" t="n"/>
      <c r="AV570" s="36">
        <f>IF($C570="","",EMPLOYES!M67)</f>
        <v/>
      </c>
      <c r="AW570" s="36">
        <f>IF($C570="",0,SUMPRODUCT(--(O570:AS570="C")))</f>
        <v/>
      </c>
      <c r="AX570" s="36">
        <f>IF($C570="",0,SUMPRODUCT(--(O570:AS570="R")))</f>
        <v/>
      </c>
      <c r="AY570" s="44" t="n"/>
    </row>
    <row r="571" hidden="1" outlineLevel="1" ht="15" customHeight="1" s="15">
      <c r="B571" s="41" t="n">
        <v>3</v>
      </c>
      <c r="C571" s="42">
        <f>IF(EMPLOYES!C68="","",EMPLOYES!C68)</f>
        <v/>
      </c>
      <c r="D571" s="43">
        <f>IF(EMPLOYES!C68="","",EMPLOYES!D68)</f>
        <v/>
      </c>
      <c r="E571" s="44" t="n"/>
      <c r="F571" s="42" t="n"/>
      <c r="G571" s="41">
        <f>IF($C571="",0,MAX(0,$M571-$N571))</f>
        <v/>
      </c>
      <c r="H571" s="45" t="n"/>
      <c r="I571" s="41">
        <f>IF($C571="","",IF(H571="","OK",IF(H571&gt;EMPLOYES!P68,"⚠ Avance &gt; salaire",IF(H571&gt;EMPLOYES!P68*PARAMETRES!$C$218,"⚠ Avance élevée","OK"))))</f>
        <v/>
      </c>
      <c r="J571" s="45" t="n"/>
      <c r="K571" s="46" t="n"/>
      <c r="L571" s="46" t="n"/>
      <c r="M571" s="41">
        <f>IF($C571="","",SUMPRODUCT((PARAMETRES!$B$38:$B$157=PARAMETRES!$C$29)*(PARAMETRES!$C$38:$C$157=3)*(IF(EMPLOYES!M68="5j",PARAMETRES!$I$38:$I$157,PARAMETRES!$H$38:$H$157))))</f>
        <v/>
      </c>
      <c r="N571" s="41">
        <f>IF($C571="","",SUMPRODUCT((O571:AS571="P")+(O571:AS571="F")+(O571:AS571="C")+0.5*(O571:AS571="D"),(1-((O515:AS515=6)*(EMPLOYES!M68="5j")))))</f>
        <v/>
      </c>
      <c r="O571" s="46" t="n"/>
      <c r="P571" s="46" t="n"/>
      <c r="Q571" s="46" t="n"/>
      <c r="R571" s="46" t="n"/>
      <c r="S571" s="46" t="n"/>
      <c r="T571" s="46" t="n"/>
      <c r="U571" s="46" t="n"/>
      <c r="V571" s="46" t="n"/>
      <c r="W571" s="46" t="n"/>
      <c r="X571" s="46" t="n"/>
      <c r="Y571" s="46" t="n"/>
      <c r="Z571" s="46" t="n"/>
      <c r="AA571" s="46" t="n"/>
      <c r="AB571" s="46" t="n"/>
      <c r="AC571" s="46" t="n"/>
      <c r="AD571" s="46" t="n"/>
      <c r="AE571" s="46" t="n"/>
      <c r="AF571" s="46" t="n"/>
      <c r="AG571" s="46" t="n"/>
      <c r="AH571" s="46" t="n"/>
      <c r="AI571" s="46" t="n"/>
      <c r="AJ571" s="46" t="n"/>
      <c r="AK571" s="46" t="n"/>
      <c r="AL571" s="46" t="n"/>
      <c r="AM571" s="46" t="n"/>
      <c r="AN571" s="46" t="n"/>
      <c r="AO571" s="46" t="n"/>
      <c r="AP571" s="46" t="n"/>
      <c r="AQ571" s="46" t="n"/>
      <c r="AR571" s="46" t="n"/>
      <c r="AS571" s="46" t="n"/>
      <c r="AV571" s="36">
        <f>IF($C571="","",EMPLOYES!M68)</f>
        <v/>
      </c>
      <c r="AW571" s="36">
        <f>IF($C571="",0,SUMPRODUCT(--(O571:AS571="C")))</f>
        <v/>
      </c>
      <c r="AX571" s="36">
        <f>IF($C571="",0,SUMPRODUCT(--(O571:AS571="R")))</f>
        <v/>
      </c>
      <c r="AY571" s="44" t="n"/>
    </row>
    <row r="572" hidden="1" outlineLevel="1" ht="15" customHeight="1" s="15">
      <c r="B572" s="41" t="n">
        <v>3</v>
      </c>
      <c r="C572" s="42">
        <f>IF(EMPLOYES!C69="","",EMPLOYES!C69)</f>
        <v/>
      </c>
      <c r="D572" s="43">
        <f>IF(EMPLOYES!C69="","",EMPLOYES!D69)</f>
        <v/>
      </c>
      <c r="E572" s="44" t="n"/>
      <c r="F572" s="42" t="n"/>
      <c r="G572" s="41">
        <f>IF($C572="",0,MAX(0,$M572-$N572))</f>
        <v/>
      </c>
      <c r="H572" s="45" t="n"/>
      <c r="I572" s="41">
        <f>IF($C572="","",IF(H572="","OK",IF(H572&gt;EMPLOYES!P69,"⚠ Avance &gt; salaire",IF(H572&gt;EMPLOYES!P69*PARAMETRES!$C$218,"⚠ Avance élevée","OK"))))</f>
        <v/>
      </c>
      <c r="J572" s="45" t="n"/>
      <c r="K572" s="46" t="n"/>
      <c r="L572" s="46" t="n"/>
      <c r="M572" s="41">
        <f>IF($C572="","",SUMPRODUCT((PARAMETRES!$B$38:$B$157=PARAMETRES!$C$29)*(PARAMETRES!$C$38:$C$157=3)*(IF(EMPLOYES!M69="5j",PARAMETRES!$I$38:$I$157,PARAMETRES!$H$38:$H$157))))</f>
        <v/>
      </c>
      <c r="N572" s="41">
        <f>IF($C572="","",SUMPRODUCT((O572:AS572="P")+(O572:AS572="F")+(O572:AS572="C")+0.5*(O572:AS572="D"),(1-((O515:AS515=6)*(EMPLOYES!M69="5j")))))</f>
        <v/>
      </c>
      <c r="O572" s="46" t="n"/>
      <c r="P572" s="46" t="n"/>
      <c r="Q572" s="46" t="n"/>
      <c r="R572" s="46" t="n"/>
      <c r="S572" s="46" t="n"/>
      <c r="T572" s="46" t="n"/>
      <c r="U572" s="46" t="n"/>
      <c r="V572" s="46" t="n"/>
      <c r="W572" s="46" t="n"/>
      <c r="X572" s="46" t="n"/>
      <c r="Y572" s="46" t="n"/>
      <c r="Z572" s="46" t="n"/>
      <c r="AA572" s="46" t="n"/>
      <c r="AB572" s="46" t="n"/>
      <c r="AC572" s="46" t="n"/>
      <c r="AD572" s="46" t="n"/>
      <c r="AE572" s="46" t="n"/>
      <c r="AF572" s="46" t="n"/>
      <c r="AG572" s="46" t="n"/>
      <c r="AH572" s="46" t="n"/>
      <c r="AI572" s="46" t="n"/>
      <c r="AJ572" s="46" t="n"/>
      <c r="AK572" s="46" t="n"/>
      <c r="AL572" s="46" t="n"/>
      <c r="AM572" s="46" t="n"/>
      <c r="AN572" s="46" t="n"/>
      <c r="AO572" s="46" t="n"/>
      <c r="AP572" s="46" t="n"/>
      <c r="AQ572" s="46" t="n"/>
      <c r="AR572" s="46" t="n"/>
      <c r="AS572" s="46" t="n"/>
      <c r="AV572" s="36">
        <f>IF($C572="","",EMPLOYES!M69)</f>
        <v/>
      </c>
      <c r="AW572" s="36">
        <f>IF($C572="",0,SUMPRODUCT(--(O572:AS572="C")))</f>
        <v/>
      </c>
      <c r="AX572" s="36">
        <f>IF($C572="",0,SUMPRODUCT(--(O572:AS572="R")))</f>
        <v/>
      </c>
      <c r="AY572" s="44" t="n"/>
    </row>
    <row r="573" hidden="1" outlineLevel="1" ht="15" customHeight="1" s="15">
      <c r="B573" s="41" t="n">
        <v>3</v>
      </c>
      <c r="C573" s="42">
        <f>IF(EMPLOYES!C70="","",EMPLOYES!C70)</f>
        <v/>
      </c>
      <c r="D573" s="43">
        <f>IF(EMPLOYES!C70="","",EMPLOYES!D70)</f>
        <v/>
      </c>
      <c r="E573" s="44" t="n"/>
      <c r="F573" s="42" t="n"/>
      <c r="G573" s="41">
        <f>IF($C573="",0,MAX(0,$M573-$N573))</f>
        <v/>
      </c>
      <c r="H573" s="45" t="n"/>
      <c r="I573" s="41">
        <f>IF($C573="","",IF(H573="","OK",IF(H573&gt;EMPLOYES!P70,"⚠ Avance &gt; salaire",IF(H573&gt;EMPLOYES!P70*PARAMETRES!$C$218,"⚠ Avance élevée","OK"))))</f>
        <v/>
      </c>
      <c r="J573" s="45" t="n"/>
      <c r="K573" s="46" t="n"/>
      <c r="L573" s="46" t="n"/>
      <c r="M573" s="41">
        <f>IF($C573="","",SUMPRODUCT((PARAMETRES!$B$38:$B$157=PARAMETRES!$C$29)*(PARAMETRES!$C$38:$C$157=3)*(IF(EMPLOYES!M70="5j",PARAMETRES!$I$38:$I$157,PARAMETRES!$H$38:$H$157))))</f>
        <v/>
      </c>
      <c r="N573" s="41">
        <f>IF($C573="","",SUMPRODUCT((O573:AS573="P")+(O573:AS573="F")+(O573:AS573="C")+0.5*(O573:AS573="D"),(1-((O515:AS515=6)*(EMPLOYES!M70="5j")))))</f>
        <v/>
      </c>
      <c r="O573" s="46" t="n"/>
      <c r="P573" s="46" t="n"/>
      <c r="Q573" s="46" t="n"/>
      <c r="R573" s="46" t="n"/>
      <c r="S573" s="46" t="n"/>
      <c r="T573" s="46" t="n"/>
      <c r="U573" s="46" t="n"/>
      <c r="V573" s="46" t="n"/>
      <c r="W573" s="46" t="n"/>
      <c r="X573" s="46" t="n"/>
      <c r="Y573" s="46" t="n"/>
      <c r="Z573" s="46" t="n"/>
      <c r="AA573" s="46" t="n"/>
      <c r="AB573" s="46" t="n"/>
      <c r="AC573" s="46" t="n"/>
      <c r="AD573" s="46" t="n"/>
      <c r="AE573" s="46" t="n"/>
      <c r="AF573" s="46" t="n"/>
      <c r="AG573" s="46" t="n"/>
      <c r="AH573" s="46" t="n"/>
      <c r="AI573" s="46" t="n"/>
      <c r="AJ573" s="46" t="n"/>
      <c r="AK573" s="46" t="n"/>
      <c r="AL573" s="46" t="n"/>
      <c r="AM573" s="46" t="n"/>
      <c r="AN573" s="46" t="n"/>
      <c r="AO573" s="46" t="n"/>
      <c r="AP573" s="46" t="n"/>
      <c r="AQ573" s="46" t="n"/>
      <c r="AR573" s="46" t="n"/>
      <c r="AS573" s="46" t="n"/>
      <c r="AV573" s="36">
        <f>IF($C573="","",EMPLOYES!M70)</f>
        <v/>
      </c>
      <c r="AW573" s="36">
        <f>IF($C573="",0,SUMPRODUCT(--(O573:AS573="C")))</f>
        <v/>
      </c>
      <c r="AX573" s="36">
        <f>IF($C573="",0,SUMPRODUCT(--(O573:AS573="R")))</f>
        <v/>
      </c>
      <c r="AY573" s="44" t="n"/>
    </row>
    <row r="574" hidden="1" outlineLevel="1" ht="15" customHeight="1" s="15">
      <c r="B574" s="41" t="n">
        <v>3</v>
      </c>
      <c r="C574" s="42">
        <f>IF(EMPLOYES!C71="","",EMPLOYES!C71)</f>
        <v/>
      </c>
      <c r="D574" s="43">
        <f>IF(EMPLOYES!C71="","",EMPLOYES!D71)</f>
        <v/>
      </c>
      <c r="E574" s="44" t="n"/>
      <c r="F574" s="42" t="n"/>
      <c r="G574" s="41">
        <f>IF($C574="",0,MAX(0,$M574-$N574))</f>
        <v/>
      </c>
      <c r="H574" s="45" t="n"/>
      <c r="I574" s="41">
        <f>IF($C574="","",IF(H574="","OK",IF(H574&gt;EMPLOYES!P71,"⚠ Avance &gt; salaire",IF(H574&gt;EMPLOYES!P71*PARAMETRES!$C$218,"⚠ Avance élevée","OK"))))</f>
        <v/>
      </c>
      <c r="J574" s="45" t="n"/>
      <c r="K574" s="46" t="n"/>
      <c r="L574" s="46" t="n"/>
      <c r="M574" s="41">
        <f>IF($C574="","",SUMPRODUCT((PARAMETRES!$B$38:$B$157=PARAMETRES!$C$29)*(PARAMETRES!$C$38:$C$157=3)*(IF(EMPLOYES!M71="5j",PARAMETRES!$I$38:$I$157,PARAMETRES!$H$38:$H$157))))</f>
        <v/>
      </c>
      <c r="N574" s="41">
        <f>IF($C574="","",SUMPRODUCT((O574:AS574="P")+(O574:AS574="F")+(O574:AS574="C")+0.5*(O574:AS574="D"),(1-((O515:AS515=6)*(EMPLOYES!M71="5j")))))</f>
        <v/>
      </c>
      <c r="O574" s="46" t="n"/>
      <c r="P574" s="46" t="n"/>
      <c r="Q574" s="46" t="n"/>
      <c r="R574" s="46" t="n"/>
      <c r="S574" s="46" t="n"/>
      <c r="T574" s="46" t="n"/>
      <c r="U574" s="46" t="n"/>
      <c r="V574" s="46" t="n"/>
      <c r="W574" s="46" t="n"/>
      <c r="X574" s="46" t="n"/>
      <c r="Y574" s="46" t="n"/>
      <c r="Z574" s="46" t="n"/>
      <c r="AA574" s="46" t="n"/>
      <c r="AB574" s="46" t="n"/>
      <c r="AC574" s="46" t="n"/>
      <c r="AD574" s="46" t="n"/>
      <c r="AE574" s="46" t="n"/>
      <c r="AF574" s="46" t="n"/>
      <c r="AG574" s="46" t="n"/>
      <c r="AH574" s="46" t="n"/>
      <c r="AI574" s="46" t="n"/>
      <c r="AJ574" s="46" t="n"/>
      <c r="AK574" s="46" t="n"/>
      <c r="AL574" s="46" t="n"/>
      <c r="AM574" s="46" t="n"/>
      <c r="AN574" s="46" t="n"/>
      <c r="AO574" s="46" t="n"/>
      <c r="AP574" s="46" t="n"/>
      <c r="AQ574" s="46" t="n"/>
      <c r="AR574" s="46" t="n"/>
      <c r="AS574" s="46" t="n"/>
      <c r="AV574" s="36">
        <f>IF($C574="","",EMPLOYES!M71)</f>
        <v/>
      </c>
      <c r="AW574" s="36">
        <f>IF($C574="",0,SUMPRODUCT(--(O574:AS574="C")))</f>
        <v/>
      </c>
      <c r="AX574" s="36">
        <f>IF($C574="",0,SUMPRODUCT(--(O574:AS574="R")))</f>
        <v/>
      </c>
      <c r="AY574" s="44" t="n"/>
    </row>
    <row r="575" hidden="1" outlineLevel="1" ht="15" customHeight="1" s="15">
      <c r="B575" s="41" t="n">
        <v>3</v>
      </c>
      <c r="C575" s="42">
        <f>IF(EMPLOYES!C72="","",EMPLOYES!C72)</f>
        <v/>
      </c>
      <c r="D575" s="43">
        <f>IF(EMPLOYES!C72="","",EMPLOYES!D72)</f>
        <v/>
      </c>
      <c r="E575" s="44" t="n"/>
      <c r="F575" s="42" t="n"/>
      <c r="G575" s="41">
        <f>IF($C575="",0,MAX(0,$M575-$N575))</f>
        <v/>
      </c>
      <c r="H575" s="45" t="n"/>
      <c r="I575" s="41">
        <f>IF($C575="","",IF(H575="","OK",IF(H575&gt;EMPLOYES!P72,"⚠ Avance &gt; salaire",IF(H575&gt;EMPLOYES!P72*PARAMETRES!$C$218,"⚠ Avance élevée","OK"))))</f>
        <v/>
      </c>
      <c r="J575" s="45" t="n"/>
      <c r="K575" s="46" t="n"/>
      <c r="L575" s="46" t="n"/>
      <c r="M575" s="41">
        <f>IF($C575="","",SUMPRODUCT((PARAMETRES!$B$38:$B$157=PARAMETRES!$C$29)*(PARAMETRES!$C$38:$C$157=3)*(IF(EMPLOYES!M72="5j",PARAMETRES!$I$38:$I$157,PARAMETRES!$H$38:$H$157))))</f>
        <v/>
      </c>
      <c r="N575" s="41">
        <f>IF($C575="","",SUMPRODUCT((O575:AS575="P")+(O575:AS575="F")+(O575:AS575="C")+0.5*(O575:AS575="D"),(1-((O515:AS515=6)*(EMPLOYES!M72="5j")))))</f>
        <v/>
      </c>
      <c r="O575" s="46" t="n"/>
      <c r="P575" s="46" t="n"/>
      <c r="Q575" s="46" t="n"/>
      <c r="R575" s="46" t="n"/>
      <c r="S575" s="46" t="n"/>
      <c r="T575" s="46" t="n"/>
      <c r="U575" s="46" t="n"/>
      <c r="V575" s="46" t="n"/>
      <c r="W575" s="46" t="n"/>
      <c r="X575" s="46" t="n"/>
      <c r="Y575" s="46" t="n"/>
      <c r="Z575" s="46" t="n"/>
      <c r="AA575" s="46" t="n"/>
      <c r="AB575" s="46" t="n"/>
      <c r="AC575" s="46" t="n"/>
      <c r="AD575" s="46" t="n"/>
      <c r="AE575" s="46" t="n"/>
      <c r="AF575" s="46" t="n"/>
      <c r="AG575" s="46" t="n"/>
      <c r="AH575" s="46" t="n"/>
      <c r="AI575" s="46" t="n"/>
      <c r="AJ575" s="46" t="n"/>
      <c r="AK575" s="46" t="n"/>
      <c r="AL575" s="46" t="n"/>
      <c r="AM575" s="46" t="n"/>
      <c r="AN575" s="46" t="n"/>
      <c r="AO575" s="46" t="n"/>
      <c r="AP575" s="46" t="n"/>
      <c r="AQ575" s="46" t="n"/>
      <c r="AR575" s="46" t="n"/>
      <c r="AS575" s="46" t="n"/>
      <c r="AV575" s="36">
        <f>IF($C575="","",EMPLOYES!M72)</f>
        <v/>
      </c>
      <c r="AW575" s="36">
        <f>IF($C575="",0,SUMPRODUCT(--(O575:AS575="C")))</f>
        <v/>
      </c>
      <c r="AX575" s="36">
        <f>IF($C575="",0,SUMPRODUCT(--(O575:AS575="R")))</f>
        <v/>
      </c>
      <c r="AY575" s="44" t="n"/>
    </row>
    <row r="576" hidden="1" outlineLevel="1" ht="15" customHeight="1" s="15">
      <c r="B576" s="41" t="n">
        <v>3</v>
      </c>
      <c r="C576" s="42">
        <f>IF(EMPLOYES!C73="","",EMPLOYES!C73)</f>
        <v/>
      </c>
      <c r="D576" s="43">
        <f>IF(EMPLOYES!C73="","",EMPLOYES!D73)</f>
        <v/>
      </c>
      <c r="E576" s="44" t="n"/>
      <c r="F576" s="42" t="n"/>
      <c r="G576" s="41">
        <f>IF($C576="",0,MAX(0,$M576-$N576))</f>
        <v/>
      </c>
      <c r="H576" s="45" t="n"/>
      <c r="I576" s="41">
        <f>IF($C576="","",IF(H576="","OK",IF(H576&gt;EMPLOYES!P73,"⚠ Avance &gt; salaire",IF(H576&gt;EMPLOYES!P73*PARAMETRES!$C$218,"⚠ Avance élevée","OK"))))</f>
        <v/>
      </c>
      <c r="J576" s="45" t="n"/>
      <c r="K576" s="46" t="n"/>
      <c r="L576" s="46" t="n"/>
      <c r="M576" s="41">
        <f>IF($C576="","",SUMPRODUCT((PARAMETRES!$B$38:$B$157=PARAMETRES!$C$29)*(PARAMETRES!$C$38:$C$157=3)*(IF(EMPLOYES!M73="5j",PARAMETRES!$I$38:$I$157,PARAMETRES!$H$38:$H$157))))</f>
        <v/>
      </c>
      <c r="N576" s="41">
        <f>IF($C576="","",SUMPRODUCT((O576:AS576="P")+(O576:AS576="F")+(O576:AS576="C")+0.5*(O576:AS576="D"),(1-((O515:AS515=6)*(EMPLOYES!M73="5j")))))</f>
        <v/>
      </c>
      <c r="O576" s="46" t="n"/>
      <c r="P576" s="46" t="n"/>
      <c r="Q576" s="46" t="n"/>
      <c r="R576" s="46" t="n"/>
      <c r="S576" s="46" t="n"/>
      <c r="T576" s="46" t="n"/>
      <c r="U576" s="46" t="n"/>
      <c r="V576" s="46" t="n"/>
      <c r="W576" s="46" t="n"/>
      <c r="X576" s="46" t="n"/>
      <c r="Y576" s="46" t="n"/>
      <c r="Z576" s="46" t="n"/>
      <c r="AA576" s="46" t="n"/>
      <c r="AB576" s="46" t="n"/>
      <c r="AC576" s="46" t="n"/>
      <c r="AD576" s="46" t="n"/>
      <c r="AE576" s="46" t="n"/>
      <c r="AF576" s="46" t="n"/>
      <c r="AG576" s="46" t="n"/>
      <c r="AH576" s="46" t="n"/>
      <c r="AI576" s="46" t="n"/>
      <c r="AJ576" s="46" t="n"/>
      <c r="AK576" s="46" t="n"/>
      <c r="AL576" s="46" t="n"/>
      <c r="AM576" s="46" t="n"/>
      <c r="AN576" s="46" t="n"/>
      <c r="AO576" s="46" t="n"/>
      <c r="AP576" s="46" t="n"/>
      <c r="AQ576" s="46" t="n"/>
      <c r="AR576" s="46" t="n"/>
      <c r="AS576" s="46" t="n"/>
      <c r="AV576" s="36">
        <f>IF($C576="","",EMPLOYES!M73)</f>
        <v/>
      </c>
      <c r="AW576" s="36">
        <f>IF($C576="",0,SUMPRODUCT(--(O576:AS576="C")))</f>
        <v/>
      </c>
      <c r="AX576" s="36">
        <f>IF($C576="",0,SUMPRODUCT(--(O576:AS576="R")))</f>
        <v/>
      </c>
      <c r="AY576" s="44" t="n"/>
    </row>
    <row r="577" hidden="1" outlineLevel="1" ht="15" customHeight="1" s="15">
      <c r="B577" s="41" t="n">
        <v>3</v>
      </c>
      <c r="C577" s="42">
        <f>IF(EMPLOYES!C74="","",EMPLOYES!C74)</f>
        <v/>
      </c>
      <c r="D577" s="43">
        <f>IF(EMPLOYES!C74="","",EMPLOYES!D74)</f>
        <v/>
      </c>
      <c r="E577" s="44" t="n"/>
      <c r="F577" s="42" t="n"/>
      <c r="G577" s="41">
        <f>IF($C577="",0,MAX(0,$M577-$N577))</f>
        <v/>
      </c>
      <c r="H577" s="45" t="n"/>
      <c r="I577" s="41">
        <f>IF($C577="","",IF(H577="","OK",IF(H577&gt;EMPLOYES!P74,"⚠ Avance &gt; salaire",IF(H577&gt;EMPLOYES!P74*PARAMETRES!$C$218,"⚠ Avance élevée","OK"))))</f>
        <v/>
      </c>
      <c r="J577" s="45" t="n"/>
      <c r="K577" s="46" t="n"/>
      <c r="L577" s="46" t="n"/>
      <c r="M577" s="41">
        <f>IF($C577="","",SUMPRODUCT((PARAMETRES!$B$38:$B$157=PARAMETRES!$C$29)*(PARAMETRES!$C$38:$C$157=3)*(IF(EMPLOYES!M74="5j",PARAMETRES!$I$38:$I$157,PARAMETRES!$H$38:$H$157))))</f>
        <v/>
      </c>
      <c r="N577" s="41">
        <f>IF($C577="","",SUMPRODUCT((O577:AS577="P")+(O577:AS577="F")+(O577:AS577="C")+0.5*(O577:AS577="D"),(1-((O515:AS515=6)*(EMPLOYES!M74="5j")))))</f>
        <v/>
      </c>
      <c r="O577" s="46" t="n"/>
      <c r="P577" s="46" t="n"/>
      <c r="Q577" s="46" t="n"/>
      <c r="R577" s="46" t="n"/>
      <c r="S577" s="46" t="n"/>
      <c r="T577" s="46" t="n"/>
      <c r="U577" s="46" t="n"/>
      <c r="V577" s="46" t="n"/>
      <c r="W577" s="46" t="n"/>
      <c r="X577" s="46" t="n"/>
      <c r="Y577" s="46" t="n"/>
      <c r="Z577" s="46" t="n"/>
      <c r="AA577" s="46" t="n"/>
      <c r="AB577" s="46" t="n"/>
      <c r="AC577" s="46" t="n"/>
      <c r="AD577" s="46" t="n"/>
      <c r="AE577" s="46" t="n"/>
      <c r="AF577" s="46" t="n"/>
      <c r="AG577" s="46" t="n"/>
      <c r="AH577" s="46" t="n"/>
      <c r="AI577" s="46" t="n"/>
      <c r="AJ577" s="46" t="n"/>
      <c r="AK577" s="46" t="n"/>
      <c r="AL577" s="46" t="n"/>
      <c r="AM577" s="46" t="n"/>
      <c r="AN577" s="46" t="n"/>
      <c r="AO577" s="46" t="n"/>
      <c r="AP577" s="46" t="n"/>
      <c r="AQ577" s="46" t="n"/>
      <c r="AR577" s="46" t="n"/>
      <c r="AS577" s="46" t="n"/>
      <c r="AV577" s="36">
        <f>IF($C577="","",EMPLOYES!M74)</f>
        <v/>
      </c>
      <c r="AW577" s="36">
        <f>IF($C577="",0,SUMPRODUCT(--(O577:AS577="C")))</f>
        <v/>
      </c>
      <c r="AX577" s="36">
        <f>IF($C577="",0,SUMPRODUCT(--(O577:AS577="R")))</f>
        <v/>
      </c>
      <c r="AY577" s="44" t="n"/>
    </row>
    <row r="578" hidden="1" ht="15" customHeight="1" s="15">
      <c r="B578" s="36" t="inlineStr">
        <is>
          <t>Jour sem. (réf. grisage)</t>
        </is>
      </c>
      <c r="O578" s="37">
        <f>IF(1&gt;DAY(EOMONTH(DATE(PARAMETRES!$C$29,3,1),0)),"",WEEKDAY(DATE(PARAMETRES!$C$29,3,1),2))</f>
        <v/>
      </c>
      <c r="P578" s="37">
        <f>IF(2&gt;DAY(EOMONTH(DATE(PARAMETRES!$C$29,3,1),0)),"",WEEKDAY(DATE(PARAMETRES!$C$29,3,2),2))</f>
        <v/>
      </c>
      <c r="Q578" s="37">
        <f>IF(3&gt;DAY(EOMONTH(DATE(PARAMETRES!$C$29,3,1),0)),"",WEEKDAY(DATE(PARAMETRES!$C$29,3,3),2))</f>
        <v/>
      </c>
      <c r="R578" s="37">
        <f>IF(4&gt;DAY(EOMONTH(DATE(PARAMETRES!$C$29,3,1),0)),"",WEEKDAY(DATE(PARAMETRES!$C$29,3,4),2))</f>
        <v/>
      </c>
      <c r="S578" s="37">
        <f>IF(5&gt;DAY(EOMONTH(DATE(PARAMETRES!$C$29,3,1),0)),"",WEEKDAY(DATE(PARAMETRES!$C$29,3,5),2))</f>
        <v/>
      </c>
      <c r="T578" s="37">
        <f>IF(6&gt;DAY(EOMONTH(DATE(PARAMETRES!$C$29,3,1),0)),"",WEEKDAY(DATE(PARAMETRES!$C$29,3,6),2))</f>
        <v/>
      </c>
      <c r="U578" s="37">
        <f>IF(7&gt;DAY(EOMONTH(DATE(PARAMETRES!$C$29,3,1),0)),"",WEEKDAY(DATE(PARAMETRES!$C$29,3,7),2))</f>
        <v/>
      </c>
      <c r="V578" s="37">
        <f>IF(8&gt;DAY(EOMONTH(DATE(PARAMETRES!$C$29,3,1),0)),"",WEEKDAY(DATE(PARAMETRES!$C$29,3,8),2))</f>
        <v/>
      </c>
      <c r="W578" s="37">
        <f>IF(9&gt;DAY(EOMONTH(DATE(PARAMETRES!$C$29,3,1),0)),"",WEEKDAY(DATE(PARAMETRES!$C$29,3,9),2))</f>
        <v/>
      </c>
      <c r="X578" s="37">
        <f>IF(10&gt;DAY(EOMONTH(DATE(PARAMETRES!$C$29,3,1),0)),"",WEEKDAY(DATE(PARAMETRES!$C$29,3,10),2))</f>
        <v/>
      </c>
      <c r="Y578" s="37">
        <f>IF(11&gt;DAY(EOMONTH(DATE(PARAMETRES!$C$29,3,1),0)),"",WEEKDAY(DATE(PARAMETRES!$C$29,3,11),2))</f>
        <v/>
      </c>
      <c r="Z578" s="37">
        <f>IF(12&gt;DAY(EOMONTH(DATE(PARAMETRES!$C$29,3,1),0)),"",WEEKDAY(DATE(PARAMETRES!$C$29,3,12),2))</f>
        <v/>
      </c>
      <c r="AA578" s="37">
        <f>IF(13&gt;DAY(EOMONTH(DATE(PARAMETRES!$C$29,3,1),0)),"",WEEKDAY(DATE(PARAMETRES!$C$29,3,13),2))</f>
        <v/>
      </c>
      <c r="AB578" s="37">
        <f>IF(14&gt;DAY(EOMONTH(DATE(PARAMETRES!$C$29,3,1),0)),"",WEEKDAY(DATE(PARAMETRES!$C$29,3,14),2))</f>
        <v/>
      </c>
      <c r="AC578" s="37">
        <f>IF(15&gt;DAY(EOMONTH(DATE(PARAMETRES!$C$29,3,1),0)),"",WEEKDAY(DATE(PARAMETRES!$C$29,3,15),2))</f>
        <v/>
      </c>
      <c r="AD578" s="37">
        <f>IF(16&gt;DAY(EOMONTH(DATE(PARAMETRES!$C$29,3,1),0)),"",WEEKDAY(DATE(PARAMETRES!$C$29,3,16),2))</f>
        <v/>
      </c>
      <c r="AE578" s="37">
        <f>IF(17&gt;DAY(EOMONTH(DATE(PARAMETRES!$C$29,3,1),0)),"",WEEKDAY(DATE(PARAMETRES!$C$29,3,17),2))</f>
        <v/>
      </c>
      <c r="AF578" s="37">
        <f>IF(18&gt;DAY(EOMONTH(DATE(PARAMETRES!$C$29,3,1),0)),"",WEEKDAY(DATE(PARAMETRES!$C$29,3,18),2))</f>
        <v/>
      </c>
      <c r="AG578" s="37">
        <f>IF(19&gt;DAY(EOMONTH(DATE(PARAMETRES!$C$29,3,1),0)),"",WEEKDAY(DATE(PARAMETRES!$C$29,3,19),2))</f>
        <v/>
      </c>
      <c r="AH578" s="37">
        <f>IF(20&gt;DAY(EOMONTH(DATE(PARAMETRES!$C$29,3,1),0)),"",WEEKDAY(DATE(PARAMETRES!$C$29,3,20),2))</f>
        <v/>
      </c>
      <c r="AI578" s="37">
        <f>IF(21&gt;DAY(EOMONTH(DATE(PARAMETRES!$C$29,3,1),0)),"",WEEKDAY(DATE(PARAMETRES!$C$29,3,21),2))</f>
        <v/>
      </c>
      <c r="AJ578" s="37">
        <f>IF(22&gt;DAY(EOMONTH(DATE(PARAMETRES!$C$29,3,1),0)),"",WEEKDAY(DATE(PARAMETRES!$C$29,3,22),2))</f>
        <v/>
      </c>
      <c r="AK578" s="37">
        <f>IF(23&gt;DAY(EOMONTH(DATE(PARAMETRES!$C$29,3,1),0)),"",WEEKDAY(DATE(PARAMETRES!$C$29,3,23),2))</f>
        <v/>
      </c>
      <c r="AL578" s="37">
        <f>IF(24&gt;DAY(EOMONTH(DATE(PARAMETRES!$C$29,3,1),0)),"",WEEKDAY(DATE(PARAMETRES!$C$29,3,24),2))</f>
        <v/>
      </c>
      <c r="AM578" s="37">
        <f>IF(25&gt;DAY(EOMONTH(DATE(PARAMETRES!$C$29,3,1),0)),"",WEEKDAY(DATE(PARAMETRES!$C$29,3,25),2))</f>
        <v/>
      </c>
      <c r="AN578" s="37">
        <f>IF(26&gt;DAY(EOMONTH(DATE(PARAMETRES!$C$29,3,1),0)),"",WEEKDAY(DATE(PARAMETRES!$C$29,3,26),2))</f>
        <v/>
      </c>
      <c r="AO578" s="37">
        <f>IF(27&gt;DAY(EOMONTH(DATE(PARAMETRES!$C$29,3,1),0)),"",WEEKDAY(DATE(PARAMETRES!$C$29,3,27),2))</f>
        <v/>
      </c>
      <c r="AP578" s="37">
        <f>IF(28&gt;DAY(EOMONTH(DATE(PARAMETRES!$C$29,3,1),0)),"",WEEKDAY(DATE(PARAMETRES!$C$29,3,28),2))</f>
        <v/>
      </c>
      <c r="AQ578" s="37">
        <f>IF(29&gt;DAY(EOMONTH(DATE(PARAMETRES!$C$29,3,1),0)),"",WEEKDAY(DATE(PARAMETRES!$C$29,3,29),2))</f>
        <v/>
      </c>
      <c r="AR578" s="37">
        <f>IF(30&gt;DAY(EOMONTH(DATE(PARAMETRES!$C$29,3,1),0)),"",WEEKDAY(DATE(PARAMETRES!$C$29,3,30),2))</f>
        <v/>
      </c>
      <c r="AS578" s="37">
        <f>IF(31&gt;DAY(EOMONTH(DATE(PARAMETRES!$C$29,3,1),0)),"",WEEKDAY(DATE(PARAMETRES!$C$29,3,31),2))</f>
        <v/>
      </c>
    </row>
    <row r="579" hidden="1" outlineLevel="1" ht="15" customHeight="1" s="15">
      <c r="AT579" s="36">
        <f>IF(OR(O515="",O515=7),"","P")</f>
        <v/>
      </c>
      <c r="AU579" s="36">
        <f>IF(OR(O515="",O515&gt;=6),"","P")</f>
        <v/>
      </c>
    </row>
    <row r="580" hidden="1" outlineLevel="1" ht="15" customHeight="1" s="15">
      <c r="AT580" s="36">
        <f>IF(OR(O515="",O515=7),"","D")</f>
        <v/>
      </c>
      <c r="AU580" s="36">
        <f>IF(OR(O515="",O515&gt;=6),"","D")</f>
        <v/>
      </c>
    </row>
    <row r="581" hidden="1" outlineLevel="1" ht="15" customHeight="1" s="15">
      <c r="AT581" s="36">
        <f>IF(OR(O515="",O515=7),"","A")</f>
        <v/>
      </c>
      <c r="AU581" s="36">
        <f>IF(OR(O515="",O515&gt;=6),"","A")</f>
        <v/>
      </c>
    </row>
    <row r="582" hidden="1" outlineLevel="1" ht="15" customHeight="1" s="15">
      <c r="AT582" s="36">
        <f>IF(OR(O515="",O515=7),"","F")</f>
        <v/>
      </c>
      <c r="AU582" s="36">
        <f>IF(OR(O515="",O515&gt;=6),"","F")</f>
        <v/>
      </c>
    </row>
    <row r="583" hidden="1" outlineLevel="1" ht="15" customHeight="1" s="15">
      <c r="AT583" s="36">
        <f>IF(OR(O515="",O515=7),"","C")</f>
        <v/>
      </c>
      <c r="AU583" s="36">
        <f>IF(OR(O515="",O515&gt;=6),"","C")</f>
        <v/>
      </c>
    </row>
    <row r="584" hidden="1" outlineLevel="1" ht="15" customHeight="1" s="15">
      <c r="AT584" s="36">
        <f>IF(AND(O515&lt;&gt;"",O515=7),"R","")</f>
        <v/>
      </c>
      <c r="AU584" s="36">
        <f>IF(AND(O515&lt;&gt;"",O515&gt;=6),"R","")</f>
        <v/>
      </c>
    </row>
    <row r="585" hidden="1" outlineLevel="1" ht="15" customHeight="1" s="15">
      <c r="AT585" s="36">
        <f>IF(OR(P515="",P515=7),"","P")</f>
        <v/>
      </c>
      <c r="AU585" s="36">
        <f>IF(OR(P515="",P515&gt;=6),"","P")</f>
        <v/>
      </c>
    </row>
    <row r="586" hidden="1" outlineLevel="1" ht="15" customHeight="1" s="15">
      <c r="AT586" s="36">
        <f>IF(OR(P515="",P515=7),"","D")</f>
        <v/>
      </c>
      <c r="AU586" s="36">
        <f>IF(OR(P515="",P515&gt;=6),"","D")</f>
        <v/>
      </c>
    </row>
    <row r="587" hidden="1" outlineLevel="1" ht="15" customHeight="1" s="15">
      <c r="AT587" s="36">
        <f>IF(OR(P515="",P515=7),"","A")</f>
        <v/>
      </c>
      <c r="AU587" s="36">
        <f>IF(OR(P515="",P515&gt;=6),"","A")</f>
        <v/>
      </c>
    </row>
    <row r="588" hidden="1" outlineLevel="1" ht="15" customHeight="1" s="15">
      <c r="AT588" s="36">
        <f>IF(OR(P515="",P515=7),"","F")</f>
        <v/>
      </c>
      <c r="AU588" s="36">
        <f>IF(OR(P515="",P515&gt;=6),"","F")</f>
        <v/>
      </c>
    </row>
    <row r="589" hidden="1" outlineLevel="1" ht="15" customHeight="1" s="15">
      <c r="AT589" s="36">
        <f>IF(OR(P515="",P515=7),"","C")</f>
        <v/>
      </c>
      <c r="AU589" s="36">
        <f>IF(OR(P515="",P515&gt;=6),"","C")</f>
        <v/>
      </c>
    </row>
    <row r="590" hidden="1" outlineLevel="1" ht="15" customHeight="1" s="15">
      <c r="AT590" s="36">
        <f>IF(AND(P515&lt;&gt;"",P515=7),"R","")</f>
        <v/>
      </c>
      <c r="AU590" s="36">
        <f>IF(AND(P515&lt;&gt;"",P515&gt;=6),"R","")</f>
        <v/>
      </c>
    </row>
    <row r="591" hidden="1" outlineLevel="1" ht="15" customHeight="1" s="15">
      <c r="AT591" s="36">
        <f>IF(OR(Q515="",Q515=7),"","P")</f>
        <v/>
      </c>
      <c r="AU591" s="36">
        <f>IF(OR(Q515="",Q515&gt;=6),"","P")</f>
        <v/>
      </c>
    </row>
    <row r="592" hidden="1" outlineLevel="1" ht="15" customHeight="1" s="15">
      <c r="AT592" s="36">
        <f>IF(OR(Q515="",Q515=7),"","D")</f>
        <v/>
      </c>
      <c r="AU592" s="36">
        <f>IF(OR(Q515="",Q515&gt;=6),"","D")</f>
        <v/>
      </c>
    </row>
    <row r="593" hidden="1" outlineLevel="1" ht="15" customHeight="1" s="15">
      <c r="AT593" s="36">
        <f>IF(OR(Q515="",Q515=7),"","A")</f>
        <v/>
      </c>
      <c r="AU593" s="36">
        <f>IF(OR(Q515="",Q515&gt;=6),"","A")</f>
        <v/>
      </c>
    </row>
    <row r="594" hidden="1" outlineLevel="1" ht="15" customHeight="1" s="15">
      <c r="AT594" s="36">
        <f>IF(OR(Q515="",Q515=7),"","F")</f>
        <v/>
      </c>
      <c r="AU594" s="36">
        <f>IF(OR(Q515="",Q515&gt;=6),"","F")</f>
        <v/>
      </c>
    </row>
    <row r="595" hidden="1" outlineLevel="1" ht="15" customHeight="1" s="15">
      <c r="AT595" s="36">
        <f>IF(OR(Q515="",Q515=7),"","C")</f>
        <v/>
      </c>
      <c r="AU595" s="36">
        <f>IF(OR(Q515="",Q515&gt;=6),"","C")</f>
        <v/>
      </c>
    </row>
    <row r="596" hidden="1" outlineLevel="1" ht="15" customHeight="1" s="15">
      <c r="AT596" s="36">
        <f>IF(AND(Q515&lt;&gt;"",Q515=7),"R","")</f>
        <v/>
      </c>
      <c r="AU596" s="36">
        <f>IF(AND(Q515&lt;&gt;"",Q515&gt;=6),"R","")</f>
        <v/>
      </c>
    </row>
    <row r="597" hidden="1" outlineLevel="1" ht="15" customHeight="1" s="15">
      <c r="AT597" s="36">
        <f>IF(OR(R515="",R515=7),"","P")</f>
        <v/>
      </c>
      <c r="AU597" s="36">
        <f>IF(OR(R515="",R515&gt;=6),"","P")</f>
        <v/>
      </c>
    </row>
    <row r="598" hidden="1" outlineLevel="1" ht="15" customHeight="1" s="15">
      <c r="AT598" s="36">
        <f>IF(OR(R515="",R515=7),"","D")</f>
        <v/>
      </c>
      <c r="AU598" s="36">
        <f>IF(OR(R515="",R515&gt;=6),"","D")</f>
        <v/>
      </c>
    </row>
    <row r="599" hidden="1" outlineLevel="1" ht="15" customHeight="1" s="15">
      <c r="AT599" s="36">
        <f>IF(OR(R515="",R515=7),"","A")</f>
        <v/>
      </c>
      <c r="AU599" s="36">
        <f>IF(OR(R515="",R515&gt;=6),"","A")</f>
        <v/>
      </c>
    </row>
    <row r="600" hidden="1" outlineLevel="1" ht="15" customHeight="1" s="15">
      <c r="AT600" s="36">
        <f>IF(OR(R515="",R515=7),"","F")</f>
        <v/>
      </c>
      <c r="AU600" s="36">
        <f>IF(OR(R515="",R515&gt;=6),"","F")</f>
        <v/>
      </c>
    </row>
    <row r="601" hidden="1" outlineLevel="1" ht="15" customHeight="1" s="15">
      <c r="AT601" s="36">
        <f>IF(OR(R515="",R515=7),"","C")</f>
        <v/>
      </c>
      <c r="AU601" s="36">
        <f>IF(OR(R515="",R515&gt;=6),"","C")</f>
        <v/>
      </c>
    </row>
    <row r="602" hidden="1" outlineLevel="1" ht="15" customHeight="1" s="15">
      <c r="AT602" s="36">
        <f>IF(AND(R515&lt;&gt;"",R515=7),"R","")</f>
        <v/>
      </c>
      <c r="AU602" s="36">
        <f>IF(AND(R515&lt;&gt;"",R515&gt;=6),"R","")</f>
        <v/>
      </c>
    </row>
    <row r="603" hidden="1" outlineLevel="1" ht="15" customHeight="1" s="15">
      <c r="AT603" s="36">
        <f>IF(OR(S515="",S515=7),"","P")</f>
        <v/>
      </c>
      <c r="AU603" s="36">
        <f>IF(OR(S515="",S515&gt;=6),"","P")</f>
        <v/>
      </c>
    </row>
    <row r="604" hidden="1" outlineLevel="1" ht="15" customHeight="1" s="15">
      <c r="AT604" s="36">
        <f>IF(OR(S515="",S515=7),"","D")</f>
        <v/>
      </c>
      <c r="AU604" s="36">
        <f>IF(OR(S515="",S515&gt;=6),"","D")</f>
        <v/>
      </c>
    </row>
    <row r="605" hidden="1" outlineLevel="1" ht="15" customHeight="1" s="15">
      <c r="AT605" s="36">
        <f>IF(OR(S515="",S515=7),"","A")</f>
        <v/>
      </c>
      <c r="AU605" s="36">
        <f>IF(OR(S515="",S515&gt;=6),"","A")</f>
        <v/>
      </c>
    </row>
    <row r="606" hidden="1" outlineLevel="1" ht="15" customHeight="1" s="15">
      <c r="AT606" s="36">
        <f>IF(OR(S515="",S515=7),"","F")</f>
        <v/>
      </c>
      <c r="AU606" s="36">
        <f>IF(OR(S515="",S515&gt;=6),"","F")</f>
        <v/>
      </c>
    </row>
    <row r="607" hidden="1" outlineLevel="1" ht="15" customHeight="1" s="15">
      <c r="AT607" s="36">
        <f>IF(OR(S515="",S515=7),"","C")</f>
        <v/>
      </c>
      <c r="AU607" s="36">
        <f>IF(OR(S515="",S515&gt;=6),"","C")</f>
        <v/>
      </c>
    </row>
    <row r="608" hidden="1" outlineLevel="1" ht="15" customHeight="1" s="15">
      <c r="AT608" s="36">
        <f>IF(AND(S515&lt;&gt;"",S515=7),"R","")</f>
        <v/>
      </c>
      <c r="AU608" s="36">
        <f>IF(AND(S515&lt;&gt;"",S515&gt;=6),"R","")</f>
        <v/>
      </c>
    </row>
    <row r="609" hidden="1" outlineLevel="1" ht="15" customHeight="1" s="15">
      <c r="AT609" s="36">
        <f>IF(OR(T515="",T515=7),"","P")</f>
        <v/>
      </c>
      <c r="AU609" s="36">
        <f>IF(OR(T515="",T515&gt;=6),"","P")</f>
        <v/>
      </c>
    </row>
    <row r="610" hidden="1" outlineLevel="1" ht="15" customHeight="1" s="15">
      <c r="AT610" s="36">
        <f>IF(OR(T515="",T515=7),"","D")</f>
        <v/>
      </c>
      <c r="AU610" s="36">
        <f>IF(OR(T515="",T515&gt;=6),"","D")</f>
        <v/>
      </c>
    </row>
    <row r="611" hidden="1" outlineLevel="1" ht="15" customHeight="1" s="15">
      <c r="AT611" s="36">
        <f>IF(OR(T515="",T515=7),"","A")</f>
        <v/>
      </c>
      <c r="AU611" s="36">
        <f>IF(OR(T515="",T515&gt;=6),"","A")</f>
        <v/>
      </c>
    </row>
    <row r="612" hidden="1" outlineLevel="1" ht="15" customHeight="1" s="15">
      <c r="AT612" s="36">
        <f>IF(OR(T515="",T515=7),"","F")</f>
        <v/>
      </c>
      <c r="AU612" s="36">
        <f>IF(OR(T515="",T515&gt;=6),"","F")</f>
        <v/>
      </c>
    </row>
    <row r="613" hidden="1" outlineLevel="1" ht="15" customHeight="1" s="15">
      <c r="AT613" s="36">
        <f>IF(OR(T515="",T515=7),"","C")</f>
        <v/>
      </c>
      <c r="AU613" s="36">
        <f>IF(OR(T515="",T515&gt;=6),"","C")</f>
        <v/>
      </c>
    </row>
    <row r="614" hidden="1" outlineLevel="1" ht="15" customHeight="1" s="15">
      <c r="AT614" s="36">
        <f>IF(AND(T515&lt;&gt;"",T515=7),"R","")</f>
        <v/>
      </c>
      <c r="AU614" s="36">
        <f>IF(AND(T515&lt;&gt;"",T515&gt;=6),"R","")</f>
        <v/>
      </c>
    </row>
    <row r="615" hidden="1" outlineLevel="1" ht="15" customHeight="1" s="15">
      <c r="AT615" s="36">
        <f>IF(OR(U515="",U515=7),"","P")</f>
        <v/>
      </c>
      <c r="AU615" s="36">
        <f>IF(OR(U515="",U515&gt;=6),"","P")</f>
        <v/>
      </c>
    </row>
    <row r="616" hidden="1" outlineLevel="1" ht="15" customHeight="1" s="15">
      <c r="AT616" s="36">
        <f>IF(OR(U515="",U515=7),"","D")</f>
        <v/>
      </c>
      <c r="AU616" s="36">
        <f>IF(OR(U515="",U515&gt;=6),"","D")</f>
        <v/>
      </c>
    </row>
    <row r="617" hidden="1" outlineLevel="1" ht="15" customHeight="1" s="15">
      <c r="AT617" s="36">
        <f>IF(OR(U515="",U515=7),"","A")</f>
        <v/>
      </c>
      <c r="AU617" s="36">
        <f>IF(OR(U515="",U515&gt;=6),"","A")</f>
        <v/>
      </c>
    </row>
    <row r="618" hidden="1" outlineLevel="1" ht="15" customHeight="1" s="15">
      <c r="AT618" s="36">
        <f>IF(OR(U515="",U515=7),"","F")</f>
        <v/>
      </c>
      <c r="AU618" s="36">
        <f>IF(OR(U515="",U515&gt;=6),"","F")</f>
        <v/>
      </c>
    </row>
    <row r="619" hidden="1" outlineLevel="1" ht="15" customHeight="1" s="15">
      <c r="AT619" s="36">
        <f>IF(OR(U515="",U515=7),"","C")</f>
        <v/>
      </c>
      <c r="AU619" s="36">
        <f>IF(OR(U515="",U515&gt;=6),"","C")</f>
        <v/>
      </c>
    </row>
    <row r="620" hidden="1" outlineLevel="1" ht="15" customHeight="1" s="15">
      <c r="AT620" s="36">
        <f>IF(AND(U515&lt;&gt;"",U515=7),"R","")</f>
        <v/>
      </c>
      <c r="AU620" s="36">
        <f>IF(AND(U515&lt;&gt;"",U515&gt;=6),"R","")</f>
        <v/>
      </c>
    </row>
    <row r="621" hidden="1" outlineLevel="1" ht="15" customHeight="1" s="15">
      <c r="AT621" s="36">
        <f>IF(OR(V515="",V515=7),"","P")</f>
        <v/>
      </c>
      <c r="AU621" s="36">
        <f>IF(OR(V515="",V515&gt;=6),"","P")</f>
        <v/>
      </c>
    </row>
    <row r="622" hidden="1" outlineLevel="1" ht="15" customHeight="1" s="15">
      <c r="AT622" s="36">
        <f>IF(OR(V515="",V515=7),"","D")</f>
        <v/>
      </c>
      <c r="AU622" s="36">
        <f>IF(OR(V515="",V515&gt;=6),"","D")</f>
        <v/>
      </c>
    </row>
    <row r="623" hidden="1" outlineLevel="1" ht="15" customHeight="1" s="15">
      <c r="AT623" s="36">
        <f>IF(OR(V515="",V515=7),"","A")</f>
        <v/>
      </c>
      <c r="AU623" s="36">
        <f>IF(OR(V515="",V515&gt;=6),"","A")</f>
        <v/>
      </c>
    </row>
    <row r="624" hidden="1" outlineLevel="1" ht="15" customHeight="1" s="15">
      <c r="AT624" s="36">
        <f>IF(OR(V515="",V515=7),"","F")</f>
        <v/>
      </c>
      <c r="AU624" s="36">
        <f>IF(OR(V515="",V515&gt;=6),"","F")</f>
        <v/>
      </c>
    </row>
    <row r="625" hidden="1" outlineLevel="1" ht="15" customHeight="1" s="15">
      <c r="AT625" s="36">
        <f>IF(OR(V515="",V515=7),"","C")</f>
        <v/>
      </c>
      <c r="AU625" s="36">
        <f>IF(OR(V515="",V515&gt;=6),"","C")</f>
        <v/>
      </c>
    </row>
    <row r="626" hidden="1" outlineLevel="1" ht="15" customHeight="1" s="15">
      <c r="AT626" s="36">
        <f>IF(AND(V515&lt;&gt;"",V515=7),"R","")</f>
        <v/>
      </c>
      <c r="AU626" s="36">
        <f>IF(AND(V515&lt;&gt;"",V515&gt;=6),"R","")</f>
        <v/>
      </c>
    </row>
    <row r="627" hidden="1" outlineLevel="1" ht="15" customHeight="1" s="15">
      <c r="AT627" s="36">
        <f>IF(OR(W515="",W515=7),"","P")</f>
        <v/>
      </c>
      <c r="AU627" s="36">
        <f>IF(OR(W515="",W515&gt;=6),"","P")</f>
        <v/>
      </c>
    </row>
    <row r="628" hidden="1" outlineLevel="1" ht="15" customHeight="1" s="15">
      <c r="AT628" s="36">
        <f>IF(OR(W515="",W515=7),"","D")</f>
        <v/>
      </c>
      <c r="AU628" s="36">
        <f>IF(OR(W515="",W515&gt;=6),"","D")</f>
        <v/>
      </c>
    </row>
    <row r="629" hidden="1" outlineLevel="1" ht="15" customHeight="1" s="15">
      <c r="AT629" s="36">
        <f>IF(OR(W515="",W515=7),"","A")</f>
        <v/>
      </c>
      <c r="AU629" s="36">
        <f>IF(OR(W515="",W515&gt;=6),"","A")</f>
        <v/>
      </c>
    </row>
    <row r="630" hidden="1" outlineLevel="1" ht="15" customHeight="1" s="15">
      <c r="AT630" s="36">
        <f>IF(OR(W515="",W515=7),"","F")</f>
        <v/>
      </c>
      <c r="AU630" s="36">
        <f>IF(OR(W515="",W515&gt;=6),"","F")</f>
        <v/>
      </c>
    </row>
    <row r="631" hidden="1" outlineLevel="1" ht="15" customHeight="1" s="15">
      <c r="AT631" s="36">
        <f>IF(OR(W515="",W515=7),"","C")</f>
        <v/>
      </c>
      <c r="AU631" s="36">
        <f>IF(OR(W515="",W515&gt;=6),"","C")</f>
        <v/>
      </c>
    </row>
    <row r="632" hidden="1" outlineLevel="1" ht="15" customHeight="1" s="15">
      <c r="AT632" s="36">
        <f>IF(AND(W515&lt;&gt;"",W515=7),"R","")</f>
        <v/>
      </c>
      <c r="AU632" s="36">
        <f>IF(AND(W515&lt;&gt;"",W515&gt;=6),"R","")</f>
        <v/>
      </c>
    </row>
    <row r="633" hidden="1" outlineLevel="1" ht="15" customHeight="1" s="15">
      <c r="AT633" s="36">
        <f>IF(OR(X515="",X515=7),"","P")</f>
        <v/>
      </c>
      <c r="AU633" s="36">
        <f>IF(OR(X515="",X515&gt;=6),"","P")</f>
        <v/>
      </c>
    </row>
    <row r="634" hidden="1" outlineLevel="1" ht="15" customHeight="1" s="15">
      <c r="AT634" s="36">
        <f>IF(OR(X515="",X515=7),"","D")</f>
        <v/>
      </c>
      <c r="AU634" s="36">
        <f>IF(OR(X515="",X515&gt;=6),"","D")</f>
        <v/>
      </c>
    </row>
    <row r="635" hidden="1" outlineLevel="1" ht="15" customHeight="1" s="15">
      <c r="AT635" s="36">
        <f>IF(OR(X515="",X515=7),"","A")</f>
        <v/>
      </c>
      <c r="AU635" s="36">
        <f>IF(OR(X515="",X515&gt;=6),"","A")</f>
        <v/>
      </c>
    </row>
    <row r="636" hidden="1" outlineLevel="1" ht="15" customHeight="1" s="15">
      <c r="AT636" s="36">
        <f>IF(OR(X515="",X515=7),"","F")</f>
        <v/>
      </c>
      <c r="AU636" s="36">
        <f>IF(OR(X515="",X515&gt;=6),"","F")</f>
        <v/>
      </c>
    </row>
    <row r="637" hidden="1" outlineLevel="1" ht="15" customHeight="1" s="15">
      <c r="AT637" s="36">
        <f>IF(OR(X515="",X515=7),"","C")</f>
        <v/>
      </c>
      <c r="AU637" s="36">
        <f>IF(OR(X515="",X515&gt;=6),"","C")</f>
        <v/>
      </c>
    </row>
    <row r="638" hidden="1" outlineLevel="1" ht="15" customHeight="1" s="15">
      <c r="AT638" s="36">
        <f>IF(AND(X515&lt;&gt;"",X515=7),"R","")</f>
        <v/>
      </c>
      <c r="AU638" s="36">
        <f>IF(AND(X515&lt;&gt;"",X515&gt;=6),"R","")</f>
        <v/>
      </c>
    </row>
    <row r="639" hidden="1" outlineLevel="1" ht="15" customHeight="1" s="15">
      <c r="AT639" s="36">
        <f>IF(OR(Y515="",Y515=7),"","P")</f>
        <v/>
      </c>
      <c r="AU639" s="36">
        <f>IF(OR(Y515="",Y515&gt;=6),"","P")</f>
        <v/>
      </c>
    </row>
    <row r="640" hidden="1" outlineLevel="1" ht="15" customHeight="1" s="15">
      <c r="AT640" s="36">
        <f>IF(OR(Y515="",Y515=7),"","D")</f>
        <v/>
      </c>
      <c r="AU640" s="36">
        <f>IF(OR(Y515="",Y515&gt;=6),"","D")</f>
        <v/>
      </c>
    </row>
    <row r="641" hidden="1" outlineLevel="1" ht="15" customHeight="1" s="15">
      <c r="AT641" s="36">
        <f>IF(OR(Y515="",Y515=7),"","A")</f>
        <v/>
      </c>
      <c r="AU641" s="36">
        <f>IF(OR(Y515="",Y515&gt;=6),"","A")</f>
        <v/>
      </c>
    </row>
    <row r="642" hidden="1" outlineLevel="1" ht="15" customHeight="1" s="15">
      <c r="AT642" s="36">
        <f>IF(OR(Y515="",Y515=7),"","F")</f>
        <v/>
      </c>
      <c r="AU642" s="36">
        <f>IF(OR(Y515="",Y515&gt;=6),"","F")</f>
        <v/>
      </c>
    </row>
    <row r="643" hidden="1" outlineLevel="1" ht="15" customHeight="1" s="15">
      <c r="AT643" s="36">
        <f>IF(OR(Y515="",Y515=7),"","C")</f>
        <v/>
      </c>
      <c r="AU643" s="36">
        <f>IF(OR(Y515="",Y515&gt;=6),"","C")</f>
        <v/>
      </c>
    </row>
    <row r="644" hidden="1" outlineLevel="1" ht="15" customHeight="1" s="15">
      <c r="AT644" s="36">
        <f>IF(AND(Y515&lt;&gt;"",Y515=7),"R","")</f>
        <v/>
      </c>
      <c r="AU644" s="36">
        <f>IF(AND(Y515&lt;&gt;"",Y515&gt;=6),"R","")</f>
        <v/>
      </c>
    </row>
    <row r="645" hidden="1" outlineLevel="1" ht="15" customHeight="1" s="15">
      <c r="AT645" s="36">
        <f>IF(OR(Z515="",Z515=7),"","P")</f>
        <v/>
      </c>
      <c r="AU645" s="36">
        <f>IF(OR(Z515="",Z515&gt;=6),"","P")</f>
        <v/>
      </c>
    </row>
    <row r="646" hidden="1" outlineLevel="1" ht="15" customHeight="1" s="15">
      <c r="AT646" s="36">
        <f>IF(OR(Z515="",Z515=7),"","D")</f>
        <v/>
      </c>
      <c r="AU646" s="36">
        <f>IF(OR(Z515="",Z515&gt;=6),"","D")</f>
        <v/>
      </c>
    </row>
    <row r="647" hidden="1" outlineLevel="1" ht="15" customHeight="1" s="15">
      <c r="AT647" s="36">
        <f>IF(OR(Z515="",Z515=7),"","A")</f>
        <v/>
      </c>
      <c r="AU647" s="36">
        <f>IF(OR(Z515="",Z515&gt;=6),"","A")</f>
        <v/>
      </c>
    </row>
    <row r="648" hidden="1" outlineLevel="1" ht="15" customHeight="1" s="15">
      <c r="AT648" s="36">
        <f>IF(OR(Z515="",Z515=7),"","F")</f>
        <v/>
      </c>
      <c r="AU648" s="36">
        <f>IF(OR(Z515="",Z515&gt;=6),"","F")</f>
        <v/>
      </c>
    </row>
    <row r="649" hidden="1" outlineLevel="1" ht="15" customHeight="1" s="15">
      <c r="AT649" s="36">
        <f>IF(OR(Z515="",Z515=7),"","C")</f>
        <v/>
      </c>
      <c r="AU649" s="36">
        <f>IF(OR(Z515="",Z515&gt;=6),"","C")</f>
        <v/>
      </c>
    </row>
    <row r="650" hidden="1" outlineLevel="1" ht="15" customHeight="1" s="15">
      <c r="AT650" s="36">
        <f>IF(AND(Z515&lt;&gt;"",Z515=7),"R","")</f>
        <v/>
      </c>
      <c r="AU650" s="36">
        <f>IF(AND(Z515&lt;&gt;"",Z515&gt;=6),"R","")</f>
        <v/>
      </c>
    </row>
    <row r="651" hidden="1" outlineLevel="1" ht="15" customHeight="1" s="15">
      <c r="AT651" s="36">
        <f>IF(OR(AA515="",AA515=7),"","P")</f>
        <v/>
      </c>
      <c r="AU651" s="36">
        <f>IF(OR(AA515="",AA515&gt;=6),"","P")</f>
        <v/>
      </c>
    </row>
    <row r="652" hidden="1" outlineLevel="1" ht="15" customHeight="1" s="15">
      <c r="AT652" s="36">
        <f>IF(OR(AA515="",AA515=7),"","D")</f>
        <v/>
      </c>
      <c r="AU652" s="36">
        <f>IF(OR(AA515="",AA515&gt;=6),"","D")</f>
        <v/>
      </c>
    </row>
    <row r="653" hidden="1" outlineLevel="1" ht="15" customHeight="1" s="15">
      <c r="AT653" s="36">
        <f>IF(OR(AA515="",AA515=7),"","A")</f>
        <v/>
      </c>
      <c r="AU653" s="36">
        <f>IF(OR(AA515="",AA515&gt;=6),"","A")</f>
        <v/>
      </c>
    </row>
    <row r="654" hidden="1" outlineLevel="1" ht="15" customHeight="1" s="15">
      <c r="AT654" s="36">
        <f>IF(OR(AA515="",AA515=7),"","F")</f>
        <v/>
      </c>
      <c r="AU654" s="36">
        <f>IF(OR(AA515="",AA515&gt;=6),"","F")</f>
        <v/>
      </c>
    </row>
    <row r="655" hidden="1" outlineLevel="1" ht="15" customHeight="1" s="15">
      <c r="AT655" s="36">
        <f>IF(OR(AA515="",AA515=7),"","C")</f>
        <v/>
      </c>
      <c r="AU655" s="36">
        <f>IF(OR(AA515="",AA515&gt;=6),"","C")</f>
        <v/>
      </c>
    </row>
    <row r="656" hidden="1" outlineLevel="1" ht="15" customHeight="1" s="15">
      <c r="AT656" s="36">
        <f>IF(AND(AA515&lt;&gt;"",AA515=7),"R","")</f>
        <v/>
      </c>
      <c r="AU656" s="36">
        <f>IF(AND(AA515&lt;&gt;"",AA515&gt;=6),"R","")</f>
        <v/>
      </c>
    </row>
    <row r="657" hidden="1" outlineLevel="1" ht="15" customHeight="1" s="15">
      <c r="AT657" s="36">
        <f>IF(OR(AB515="",AB515=7),"","P")</f>
        <v/>
      </c>
      <c r="AU657" s="36">
        <f>IF(OR(AB515="",AB515&gt;=6),"","P")</f>
        <v/>
      </c>
    </row>
    <row r="658" hidden="1" outlineLevel="1" ht="15" customHeight="1" s="15">
      <c r="AT658" s="36">
        <f>IF(OR(AB515="",AB515=7),"","D")</f>
        <v/>
      </c>
      <c r="AU658" s="36">
        <f>IF(OR(AB515="",AB515&gt;=6),"","D")</f>
        <v/>
      </c>
    </row>
    <row r="659" hidden="1" outlineLevel="1" ht="15" customHeight="1" s="15">
      <c r="AT659" s="36">
        <f>IF(OR(AB515="",AB515=7),"","A")</f>
        <v/>
      </c>
      <c r="AU659" s="36">
        <f>IF(OR(AB515="",AB515&gt;=6),"","A")</f>
        <v/>
      </c>
    </row>
    <row r="660" hidden="1" outlineLevel="1" ht="15" customHeight="1" s="15">
      <c r="AT660" s="36">
        <f>IF(OR(AB515="",AB515=7),"","F")</f>
        <v/>
      </c>
      <c r="AU660" s="36">
        <f>IF(OR(AB515="",AB515&gt;=6),"","F")</f>
        <v/>
      </c>
    </row>
    <row r="661" hidden="1" outlineLevel="1" ht="15" customHeight="1" s="15">
      <c r="AT661" s="36">
        <f>IF(OR(AB515="",AB515=7),"","C")</f>
        <v/>
      </c>
      <c r="AU661" s="36">
        <f>IF(OR(AB515="",AB515&gt;=6),"","C")</f>
        <v/>
      </c>
    </row>
    <row r="662" hidden="1" outlineLevel="1" ht="15" customHeight="1" s="15">
      <c r="AT662" s="36">
        <f>IF(AND(AB515&lt;&gt;"",AB515=7),"R","")</f>
        <v/>
      </c>
      <c r="AU662" s="36">
        <f>IF(AND(AB515&lt;&gt;"",AB515&gt;=6),"R","")</f>
        <v/>
      </c>
    </row>
    <row r="663" hidden="1" outlineLevel="1" ht="15" customHeight="1" s="15">
      <c r="AT663" s="36">
        <f>IF(OR(AC515="",AC515=7),"","P")</f>
        <v/>
      </c>
      <c r="AU663" s="36">
        <f>IF(OR(AC515="",AC515&gt;=6),"","P")</f>
        <v/>
      </c>
    </row>
    <row r="664" hidden="1" outlineLevel="1" ht="15" customHeight="1" s="15">
      <c r="AT664" s="36">
        <f>IF(OR(AC515="",AC515=7),"","D")</f>
        <v/>
      </c>
      <c r="AU664" s="36">
        <f>IF(OR(AC515="",AC515&gt;=6),"","D")</f>
        <v/>
      </c>
    </row>
    <row r="665" hidden="1" outlineLevel="1" ht="15" customHeight="1" s="15">
      <c r="AT665" s="36">
        <f>IF(OR(AC515="",AC515=7),"","A")</f>
        <v/>
      </c>
      <c r="AU665" s="36">
        <f>IF(OR(AC515="",AC515&gt;=6),"","A")</f>
        <v/>
      </c>
    </row>
    <row r="666" hidden="1" outlineLevel="1" ht="15" customHeight="1" s="15">
      <c r="AT666" s="36">
        <f>IF(OR(AC515="",AC515=7),"","F")</f>
        <v/>
      </c>
      <c r="AU666" s="36">
        <f>IF(OR(AC515="",AC515&gt;=6),"","F")</f>
        <v/>
      </c>
    </row>
    <row r="667" hidden="1" outlineLevel="1" ht="15" customHeight="1" s="15">
      <c r="AT667" s="36">
        <f>IF(OR(AC515="",AC515=7),"","C")</f>
        <v/>
      </c>
      <c r="AU667" s="36">
        <f>IF(OR(AC515="",AC515&gt;=6),"","C")</f>
        <v/>
      </c>
    </row>
    <row r="668" hidden="1" outlineLevel="1" ht="15" customHeight="1" s="15">
      <c r="AT668" s="36">
        <f>IF(AND(AC515&lt;&gt;"",AC515=7),"R","")</f>
        <v/>
      </c>
      <c r="AU668" s="36">
        <f>IF(AND(AC515&lt;&gt;"",AC515&gt;=6),"R","")</f>
        <v/>
      </c>
    </row>
    <row r="669" hidden="1" outlineLevel="1" ht="15" customHeight="1" s="15">
      <c r="AT669" s="36">
        <f>IF(OR(AD515="",AD515=7),"","P")</f>
        <v/>
      </c>
      <c r="AU669" s="36">
        <f>IF(OR(AD515="",AD515&gt;=6),"","P")</f>
        <v/>
      </c>
    </row>
    <row r="670" hidden="1" outlineLevel="1" ht="15" customHeight="1" s="15">
      <c r="AT670" s="36">
        <f>IF(OR(AD515="",AD515=7),"","D")</f>
        <v/>
      </c>
      <c r="AU670" s="36">
        <f>IF(OR(AD515="",AD515&gt;=6),"","D")</f>
        <v/>
      </c>
    </row>
    <row r="671" hidden="1" outlineLevel="1" ht="15" customHeight="1" s="15">
      <c r="AT671" s="36">
        <f>IF(OR(AD515="",AD515=7),"","A")</f>
        <v/>
      </c>
      <c r="AU671" s="36">
        <f>IF(OR(AD515="",AD515&gt;=6),"","A")</f>
        <v/>
      </c>
    </row>
    <row r="672" hidden="1" outlineLevel="1" ht="15" customHeight="1" s="15">
      <c r="AT672" s="36">
        <f>IF(OR(AD515="",AD515=7),"","F")</f>
        <v/>
      </c>
      <c r="AU672" s="36">
        <f>IF(OR(AD515="",AD515&gt;=6),"","F")</f>
        <v/>
      </c>
    </row>
    <row r="673" hidden="1" outlineLevel="1" ht="15" customHeight="1" s="15">
      <c r="AT673" s="36">
        <f>IF(OR(AD515="",AD515=7),"","C")</f>
        <v/>
      </c>
      <c r="AU673" s="36">
        <f>IF(OR(AD515="",AD515&gt;=6),"","C")</f>
        <v/>
      </c>
    </row>
    <row r="674" hidden="1" outlineLevel="1" ht="15" customHeight="1" s="15">
      <c r="AT674" s="36">
        <f>IF(AND(AD515&lt;&gt;"",AD515=7),"R","")</f>
        <v/>
      </c>
      <c r="AU674" s="36">
        <f>IF(AND(AD515&lt;&gt;"",AD515&gt;=6),"R","")</f>
        <v/>
      </c>
    </row>
    <row r="675" hidden="1" outlineLevel="1" ht="15" customHeight="1" s="15">
      <c r="AT675" s="36">
        <f>IF(OR(AE515="",AE515=7),"","P")</f>
        <v/>
      </c>
      <c r="AU675" s="36">
        <f>IF(OR(AE515="",AE515&gt;=6),"","P")</f>
        <v/>
      </c>
    </row>
    <row r="676" hidden="1" outlineLevel="1" ht="15" customHeight="1" s="15">
      <c r="AT676" s="36">
        <f>IF(OR(AE515="",AE515=7),"","D")</f>
        <v/>
      </c>
      <c r="AU676" s="36">
        <f>IF(OR(AE515="",AE515&gt;=6),"","D")</f>
        <v/>
      </c>
    </row>
    <row r="677" hidden="1" outlineLevel="1" ht="15" customHeight="1" s="15">
      <c r="AT677" s="36">
        <f>IF(OR(AE515="",AE515=7),"","A")</f>
        <v/>
      </c>
      <c r="AU677" s="36">
        <f>IF(OR(AE515="",AE515&gt;=6),"","A")</f>
        <v/>
      </c>
    </row>
    <row r="678" hidden="1" outlineLevel="1" ht="15" customHeight="1" s="15">
      <c r="AT678" s="36">
        <f>IF(OR(AE515="",AE515=7),"","F")</f>
        <v/>
      </c>
      <c r="AU678" s="36">
        <f>IF(OR(AE515="",AE515&gt;=6),"","F")</f>
        <v/>
      </c>
    </row>
    <row r="679" hidden="1" outlineLevel="1" ht="15" customHeight="1" s="15">
      <c r="AT679" s="36">
        <f>IF(OR(AE515="",AE515=7),"","C")</f>
        <v/>
      </c>
      <c r="AU679" s="36">
        <f>IF(OR(AE515="",AE515&gt;=6),"","C")</f>
        <v/>
      </c>
    </row>
    <row r="680" hidden="1" outlineLevel="1" ht="15" customHeight="1" s="15">
      <c r="AT680" s="36">
        <f>IF(AND(AE515&lt;&gt;"",AE515=7),"R","")</f>
        <v/>
      </c>
      <c r="AU680" s="36">
        <f>IF(AND(AE515&lt;&gt;"",AE515&gt;=6),"R","")</f>
        <v/>
      </c>
    </row>
    <row r="681" hidden="1" outlineLevel="1" ht="15" customHeight="1" s="15">
      <c r="AT681" s="36">
        <f>IF(OR(AF515="",AF515=7),"","P")</f>
        <v/>
      </c>
      <c r="AU681" s="36">
        <f>IF(OR(AF515="",AF515&gt;=6),"","P")</f>
        <v/>
      </c>
    </row>
    <row r="682" hidden="1" outlineLevel="1" ht="15" customHeight="1" s="15">
      <c r="AT682" s="36">
        <f>IF(OR(AF515="",AF515=7),"","D")</f>
        <v/>
      </c>
      <c r="AU682" s="36">
        <f>IF(OR(AF515="",AF515&gt;=6),"","D")</f>
        <v/>
      </c>
    </row>
    <row r="683" hidden="1" outlineLevel="1" ht="15" customHeight="1" s="15">
      <c r="AT683" s="36">
        <f>IF(OR(AF515="",AF515=7),"","A")</f>
        <v/>
      </c>
      <c r="AU683" s="36">
        <f>IF(OR(AF515="",AF515&gt;=6),"","A")</f>
        <v/>
      </c>
    </row>
    <row r="684" hidden="1" outlineLevel="1" ht="15" customHeight="1" s="15">
      <c r="AT684" s="36">
        <f>IF(OR(AF515="",AF515=7),"","F")</f>
        <v/>
      </c>
      <c r="AU684" s="36">
        <f>IF(OR(AF515="",AF515&gt;=6),"","F")</f>
        <v/>
      </c>
    </row>
    <row r="685" hidden="1" outlineLevel="1" ht="15" customHeight="1" s="15">
      <c r="AT685" s="36">
        <f>IF(OR(AF515="",AF515=7),"","C")</f>
        <v/>
      </c>
      <c r="AU685" s="36">
        <f>IF(OR(AF515="",AF515&gt;=6),"","C")</f>
        <v/>
      </c>
    </row>
    <row r="686" hidden="1" outlineLevel="1" ht="15" customHeight="1" s="15">
      <c r="AT686" s="36">
        <f>IF(AND(AF515&lt;&gt;"",AF515=7),"R","")</f>
        <v/>
      </c>
      <c r="AU686" s="36">
        <f>IF(AND(AF515&lt;&gt;"",AF515&gt;=6),"R","")</f>
        <v/>
      </c>
    </row>
    <row r="687" hidden="1" outlineLevel="1" ht="15" customHeight="1" s="15">
      <c r="AT687" s="36">
        <f>IF(OR(AG515="",AG515=7),"","P")</f>
        <v/>
      </c>
      <c r="AU687" s="36">
        <f>IF(OR(AG515="",AG515&gt;=6),"","P")</f>
        <v/>
      </c>
    </row>
    <row r="688" hidden="1" outlineLevel="1" ht="15" customHeight="1" s="15">
      <c r="AT688" s="36">
        <f>IF(OR(AG515="",AG515=7),"","D")</f>
        <v/>
      </c>
      <c r="AU688" s="36">
        <f>IF(OR(AG515="",AG515&gt;=6),"","D")</f>
        <v/>
      </c>
    </row>
    <row r="689" hidden="1" outlineLevel="1" ht="15" customHeight="1" s="15">
      <c r="AT689" s="36">
        <f>IF(OR(AG515="",AG515=7),"","A")</f>
        <v/>
      </c>
      <c r="AU689" s="36">
        <f>IF(OR(AG515="",AG515&gt;=6),"","A")</f>
        <v/>
      </c>
    </row>
    <row r="690" hidden="1" outlineLevel="1" ht="15" customHeight="1" s="15">
      <c r="AT690" s="36">
        <f>IF(OR(AG515="",AG515=7),"","F")</f>
        <v/>
      </c>
      <c r="AU690" s="36">
        <f>IF(OR(AG515="",AG515&gt;=6),"","F")</f>
        <v/>
      </c>
    </row>
    <row r="691" hidden="1" outlineLevel="1" ht="15" customHeight="1" s="15">
      <c r="AT691" s="36">
        <f>IF(OR(AG515="",AG515=7),"","C")</f>
        <v/>
      </c>
      <c r="AU691" s="36">
        <f>IF(OR(AG515="",AG515&gt;=6),"","C")</f>
        <v/>
      </c>
    </row>
    <row r="692" hidden="1" outlineLevel="1" ht="15" customHeight="1" s="15">
      <c r="AT692" s="36">
        <f>IF(AND(AG515&lt;&gt;"",AG515=7),"R","")</f>
        <v/>
      </c>
      <c r="AU692" s="36">
        <f>IF(AND(AG515&lt;&gt;"",AG515&gt;=6),"R","")</f>
        <v/>
      </c>
    </row>
    <row r="693" hidden="1" outlineLevel="1" ht="15" customHeight="1" s="15">
      <c r="AT693" s="36">
        <f>IF(OR(AH515="",AH515=7),"","P")</f>
        <v/>
      </c>
      <c r="AU693" s="36">
        <f>IF(OR(AH515="",AH515&gt;=6),"","P")</f>
        <v/>
      </c>
    </row>
    <row r="694" hidden="1" outlineLevel="1" ht="15" customHeight="1" s="15">
      <c r="AT694" s="36">
        <f>IF(OR(AH515="",AH515=7),"","D")</f>
        <v/>
      </c>
      <c r="AU694" s="36">
        <f>IF(OR(AH515="",AH515&gt;=6),"","D")</f>
        <v/>
      </c>
    </row>
    <row r="695" hidden="1" outlineLevel="1" ht="15" customHeight="1" s="15">
      <c r="AT695" s="36">
        <f>IF(OR(AH515="",AH515=7),"","A")</f>
        <v/>
      </c>
      <c r="AU695" s="36">
        <f>IF(OR(AH515="",AH515&gt;=6),"","A")</f>
        <v/>
      </c>
    </row>
    <row r="696" hidden="1" outlineLevel="1" ht="15" customHeight="1" s="15">
      <c r="AT696" s="36">
        <f>IF(OR(AH515="",AH515=7),"","F")</f>
        <v/>
      </c>
      <c r="AU696" s="36">
        <f>IF(OR(AH515="",AH515&gt;=6),"","F")</f>
        <v/>
      </c>
    </row>
    <row r="697" hidden="1" outlineLevel="1" ht="15" customHeight="1" s="15">
      <c r="AT697" s="36">
        <f>IF(OR(AH515="",AH515=7),"","C")</f>
        <v/>
      </c>
      <c r="AU697" s="36">
        <f>IF(OR(AH515="",AH515&gt;=6),"","C")</f>
        <v/>
      </c>
    </row>
    <row r="698" hidden="1" outlineLevel="1" ht="15" customHeight="1" s="15">
      <c r="AT698" s="36">
        <f>IF(AND(AH515&lt;&gt;"",AH515=7),"R","")</f>
        <v/>
      </c>
      <c r="AU698" s="36">
        <f>IF(AND(AH515&lt;&gt;"",AH515&gt;=6),"R","")</f>
        <v/>
      </c>
    </row>
    <row r="699" hidden="1" outlineLevel="1" ht="15" customHeight="1" s="15">
      <c r="AT699" s="36">
        <f>IF(OR(AI515="",AI515=7),"","P")</f>
        <v/>
      </c>
      <c r="AU699" s="36">
        <f>IF(OR(AI515="",AI515&gt;=6),"","P")</f>
        <v/>
      </c>
    </row>
    <row r="700" hidden="1" outlineLevel="1" ht="15" customHeight="1" s="15">
      <c r="AT700" s="36">
        <f>IF(OR(AI515="",AI515=7),"","D")</f>
        <v/>
      </c>
      <c r="AU700" s="36">
        <f>IF(OR(AI515="",AI515&gt;=6),"","D")</f>
        <v/>
      </c>
    </row>
    <row r="701" hidden="1" outlineLevel="1" ht="15" customHeight="1" s="15">
      <c r="AT701" s="36">
        <f>IF(OR(AI515="",AI515=7),"","A")</f>
        <v/>
      </c>
      <c r="AU701" s="36">
        <f>IF(OR(AI515="",AI515&gt;=6),"","A")</f>
        <v/>
      </c>
    </row>
    <row r="702" hidden="1" outlineLevel="1" ht="15" customHeight="1" s="15">
      <c r="AT702" s="36">
        <f>IF(OR(AI515="",AI515=7),"","F")</f>
        <v/>
      </c>
      <c r="AU702" s="36">
        <f>IF(OR(AI515="",AI515&gt;=6),"","F")</f>
        <v/>
      </c>
    </row>
    <row r="703" hidden="1" outlineLevel="1" ht="15" customHeight="1" s="15">
      <c r="AT703" s="36">
        <f>IF(OR(AI515="",AI515=7),"","C")</f>
        <v/>
      </c>
      <c r="AU703" s="36">
        <f>IF(OR(AI515="",AI515&gt;=6),"","C")</f>
        <v/>
      </c>
    </row>
    <row r="704" hidden="1" outlineLevel="1" ht="15" customHeight="1" s="15">
      <c r="AT704" s="36">
        <f>IF(AND(AI515&lt;&gt;"",AI515=7),"R","")</f>
        <v/>
      </c>
      <c r="AU704" s="36">
        <f>IF(AND(AI515&lt;&gt;"",AI515&gt;=6),"R","")</f>
        <v/>
      </c>
    </row>
    <row r="705" hidden="1" outlineLevel="1" ht="15" customHeight="1" s="15">
      <c r="AT705" s="36">
        <f>IF(OR(AJ515="",AJ515=7),"","P")</f>
        <v/>
      </c>
      <c r="AU705" s="36">
        <f>IF(OR(AJ515="",AJ515&gt;=6),"","P")</f>
        <v/>
      </c>
    </row>
    <row r="706" hidden="1" outlineLevel="1" ht="15" customHeight="1" s="15">
      <c r="AT706" s="36">
        <f>IF(OR(AJ515="",AJ515=7),"","D")</f>
        <v/>
      </c>
      <c r="AU706" s="36">
        <f>IF(OR(AJ515="",AJ515&gt;=6),"","D")</f>
        <v/>
      </c>
    </row>
    <row r="707" hidden="1" outlineLevel="1" ht="15" customHeight="1" s="15">
      <c r="AT707" s="36">
        <f>IF(OR(AJ515="",AJ515=7),"","A")</f>
        <v/>
      </c>
      <c r="AU707" s="36">
        <f>IF(OR(AJ515="",AJ515&gt;=6),"","A")</f>
        <v/>
      </c>
    </row>
    <row r="708" hidden="1" outlineLevel="1" ht="15" customHeight="1" s="15">
      <c r="AT708" s="36">
        <f>IF(OR(AJ515="",AJ515=7),"","F")</f>
        <v/>
      </c>
      <c r="AU708" s="36">
        <f>IF(OR(AJ515="",AJ515&gt;=6),"","F")</f>
        <v/>
      </c>
    </row>
    <row r="709" hidden="1" outlineLevel="1" ht="15" customHeight="1" s="15">
      <c r="AT709" s="36">
        <f>IF(OR(AJ515="",AJ515=7),"","C")</f>
        <v/>
      </c>
      <c r="AU709" s="36">
        <f>IF(OR(AJ515="",AJ515&gt;=6),"","C")</f>
        <v/>
      </c>
    </row>
    <row r="710" hidden="1" outlineLevel="1" ht="15" customHeight="1" s="15">
      <c r="AT710" s="36">
        <f>IF(AND(AJ515&lt;&gt;"",AJ515=7),"R","")</f>
        <v/>
      </c>
      <c r="AU710" s="36">
        <f>IF(AND(AJ515&lt;&gt;"",AJ515&gt;=6),"R","")</f>
        <v/>
      </c>
    </row>
    <row r="711" hidden="1" outlineLevel="1" ht="15" customHeight="1" s="15">
      <c r="AT711" s="36">
        <f>IF(OR(AK515="",AK515=7),"","P")</f>
        <v/>
      </c>
      <c r="AU711" s="36">
        <f>IF(OR(AK515="",AK515&gt;=6),"","P")</f>
        <v/>
      </c>
    </row>
    <row r="712" hidden="1" outlineLevel="1" ht="15" customHeight="1" s="15">
      <c r="AT712" s="36">
        <f>IF(OR(AK515="",AK515=7),"","D")</f>
        <v/>
      </c>
      <c r="AU712" s="36">
        <f>IF(OR(AK515="",AK515&gt;=6),"","D")</f>
        <v/>
      </c>
    </row>
    <row r="713" hidden="1" outlineLevel="1" ht="15" customHeight="1" s="15">
      <c r="AT713" s="36">
        <f>IF(OR(AK515="",AK515=7),"","A")</f>
        <v/>
      </c>
      <c r="AU713" s="36">
        <f>IF(OR(AK515="",AK515&gt;=6),"","A")</f>
        <v/>
      </c>
    </row>
    <row r="714" hidden="1" outlineLevel="1" ht="15" customHeight="1" s="15">
      <c r="AT714" s="36">
        <f>IF(OR(AK515="",AK515=7),"","F")</f>
        <v/>
      </c>
      <c r="AU714" s="36">
        <f>IF(OR(AK515="",AK515&gt;=6),"","F")</f>
        <v/>
      </c>
    </row>
    <row r="715" hidden="1" outlineLevel="1" ht="15" customHeight="1" s="15">
      <c r="AT715" s="36">
        <f>IF(OR(AK515="",AK515=7),"","C")</f>
        <v/>
      </c>
      <c r="AU715" s="36">
        <f>IF(OR(AK515="",AK515&gt;=6),"","C")</f>
        <v/>
      </c>
    </row>
    <row r="716" hidden="1" outlineLevel="1" ht="15" customHeight="1" s="15">
      <c r="AT716" s="36">
        <f>IF(AND(AK515&lt;&gt;"",AK515=7),"R","")</f>
        <v/>
      </c>
      <c r="AU716" s="36">
        <f>IF(AND(AK515&lt;&gt;"",AK515&gt;=6),"R","")</f>
        <v/>
      </c>
    </row>
    <row r="717" hidden="1" outlineLevel="1" ht="15" customHeight="1" s="15">
      <c r="AT717" s="36">
        <f>IF(OR(AL515="",AL515=7),"","P")</f>
        <v/>
      </c>
      <c r="AU717" s="36">
        <f>IF(OR(AL515="",AL515&gt;=6),"","P")</f>
        <v/>
      </c>
    </row>
    <row r="718" hidden="1" outlineLevel="1" ht="15" customHeight="1" s="15">
      <c r="AT718" s="36">
        <f>IF(OR(AL515="",AL515=7),"","D")</f>
        <v/>
      </c>
      <c r="AU718" s="36">
        <f>IF(OR(AL515="",AL515&gt;=6),"","D")</f>
        <v/>
      </c>
    </row>
    <row r="719" hidden="1" outlineLevel="1" ht="15" customHeight="1" s="15">
      <c r="AT719" s="36">
        <f>IF(OR(AL515="",AL515=7),"","A")</f>
        <v/>
      </c>
      <c r="AU719" s="36">
        <f>IF(OR(AL515="",AL515&gt;=6),"","A")</f>
        <v/>
      </c>
    </row>
    <row r="720" hidden="1" outlineLevel="1" ht="15" customHeight="1" s="15">
      <c r="AT720" s="36">
        <f>IF(OR(AL515="",AL515=7),"","F")</f>
        <v/>
      </c>
      <c r="AU720" s="36">
        <f>IF(OR(AL515="",AL515&gt;=6),"","F")</f>
        <v/>
      </c>
    </row>
    <row r="721" hidden="1" outlineLevel="1" ht="15" customHeight="1" s="15">
      <c r="AT721" s="36">
        <f>IF(OR(AL515="",AL515=7),"","C")</f>
        <v/>
      </c>
      <c r="AU721" s="36">
        <f>IF(OR(AL515="",AL515&gt;=6),"","C")</f>
        <v/>
      </c>
    </row>
    <row r="722" hidden="1" outlineLevel="1" ht="15" customHeight="1" s="15">
      <c r="AT722" s="36">
        <f>IF(AND(AL515&lt;&gt;"",AL515=7),"R","")</f>
        <v/>
      </c>
      <c r="AU722" s="36">
        <f>IF(AND(AL515&lt;&gt;"",AL515&gt;=6),"R","")</f>
        <v/>
      </c>
    </row>
    <row r="723" hidden="1" outlineLevel="1" ht="15" customHeight="1" s="15">
      <c r="AT723" s="36">
        <f>IF(OR(AM515="",AM515=7),"","P")</f>
        <v/>
      </c>
      <c r="AU723" s="36">
        <f>IF(OR(AM515="",AM515&gt;=6),"","P")</f>
        <v/>
      </c>
    </row>
    <row r="724" hidden="1" outlineLevel="1" ht="15" customHeight="1" s="15">
      <c r="AT724" s="36">
        <f>IF(OR(AM515="",AM515=7),"","D")</f>
        <v/>
      </c>
      <c r="AU724" s="36">
        <f>IF(OR(AM515="",AM515&gt;=6),"","D")</f>
        <v/>
      </c>
    </row>
    <row r="725" hidden="1" outlineLevel="1" ht="15" customHeight="1" s="15">
      <c r="AT725" s="36">
        <f>IF(OR(AM515="",AM515=7),"","A")</f>
        <v/>
      </c>
      <c r="AU725" s="36">
        <f>IF(OR(AM515="",AM515&gt;=6),"","A")</f>
        <v/>
      </c>
    </row>
    <row r="726" hidden="1" outlineLevel="1" ht="15" customHeight="1" s="15">
      <c r="AT726" s="36">
        <f>IF(OR(AM515="",AM515=7),"","F")</f>
        <v/>
      </c>
      <c r="AU726" s="36">
        <f>IF(OR(AM515="",AM515&gt;=6),"","F")</f>
        <v/>
      </c>
    </row>
    <row r="727" hidden="1" outlineLevel="1" ht="15" customHeight="1" s="15">
      <c r="AT727" s="36">
        <f>IF(OR(AM515="",AM515=7),"","C")</f>
        <v/>
      </c>
      <c r="AU727" s="36">
        <f>IF(OR(AM515="",AM515&gt;=6),"","C")</f>
        <v/>
      </c>
    </row>
    <row r="728" hidden="1" outlineLevel="1" ht="15" customHeight="1" s="15">
      <c r="AT728" s="36">
        <f>IF(AND(AM515&lt;&gt;"",AM515=7),"R","")</f>
        <v/>
      </c>
      <c r="AU728" s="36">
        <f>IF(AND(AM515&lt;&gt;"",AM515&gt;=6),"R","")</f>
        <v/>
      </c>
    </row>
    <row r="729" hidden="1" outlineLevel="1" ht="15" customHeight="1" s="15">
      <c r="AT729" s="36">
        <f>IF(OR(AN515="",AN515=7),"","P")</f>
        <v/>
      </c>
      <c r="AU729" s="36">
        <f>IF(OR(AN515="",AN515&gt;=6),"","P")</f>
        <v/>
      </c>
    </row>
    <row r="730" hidden="1" outlineLevel="1" ht="15" customHeight="1" s="15">
      <c r="AT730" s="36">
        <f>IF(OR(AN515="",AN515=7),"","D")</f>
        <v/>
      </c>
      <c r="AU730" s="36">
        <f>IF(OR(AN515="",AN515&gt;=6),"","D")</f>
        <v/>
      </c>
    </row>
    <row r="731" hidden="1" outlineLevel="1" ht="15" customHeight="1" s="15">
      <c r="AT731" s="36">
        <f>IF(OR(AN515="",AN515=7),"","A")</f>
        <v/>
      </c>
      <c r="AU731" s="36">
        <f>IF(OR(AN515="",AN515&gt;=6),"","A")</f>
        <v/>
      </c>
    </row>
    <row r="732" hidden="1" outlineLevel="1" ht="15" customHeight="1" s="15">
      <c r="AT732" s="36">
        <f>IF(OR(AN515="",AN515=7),"","F")</f>
        <v/>
      </c>
      <c r="AU732" s="36">
        <f>IF(OR(AN515="",AN515&gt;=6),"","F")</f>
        <v/>
      </c>
    </row>
    <row r="733" hidden="1" outlineLevel="1" ht="15" customHeight="1" s="15">
      <c r="AT733" s="36">
        <f>IF(OR(AN515="",AN515=7),"","C")</f>
        <v/>
      </c>
      <c r="AU733" s="36">
        <f>IF(OR(AN515="",AN515&gt;=6),"","C")</f>
        <v/>
      </c>
    </row>
    <row r="734" hidden="1" outlineLevel="1" ht="15" customHeight="1" s="15">
      <c r="AT734" s="36">
        <f>IF(AND(AN515&lt;&gt;"",AN515=7),"R","")</f>
        <v/>
      </c>
      <c r="AU734" s="36">
        <f>IF(AND(AN515&lt;&gt;"",AN515&gt;=6),"R","")</f>
        <v/>
      </c>
    </row>
    <row r="735" hidden="1" outlineLevel="1" ht="15" customHeight="1" s="15">
      <c r="AT735" s="36">
        <f>IF(OR(AO515="",AO515=7),"","P")</f>
        <v/>
      </c>
      <c r="AU735" s="36">
        <f>IF(OR(AO515="",AO515&gt;=6),"","P")</f>
        <v/>
      </c>
    </row>
    <row r="736" hidden="1" outlineLevel="1" ht="15" customHeight="1" s="15">
      <c r="AT736" s="36">
        <f>IF(OR(AO515="",AO515=7),"","D")</f>
        <v/>
      </c>
      <c r="AU736" s="36">
        <f>IF(OR(AO515="",AO515&gt;=6),"","D")</f>
        <v/>
      </c>
    </row>
    <row r="737" hidden="1" outlineLevel="1" ht="15" customHeight="1" s="15">
      <c r="AT737" s="36">
        <f>IF(OR(AO515="",AO515=7),"","A")</f>
        <v/>
      </c>
      <c r="AU737" s="36">
        <f>IF(OR(AO515="",AO515&gt;=6),"","A")</f>
        <v/>
      </c>
    </row>
    <row r="738" hidden="1" outlineLevel="1" ht="15" customHeight="1" s="15">
      <c r="AT738" s="36">
        <f>IF(OR(AO515="",AO515=7),"","F")</f>
        <v/>
      </c>
      <c r="AU738" s="36">
        <f>IF(OR(AO515="",AO515&gt;=6),"","F")</f>
        <v/>
      </c>
    </row>
    <row r="739" hidden="1" outlineLevel="1" ht="15" customHeight="1" s="15">
      <c r="AT739" s="36">
        <f>IF(OR(AO515="",AO515=7),"","C")</f>
        <v/>
      </c>
      <c r="AU739" s="36">
        <f>IF(OR(AO515="",AO515&gt;=6),"","C")</f>
        <v/>
      </c>
    </row>
    <row r="740" hidden="1" outlineLevel="1" ht="15" customHeight="1" s="15">
      <c r="AT740" s="36">
        <f>IF(AND(AO515&lt;&gt;"",AO515=7),"R","")</f>
        <v/>
      </c>
      <c r="AU740" s="36">
        <f>IF(AND(AO515&lt;&gt;"",AO515&gt;=6),"R","")</f>
        <v/>
      </c>
    </row>
    <row r="741" hidden="1" outlineLevel="1" ht="15" customHeight="1" s="15">
      <c r="AT741" s="36">
        <f>IF(OR(AP515="",AP515=7),"","P")</f>
        <v/>
      </c>
      <c r="AU741" s="36">
        <f>IF(OR(AP515="",AP515&gt;=6),"","P")</f>
        <v/>
      </c>
    </row>
    <row r="742" hidden="1" outlineLevel="1" ht="15" customHeight="1" s="15">
      <c r="AT742" s="36">
        <f>IF(OR(AP515="",AP515=7),"","D")</f>
        <v/>
      </c>
      <c r="AU742" s="36">
        <f>IF(OR(AP515="",AP515&gt;=6),"","D")</f>
        <v/>
      </c>
    </row>
    <row r="743" hidden="1" outlineLevel="1" ht="15" customHeight="1" s="15">
      <c r="AT743" s="36">
        <f>IF(OR(AP515="",AP515=7),"","A")</f>
        <v/>
      </c>
      <c r="AU743" s="36">
        <f>IF(OR(AP515="",AP515&gt;=6),"","A")</f>
        <v/>
      </c>
    </row>
    <row r="744" hidden="1" outlineLevel="1" ht="15" customHeight="1" s="15">
      <c r="AT744" s="36">
        <f>IF(OR(AP515="",AP515=7),"","F")</f>
        <v/>
      </c>
      <c r="AU744" s="36">
        <f>IF(OR(AP515="",AP515&gt;=6),"","F")</f>
        <v/>
      </c>
    </row>
    <row r="745" hidden="1" outlineLevel="1" ht="15" customHeight="1" s="15">
      <c r="AT745" s="36">
        <f>IF(OR(AP515="",AP515=7),"","C")</f>
        <v/>
      </c>
      <c r="AU745" s="36">
        <f>IF(OR(AP515="",AP515&gt;=6),"","C")</f>
        <v/>
      </c>
    </row>
    <row r="746" hidden="1" outlineLevel="1" ht="15" customHeight="1" s="15">
      <c r="AT746" s="36">
        <f>IF(AND(AP515&lt;&gt;"",AP515=7),"R","")</f>
        <v/>
      </c>
      <c r="AU746" s="36">
        <f>IF(AND(AP515&lt;&gt;"",AP515&gt;=6),"R","")</f>
        <v/>
      </c>
    </row>
    <row r="747" hidden="1" outlineLevel="1" ht="15" customHeight="1" s="15">
      <c r="AT747" s="36">
        <f>IF(OR(AQ515="",AQ515=7),"","P")</f>
        <v/>
      </c>
      <c r="AU747" s="36">
        <f>IF(OR(AQ515="",AQ515&gt;=6),"","P")</f>
        <v/>
      </c>
    </row>
    <row r="748" hidden="1" outlineLevel="1" ht="15" customHeight="1" s="15">
      <c r="AT748" s="36">
        <f>IF(OR(AQ515="",AQ515=7),"","D")</f>
        <v/>
      </c>
      <c r="AU748" s="36">
        <f>IF(OR(AQ515="",AQ515&gt;=6),"","D")</f>
        <v/>
      </c>
    </row>
    <row r="749" hidden="1" outlineLevel="1" ht="15" customHeight="1" s="15">
      <c r="AT749" s="36">
        <f>IF(OR(AQ515="",AQ515=7),"","A")</f>
        <v/>
      </c>
      <c r="AU749" s="36">
        <f>IF(OR(AQ515="",AQ515&gt;=6),"","A")</f>
        <v/>
      </c>
    </row>
    <row r="750" hidden="1" outlineLevel="1" ht="15" customHeight="1" s="15">
      <c r="AT750" s="36">
        <f>IF(OR(AQ515="",AQ515=7),"","F")</f>
        <v/>
      </c>
      <c r="AU750" s="36">
        <f>IF(OR(AQ515="",AQ515&gt;=6),"","F")</f>
        <v/>
      </c>
    </row>
    <row r="751" hidden="1" outlineLevel="1" ht="15" customHeight="1" s="15">
      <c r="AT751" s="36">
        <f>IF(OR(AQ515="",AQ515=7),"","C")</f>
        <v/>
      </c>
      <c r="AU751" s="36">
        <f>IF(OR(AQ515="",AQ515&gt;=6),"","C")</f>
        <v/>
      </c>
    </row>
    <row r="752" hidden="1" outlineLevel="1" ht="15" customHeight="1" s="15">
      <c r="AT752" s="36">
        <f>IF(AND(AQ515&lt;&gt;"",AQ515=7),"R","")</f>
        <v/>
      </c>
      <c r="AU752" s="36">
        <f>IF(AND(AQ515&lt;&gt;"",AQ515&gt;=6),"R","")</f>
        <v/>
      </c>
    </row>
    <row r="753" hidden="1" outlineLevel="1" ht="15" customHeight="1" s="15">
      <c r="AT753" s="36">
        <f>IF(OR(AR515="",AR515=7),"","P")</f>
        <v/>
      </c>
      <c r="AU753" s="36">
        <f>IF(OR(AR515="",AR515&gt;=6),"","P")</f>
        <v/>
      </c>
    </row>
    <row r="754" hidden="1" outlineLevel="1" ht="15" customHeight="1" s="15">
      <c r="AT754" s="36">
        <f>IF(OR(AR515="",AR515=7),"","D")</f>
        <v/>
      </c>
      <c r="AU754" s="36">
        <f>IF(OR(AR515="",AR515&gt;=6),"","D")</f>
        <v/>
      </c>
    </row>
    <row r="755" hidden="1" outlineLevel="1" ht="15" customHeight="1" s="15">
      <c r="AT755" s="36">
        <f>IF(OR(AR515="",AR515=7),"","A")</f>
        <v/>
      </c>
      <c r="AU755" s="36">
        <f>IF(OR(AR515="",AR515&gt;=6),"","A")</f>
        <v/>
      </c>
    </row>
    <row r="756" hidden="1" outlineLevel="1" ht="15" customHeight="1" s="15">
      <c r="AT756" s="36">
        <f>IF(OR(AR515="",AR515=7),"","F")</f>
        <v/>
      </c>
      <c r="AU756" s="36">
        <f>IF(OR(AR515="",AR515&gt;=6),"","F")</f>
        <v/>
      </c>
    </row>
    <row r="757" hidden="1" outlineLevel="1" ht="15" customHeight="1" s="15">
      <c r="AT757" s="36">
        <f>IF(OR(AR515="",AR515=7),"","C")</f>
        <v/>
      </c>
      <c r="AU757" s="36">
        <f>IF(OR(AR515="",AR515&gt;=6),"","C")</f>
        <v/>
      </c>
    </row>
    <row r="758" hidden="1" outlineLevel="1" ht="15" customHeight="1" s="15">
      <c r="AT758" s="36">
        <f>IF(AND(AR515&lt;&gt;"",AR515=7),"R","")</f>
        <v/>
      </c>
      <c r="AU758" s="36">
        <f>IF(AND(AR515&lt;&gt;"",AR515&gt;=6),"R","")</f>
        <v/>
      </c>
    </row>
    <row r="759" hidden="1" outlineLevel="1" ht="15" customHeight="1" s="15">
      <c r="AT759" s="36">
        <f>IF(OR(AS515="",AS515=7),"","P")</f>
        <v/>
      </c>
      <c r="AU759" s="36">
        <f>IF(OR(AS515="",AS515&gt;=6),"","P")</f>
        <v/>
      </c>
    </row>
    <row r="760" hidden="1" outlineLevel="1" ht="15" customHeight="1" s="15">
      <c r="AT760" s="36">
        <f>IF(OR(AS515="",AS515=7),"","D")</f>
        <v/>
      </c>
      <c r="AU760" s="36">
        <f>IF(OR(AS515="",AS515&gt;=6),"","D")</f>
        <v/>
      </c>
    </row>
    <row r="761" hidden="1" outlineLevel="1" ht="15" customHeight="1" s="15">
      <c r="AT761" s="36">
        <f>IF(OR(AS515="",AS515=7),"","A")</f>
        <v/>
      </c>
      <c r="AU761" s="36">
        <f>IF(OR(AS515="",AS515&gt;=6),"","A")</f>
        <v/>
      </c>
    </row>
    <row r="762" hidden="1" outlineLevel="1" ht="15" customHeight="1" s="15">
      <c r="AT762" s="36">
        <f>IF(OR(AS515="",AS515=7),"","F")</f>
        <v/>
      </c>
      <c r="AU762" s="36">
        <f>IF(OR(AS515="",AS515&gt;=6),"","F")</f>
        <v/>
      </c>
    </row>
    <row r="763" hidden="1" outlineLevel="1" ht="15" customHeight="1" s="15">
      <c r="AT763" s="36">
        <f>IF(OR(AS515="",AS515=7),"","C")</f>
        <v/>
      </c>
      <c r="AU763" s="36">
        <f>IF(OR(AS515="",AS515&gt;=6),"","C")</f>
        <v/>
      </c>
    </row>
    <row r="764" hidden="1" outlineLevel="1" ht="15" customHeight="1" s="15">
      <c r="AT764" s="36">
        <f>IF(AND(AS515&lt;&gt;"",AS515=7),"R","")</f>
        <v/>
      </c>
      <c r="AU764" s="36">
        <f>IF(AND(AS515&lt;&gt;"",AS515&gt;=6),"R","")</f>
        <v/>
      </c>
    </row>
    <row r="765" ht="21.75" customHeight="1" s="15">
      <c r="B765" s="6" t="inlineStr">
        <is>
          <t>ℹ  Grille de pointage Mars — P/D/A/F/C/R, jours prévus/réels/absence calculés (jours ouvrables réels, WEEKDAY). R ne se propose que le jour de repos (repos exceptionnellement travaillé, +majoration). Listes techniques et ligne de calendrier repliées par défaut.</t>
        </is>
      </c>
    </row>
    <row r="767" ht="19.5" customHeight="1" s="15">
      <c r="B767" s="71">
        <f>"  AVRIL " &amp; PARAMETRES!$C$29</f>
        <v/>
      </c>
    </row>
    <row r="768" hidden="1" ht="15" customHeight="1" s="15">
      <c r="B768" s="36" t="inlineStr">
        <is>
          <t>Jour sem. (technique)</t>
        </is>
      </c>
      <c r="O768" s="37">
        <f>IF(1&gt;DAY(EOMONTH(DATE(PARAMETRES!$C$29,4,1),0)),"",WEEKDAY(DATE(PARAMETRES!$C$29,4,1),2))</f>
        <v/>
      </c>
      <c r="P768" s="37">
        <f>IF(2&gt;DAY(EOMONTH(DATE(PARAMETRES!$C$29,4,1),0)),"",WEEKDAY(DATE(PARAMETRES!$C$29,4,2),2))</f>
        <v/>
      </c>
      <c r="Q768" s="37">
        <f>IF(3&gt;DAY(EOMONTH(DATE(PARAMETRES!$C$29,4,1),0)),"",WEEKDAY(DATE(PARAMETRES!$C$29,4,3),2))</f>
        <v/>
      </c>
      <c r="R768" s="37">
        <f>IF(4&gt;DAY(EOMONTH(DATE(PARAMETRES!$C$29,4,1),0)),"",WEEKDAY(DATE(PARAMETRES!$C$29,4,4),2))</f>
        <v/>
      </c>
      <c r="S768" s="37">
        <f>IF(5&gt;DAY(EOMONTH(DATE(PARAMETRES!$C$29,4,1),0)),"",WEEKDAY(DATE(PARAMETRES!$C$29,4,5),2))</f>
        <v/>
      </c>
      <c r="T768" s="37">
        <f>IF(6&gt;DAY(EOMONTH(DATE(PARAMETRES!$C$29,4,1),0)),"",WEEKDAY(DATE(PARAMETRES!$C$29,4,6),2))</f>
        <v/>
      </c>
      <c r="U768" s="37">
        <f>IF(7&gt;DAY(EOMONTH(DATE(PARAMETRES!$C$29,4,1),0)),"",WEEKDAY(DATE(PARAMETRES!$C$29,4,7),2))</f>
        <v/>
      </c>
      <c r="V768" s="37">
        <f>IF(8&gt;DAY(EOMONTH(DATE(PARAMETRES!$C$29,4,1),0)),"",WEEKDAY(DATE(PARAMETRES!$C$29,4,8),2))</f>
        <v/>
      </c>
      <c r="W768" s="37">
        <f>IF(9&gt;DAY(EOMONTH(DATE(PARAMETRES!$C$29,4,1),0)),"",WEEKDAY(DATE(PARAMETRES!$C$29,4,9),2))</f>
        <v/>
      </c>
      <c r="X768" s="37">
        <f>IF(10&gt;DAY(EOMONTH(DATE(PARAMETRES!$C$29,4,1),0)),"",WEEKDAY(DATE(PARAMETRES!$C$29,4,10),2))</f>
        <v/>
      </c>
      <c r="Y768" s="37">
        <f>IF(11&gt;DAY(EOMONTH(DATE(PARAMETRES!$C$29,4,1),0)),"",WEEKDAY(DATE(PARAMETRES!$C$29,4,11),2))</f>
        <v/>
      </c>
      <c r="Z768" s="37">
        <f>IF(12&gt;DAY(EOMONTH(DATE(PARAMETRES!$C$29,4,1),0)),"",WEEKDAY(DATE(PARAMETRES!$C$29,4,12),2))</f>
        <v/>
      </c>
      <c r="AA768" s="37">
        <f>IF(13&gt;DAY(EOMONTH(DATE(PARAMETRES!$C$29,4,1),0)),"",WEEKDAY(DATE(PARAMETRES!$C$29,4,13),2))</f>
        <v/>
      </c>
      <c r="AB768" s="37">
        <f>IF(14&gt;DAY(EOMONTH(DATE(PARAMETRES!$C$29,4,1),0)),"",WEEKDAY(DATE(PARAMETRES!$C$29,4,14),2))</f>
        <v/>
      </c>
      <c r="AC768" s="37">
        <f>IF(15&gt;DAY(EOMONTH(DATE(PARAMETRES!$C$29,4,1),0)),"",WEEKDAY(DATE(PARAMETRES!$C$29,4,15),2))</f>
        <v/>
      </c>
      <c r="AD768" s="37">
        <f>IF(16&gt;DAY(EOMONTH(DATE(PARAMETRES!$C$29,4,1),0)),"",WEEKDAY(DATE(PARAMETRES!$C$29,4,16),2))</f>
        <v/>
      </c>
      <c r="AE768" s="37">
        <f>IF(17&gt;DAY(EOMONTH(DATE(PARAMETRES!$C$29,4,1),0)),"",WEEKDAY(DATE(PARAMETRES!$C$29,4,17),2))</f>
        <v/>
      </c>
      <c r="AF768" s="37">
        <f>IF(18&gt;DAY(EOMONTH(DATE(PARAMETRES!$C$29,4,1),0)),"",WEEKDAY(DATE(PARAMETRES!$C$29,4,18),2))</f>
        <v/>
      </c>
      <c r="AG768" s="37">
        <f>IF(19&gt;DAY(EOMONTH(DATE(PARAMETRES!$C$29,4,1),0)),"",WEEKDAY(DATE(PARAMETRES!$C$29,4,19),2))</f>
        <v/>
      </c>
      <c r="AH768" s="37">
        <f>IF(20&gt;DAY(EOMONTH(DATE(PARAMETRES!$C$29,4,1),0)),"",WEEKDAY(DATE(PARAMETRES!$C$29,4,20),2))</f>
        <v/>
      </c>
      <c r="AI768" s="37">
        <f>IF(21&gt;DAY(EOMONTH(DATE(PARAMETRES!$C$29,4,1),0)),"",WEEKDAY(DATE(PARAMETRES!$C$29,4,21),2))</f>
        <v/>
      </c>
      <c r="AJ768" s="37">
        <f>IF(22&gt;DAY(EOMONTH(DATE(PARAMETRES!$C$29,4,1),0)),"",WEEKDAY(DATE(PARAMETRES!$C$29,4,22),2))</f>
        <v/>
      </c>
      <c r="AK768" s="37">
        <f>IF(23&gt;DAY(EOMONTH(DATE(PARAMETRES!$C$29,4,1),0)),"",WEEKDAY(DATE(PARAMETRES!$C$29,4,23),2))</f>
        <v/>
      </c>
      <c r="AL768" s="37">
        <f>IF(24&gt;DAY(EOMONTH(DATE(PARAMETRES!$C$29,4,1),0)),"",WEEKDAY(DATE(PARAMETRES!$C$29,4,24),2))</f>
        <v/>
      </c>
      <c r="AM768" s="37">
        <f>IF(25&gt;DAY(EOMONTH(DATE(PARAMETRES!$C$29,4,1),0)),"",WEEKDAY(DATE(PARAMETRES!$C$29,4,25),2))</f>
        <v/>
      </c>
      <c r="AN768" s="37">
        <f>IF(26&gt;DAY(EOMONTH(DATE(PARAMETRES!$C$29,4,1),0)),"",WEEKDAY(DATE(PARAMETRES!$C$29,4,26),2))</f>
        <v/>
      </c>
      <c r="AO768" s="37">
        <f>IF(27&gt;DAY(EOMONTH(DATE(PARAMETRES!$C$29,4,1),0)),"",WEEKDAY(DATE(PARAMETRES!$C$29,4,27),2))</f>
        <v/>
      </c>
      <c r="AP768" s="37">
        <f>IF(28&gt;DAY(EOMONTH(DATE(PARAMETRES!$C$29,4,1),0)),"",WEEKDAY(DATE(PARAMETRES!$C$29,4,28),2))</f>
        <v/>
      </c>
      <c r="AQ768" s="37">
        <f>IF(29&gt;DAY(EOMONTH(DATE(PARAMETRES!$C$29,4,1),0)),"",WEEKDAY(DATE(PARAMETRES!$C$29,4,29),2))</f>
        <v/>
      </c>
      <c r="AR768" s="37">
        <f>IF(30&gt;DAY(EOMONTH(DATE(PARAMETRES!$C$29,4,1),0)),"",WEEKDAY(DATE(PARAMETRES!$C$29,4,30),2))</f>
        <v/>
      </c>
      <c r="AS768" s="37">
        <f>IF(31&gt;DAY(EOMONTH(DATE(PARAMETRES!$C$29,4,1),0)),"",WEEKDAY(DATE(PARAMETRES!$C$29,4,31),2))</f>
        <v/>
      </c>
    </row>
    <row r="769" ht="15" customHeight="1" s="15">
      <c r="B769" s="38" t="inlineStr">
        <is>
          <t>Jour</t>
        </is>
      </c>
      <c r="O769" s="39">
        <f>IF(O768="","",CHOOSE(O768,"L","M","M","J","V","S","D"))</f>
        <v/>
      </c>
      <c r="P769" s="39">
        <f>IF(P768="","",CHOOSE(P768,"L","M","M","J","V","S","D"))</f>
        <v/>
      </c>
      <c r="Q769" s="39">
        <f>IF(Q768="","",CHOOSE(Q768,"L","M","M","J","V","S","D"))</f>
        <v/>
      </c>
      <c r="R769" s="39">
        <f>IF(R768="","",CHOOSE(R768,"L","M","M","J","V","S","D"))</f>
        <v/>
      </c>
      <c r="S769" s="39">
        <f>IF(S768="","",CHOOSE(S768,"L","M","M","J","V","S","D"))</f>
        <v/>
      </c>
      <c r="T769" s="39">
        <f>IF(T768="","",CHOOSE(T768,"L","M","M","J","V","S","D"))</f>
        <v/>
      </c>
      <c r="U769" s="39">
        <f>IF(U768="","",CHOOSE(U768,"L","M","M","J","V","S","D"))</f>
        <v/>
      </c>
      <c r="V769" s="39">
        <f>IF(V768="","",CHOOSE(V768,"L","M","M","J","V","S","D"))</f>
        <v/>
      </c>
      <c r="W769" s="39">
        <f>IF(W768="","",CHOOSE(W768,"L","M","M","J","V","S","D"))</f>
        <v/>
      </c>
      <c r="X769" s="39">
        <f>IF(X768="","",CHOOSE(X768,"L","M","M","J","V","S","D"))</f>
        <v/>
      </c>
      <c r="Y769" s="39">
        <f>IF(Y768="","",CHOOSE(Y768,"L","M","M","J","V","S","D"))</f>
        <v/>
      </c>
      <c r="Z769" s="39">
        <f>IF(Z768="","",CHOOSE(Z768,"L","M","M","J","V","S","D"))</f>
        <v/>
      </c>
      <c r="AA769" s="39">
        <f>IF(AA768="","",CHOOSE(AA768,"L","M","M","J","V","S","D"))</f>
        <v/>
      </c>
      <c r="AB769" s="39">
        <f>IF(AB768="","",CHOOSE(AB768,"L","M","M","J","V","S","D"))</f>
        <v/>
      </c>
      <c r="AC769" s="39">
        <f>IF(AC768="","",CHOOSE(AC768,"L","M","M","J","V","S","D"))</f>
        <v/>
      </c>
      <c r="AD769" s="39">
        <f>IF(AD768="","",CHOOSE(AD768,"L","M","M","J","V","S","D"))</f>
        <v/>
      </c>
      <c r="AE769" s="39">
        <f>IF(AE768="","",CHOOSE(AE768,"L","M","M","J","V","S","D"))</f>
        <v/>
      </c>
      <c r="AF769" s="39">
        <f>IF(AF768="","",CHOOSE(AF768,"L","M","M","J","V","S","D"))</f>
        <v/>
      </c>
      <c r="AG769" s="39">
        <f>IF(AG768="","",CHOOSE(AG768,"L","M","M","J","V","S","D"))</f>
        <v/>
      </c>
      <c r="AH769" s="39">
        <f>IF(AH768="","",CHOOSE(AH768,"L","M","M","J","V","S","D"))</f>
        <v/>
      </c>
      <c r="AI769" s="39">
        <f>IF(AI768="","",CHOOSE(AI768,"L","M","M","J","V","S","D"))</f>
        <v/>
      </c>
      <c r="AJ769" s="39">
        <f>IF(AJ768="","",CHOOSE(AJ768,"L","M","M","J","V","S","D"))</f>
        <v/>
      </c>
      <c r="AK769" s="39">
        <f>IF(AK768="","",CHOOSE(AK768,"L","M","M","J","V","S","D"))</f>
        <v/>
      </c>
      <c r="AL769" s="39">
        <f>IF(AL768="","",CHOOSE(AL768,"L","M","M","J","V","S","D"))</f>
        <v/>
      </c>
      <c r="AM769" s="39">
        <f>IF(AM768="","",CHOOSE(AM768,"L","M","M","J","V","S","D"))</f>
        <v/>
      </c>
      <c r="AN769" s="39">
        <f>IF(AN768="","",CHOOSE(AN768,"L","M","M","J","V","S","D"))</f>
        <v/>
      </c>
      <c r="AO769" s="39">
        <f>IF(AO768="","",CHOOSE(AO768,"L","M","M","J","V","S","D"))</f>
        <v/>
      </c>
      <c r="AP769" s="39">
        <f>IF(AP768="","",CHOOSE(AP768,"L","M","M","J","V","S","D"))</f>
        <v/>
      </c>
      <c r="AQ769" s="39">
        <f>IF(AQ768="","",CHOOSE(AQ768,"L","M","M","J","V","S","D"))</f>
        <v/>
      </c>
      <c r="AR769" s="39">
        <f>IF(AR768="","",CHOOSE(AR768,"L","M","M","J","V","S","D"))</f>
        <v/>
      </c>
      <c r="AS769" s="39">
        <f>IF(AS768="","",CHOOSE(AS768,"L","M","M","J","V","S","D"))</f>
        <v/>
      </c>
    </row>
    <row r="770" ht="24" customHeight="1" s="15">
      <c r="B770" s="40" t="inlineStr">
        <is>
          <t>Mois</t>
        </is>
      </c>
      <c r="C770" s="40" t="inlineStr">
        <is>
          <t>Matricule</t>
        </is>
      </c>
      <c r="D770" s="40" t="inlineStr">
        <is>
          <t>Nom complet</t>
        </is>
      </c>
      <c r="E770" s="40" t="inlineStr">
        <is>
          <t>Heures
sup.</t>
        </is>
      </c>
      <c r="F770" s="40" t="inlineStr">
        <is>
          <t>Primes
(CDF)</t>
        </is>
      </c>
      <c r="G770" s="40" t="inlineStr">
        <is>
          <t>Jours
abs.</t>
        </is>
      </c>
      <c r="H770" s="40" t="inlineStr">
        <is>
          <t>Avance
(CDF)</t>
        </is>
      </c>
      <c r="I770" s="40" t="inlineStr">
        <is>
          <t>Contrôle
auto.</t>
        </is>
      </c>
      <c r="J770" s="40" t="inlineStr">
        <is>
          <t>Retenues
(CDF)</t>
        </is>
      </c>
      <c r="K770" s="40" t="inlineStr">
        <is>
          <t>Motif</t>
        </is>
      </c>
      <c r="L770" s="40" t="inlineStr">
        <is>
          <t>Observ.</t>
        </is>
      </c>
      <c r="M770" s="40" t="inlineStr">
        <is>
          <t>Jours
prévus</t>
        </is>
      </c>
      <c r="N770" s="40" t="inlineStr">
        <is>
          <t>Jours
réels</t>
        </is>
      </c>
      <c r="O770" s="40" t="n">
        <v>1</v>
      </c>
      <c r="P770" s="40" t="n">
        <v>2</v>
      </c>
      <c r="Q770" s="40" t="n">
        <v>3</v>
      </c>
      <c r="R770" s="40" t="n">
        <v>4</v>
      </c>
      <c r="S770" s="40" t="n">
        <v>5</v>
      </c>
      <c r="T770" s="40" t="n">
        <v>6</v>
      </c>
      <c r="U770" s="40" t="n">
        <v>7</v>
      </c>
      <c r="V770" s="40" t="n">
        <v>8</v>
      </c>
      <c r="W770" s="40" t="n">
        <v>9</v>
      </c>
      <c r="X770" s="40" t="n">
        <v>10</v>
      </c>
      <c r="Y770" s="40" t="n">
        <v>11</v>
      </c>
      <c r="Z770" s="40" t="n">
        <v>12</v>
      </c>
      <c r="AA770" s="40" t="n">
        <v>13</v>
      </c>
      <c r="AB770" s="40" t="n">
        <v>14</v>
      </c>
      <c r="AC770" s="40" t="n">
        <v>15</v>
      </c>
      <c r="AD770" s="40" t="n">
        <v>16</v>
      </c>
      <c r="AE770" s="40" t="n">
        <v>17</v>
      </c>
      <c r="AF770" s="40" t="n">
        <v>18</v>
      </c>
      <c r="AG770" s="40" t="n">
        <v>19</v>
      </c>
      <c r="AH770" s="40" t="n">
        <v>20</v>
      </c>
      <c r="AI770" s="40" t="n">
        <v>21</v>
      </c>
      <c r="AJ770" s="40" t="n">
        <v>22</v>
      </c>
      <c r="AK770" s="40" t="n">
        <v>23</v>
      </c>
      <c r="AL770" s="40" t="n">
        <v>24</v>
      </c>
      <c r="AM770" s="40" t="n">
        <v>25</v>
      </c>
      <c r="AN770" s="40" t="n">
        <v>26</v>
      </c>
      <c r="AO770" s="40" t="n">
        <v>27</v>
      </c>
      <c r="AP770" s="40" t="n">
        <v>28</v>
      </c>
      <c r="AQ770" s="40" t="n">
        <v>29</v>
      </c>
      <c r="AR770" s="40" t="n">
        <v>30</v>
      </c>
      <c r="AS770" s="40" t="n">
        <v>31</v>
      </c>
      <c r="AY770" s="40" t="inlineStr">
        <is>
          <t>Heures
nuit</t>
        </is>
      </c>
    </row>
    <row r="771" hidden="1" outlineLevel="1" ht="15" customHeight="1" s="15">
      <c r="B771" s="41" t="n">
        <v>4</v>
      </c>
      <c r="C771" s="42">
        <f>IF(EMPLOYES!C15="","",EMPLOYES!C15)</f>
        <v/>
      </c>
      <c r="D771" s="43">
        <f>IF(EMPLOYES!C15="","",EMPLOYES!D15)</f>
        <v/>
      </c>
      <c r="E771" s="44" t="n"/>
      <c r="F771" s="42" t="n"/>
      <c r="G771" s="41">
        <f>IF($C771="",0,MAX(0,$M771-$N771))</f>
        <v/>
      </c>
      <c r="H771" s="45" t="n"/>
      <c r="I771" s="41">
        <f>IF($C771="","",IF(H771="","OK",IF(H771&gt;EMPLOYES!P15,"⚠ Avance &gt; salaire",IF(H771&gt;EMPLOYES!P15*PARAMETRES!$C$218,"⚠ Avance élevée","OK"))))</f>
        <v/>
      </c>
      <c r="J771" s="45" t="n"/>
      <c r="K771" s="46" t="n"/>
      <c r="L771" s="46" t="n"/>
      <c r="M771" s="41">
        <f>IF($C771="","",SUMPRODUCT((PARAMETRES!$B$38:$B$157=PARAMETRES!$C$29)*(PARAMETRES!$C$38:$C$157=4)*(IF(EMPLOYES!M15="5j",PARAMETRES!$I$38:$I$157,PARAMETRES!$H$38:$H$157))))</f>
        <v/>
      </c>
      <c r="N771" s="41">
        <f>IF($C771="","",SUMPRODUCT((O771:AS771="P")+(O771:AS771="F")+(O771:AS771="C")+0.5*(O771:AS771="D"),(1-((O768:AS768=6)*(EMPLOYES!M15="5j")))))</f>
        <v/>
      </c>
      <c r="O771" s="46" t="n"/>
      <c r="P771" s="46" t="n"/>
      <c r="Q771" s="46" t="n"/>
      <c r="R771" s="46" t="n"/>
      <c r="S771" s="46" t="n"/>
      <c r="T771" s="46" t="n"/>
      <c r="U771" s="46" t="n"/>
      <c r="V771" s="46" t="n"/>
      <c r="W771" s="46" t="n"/>
      <c r="X771" s="46" t="n"/>
      <c r="Y771" s="46" t="n"/>
      <c r="Z771" s="46" t="n"/>
      <c r="AA771" s="46" t="n"/>
      <c r="AB771" s="46" t="n"/>
      <c r="AC771" s="46" t="n"/>
      <c r="AD771" s="46" t="n"/>
      <c r="AE771" s="46" t="n"/>
      <c r="AF771" s="46" t="n"/>
      <c r="AG771" s="46" t="n"/>
      <c r="AH771" s="46" t="n"/>
      <c r="AI771" s="46" t="n"/>
      <c r="AJ771" s="46" t="n"/>
      <c r="AK771" s="46" t="n"/>
      <c r="AL771" s="46" t="n"/>
      <c r="AM771" s="46" t="n"/>
      <c r="AN771" s="46" t="n"/>
      <c r="AO771" s="46" t="n"/>
      <c r="AP771" s="46" t="n"/>
      <c r="AQ771" s="46" t="n"/>
      <c r="AR771" s="46" t="n"/>
      <c r="AS771" s="46" t="n"/>
      <c r="AV771" s="36">
        <f>IF($C771="","",EMPLOYES!M15)</f>
        <v/>
      </c>
      <c r="AW771" s="36">
        <f>IF($C771="",0,SUMPRODUCT(--(O771:AS771="C")))</f>
        <v/>
      </c>
      <c r="AX771" s="36">
        <f>IF($C771="",0,SUMPRODUCT(--(O771:AS771="R")))</f>
        <v/>
      </c>
      <c r="AY771" s="44" t="n"/>
    </row>
    <row r="772" hidden="1" outlineLevel="1" ht="15" customHeight="1" s="15">
      <c r="B772" s="41" t="n">
        <v>4</v>
      </c>
      <c r="C772" s="42">
        <f>IF(EMPLOYES!C16="","",EMPLOYES!C16)</f>
        <v/>
      </c>
      <c r="D772" s="43">
        <f>IF(EMPLOYES!C16="","",EMPLOYES!D16)</f>
        <v/>
      </c>
      <c r="E772" s="44" t="n"/>
      <c r="F772" s="42" t="n"/>
      <c r="G772" s="41">
        <f>IF($C772="",0,MAX(0,$M772-$N772))</f>
        <v/>
      </c>
      <c r="H772" s="45" t="n"/>
      <c r="I772" s="41">
        <f>IF($C772="","",IF(H772="","OK",IF(H772&gt;EMPLOYES!P16,"⚠ Avance &gt; salaire",IF(H772&gt;EMPLOYES!P16*PARAMETRES!$C$218,"⚠ Avance élevée","OK"))))</f>
        <v/>
      </c>
      <c r="J772" s="45" t="n"/>
      <c r="K772" s="46" t="n"/>
      <c r="L772" s="46" t="n"/>
      <c r="M772" s="41">
        <f>IF($C772="","",SUMPRODUCT((PARAMETRES!$B$38:$B$157=PARAMETRES!$C$29)*(PARAMETRES!$C$38:$C$157=4)*(IF(EMPLOYES!M16="5j",PARAMETRES!$I$38:$I$157,PARAMETRES!$H$38:$H$157))))</f>
        <v/>
      </c>
      <c r="N772" s="41">
        <f>IF($C772="","",SUMPRODUCT((O772:AS772="P")+(O772:AS772="F")+(O772:AS772="C")+0.5*(O772:AS772="D"),(1-((O768:AS768=6)*(EMPLOYES!M16="5j")))))</f>
        <v/>
      </c>
      <c r="O772" s="46" t="n"/>
      <c r="P772" s="46" t="n"/>
      <c r="Q772" s="46" t="n"/>
      <c r="R772" s="46" t="n"/>
      <c r="S772" s="46" t="n"/>
      <c r="T772" s="46" t="n"/>
      <c r="U772" s="46" t="n"/>
      <c r="V772" s="46" t="n"/>
      <c r="W772" s="46" t="n"/>
      <c r="X772" s="46" t="n"/>
      <c r="Y772" s="46" t="n"/>
      <c r="Z772" s="46" t="n"/>
      <c r="AA772" s="46" t="n"/>
      <c r="AB772" s="46" t="n"/>
      <c r="AC772" s="46" t="n"/>
      <c r="AD772" s="46" t="n"/>
      <c r="AE772" s="46" t="n"/>
      <c r="AF772" s="46" t="n"/>
      <c r="AG772" s="46" t="n"/>
      <c r="AH772" s="46" t="n"/>
      <c r="AI772" s="46" t="n"/>
      <c r="AJ772" s="46" t="n"/>
      <c r="AK772" s="46" t="n"/>
      <c r="AL772" s="46" t="n"/>
      <c r="AM772" s="46" t="n"/>
      <c r="AN772" s="46" t="n"/>
      <c r="AO772" s="46" t="n"/>
      <c r="AP772" s="46" t="n"/>
      <c r="AQ772" s="46" t="n"/>
      <c r="AR772" s="46" t="n"/>
      <c r="AS772" s="46" t="n"/>
      <c r="AV772" s="36">
        <f>IF($C772="","",EMPLOYES!M16)</f>
        <v/>
      </c>
      <c r="AW772" s="36">
        <f>IF($C772="",0,SUMPRODUCT(--(O772:AS772="C")))</f>
        <v/>
      </c>
      <c r="AX772" s="36">
        <f>IF($C772="",0,SUMPRODUCT(--(O772:AS772="R")))</f>
        <v/>
      </c>
      <c r="AY772" s="44" t="n"/>
    </row>
    <row r="773" hidden="1" outlineLevel="1" ht="15" customHeight="1" s="15">
      <c r="B773" s="41" t="n">
        <v>4</v>
      </c>
      <c r="C773" s="42">
        <f>IF(EMPLOYES!C17="","",EMPLOYES!C17)</f>
        <v/>
      </c>
      <c r="D773" s="43">
        <f>IF(EMPLOYES!C17="","",EMPLOYES!D17)</f>
        <v/>
      </c>
      <c r="E773" s="44" t="n"/>
      <c r="F773" s="42" t="n"/>
      <c r="G773" s="41">
        <f>IF($C773="",0,MAX(0,$M773-$N773))</f>
        <v/>
      </c>
      <c r="H773" s="45" t="n"/>
      <c r="I773" s="41">
        <f>IF($C773="","",IF(H773="","OK",IF(H773&gt;EMPLOYES!P17,"⚠ Avance &gt; salaire",IF(H773&gt;EMPLOYES!P17*PARAMETRES!$C$218,"⚠ Avance élevée","OK"))))</f>
        <v/>
      </c>
      <c r="J773" s="45" t="n"/>
      <c r="K773" s="46" t="n"/>
      <c r="L773" s="46" t="n"/>
      <c r="M773" s="41">
        <f>IF($C773="","",SUMPRODUCT((PARAMETRES!$B$38:$B$157=PARAMETRES!$C$29)*(PARAMETRES!$C$38:$C$157=4)*(IF(EMPLOYES!M17="5j",PARAMETRES!$I$38:$I$157,PARAMETRES!$H$38:$H$157))))</f>
        <v/>
      </c>
      <c r="N773" s="41">
        <f>IF($C773="","",SUMPRODUCT((O773:AS773="P")+(O773:AS773="F")+(O773:AS773="C")+0.5*(O773:AS773="D"),(1-((O768:AS768=6)*(EMPLOYES!M17="5j")))))</f>
        <v/>
      </c>
      <c r="O773" s="46" t="n"/>
      <c r="P773" s="46" t="n"/>
      <c r="Q773" s="46" t="n"/>
      <c r="R773" s="46" t="n"/>
      <c r="S773" s="46" t="n"/>
      <c r="T773" s="46" t="n"/>
      <c r="U773" s="46" t="n"/>
      <c r="V773" s="46" t="n"/>
      <c r="W773" s="46" t="n"/>
      <c r="X773" s="46" t="n"/>
      <c r="Y773" s="46" t="n"/>
      <c r="Z773" s="46" t="n"/>
      <c r="AA773" s="46" t="n"/>
      <c r="AB773" s="46" t="n"/>
      <c r="AC773" s="46" t="n"/>
      <c r="AD773" s="46" t="n"/>
      <c r="AE773" s="46" t="n"/>
      <c r="AF773" s="46" t="n"/>
      <c r="AG773" s="46" t="n"/>
      <c r="AH773" s="46" t="n"/>
      <c r="AI773" s="46" t="n"/>
      <c r="AJ773" s="46" t="n"/>
      <c r="AK773" s="46" t="n"/>
      <c r="AL773" s="46" t="n"/>
      <c r="AM773" s="46" t="n"/>
      <c r="AN773" s="46" t="n"/>
      <c r="AO773" s="46" t="n"/>
      <c r="AP773" s="46" t="n"/>
      <c r="AQ773" s="46" t="n"/>
      <c r="AR773" s="46" t="n"/>
      <c r="AS773" s="46" t="n"/>
      <c r="AV773" s="36">
        <f>IF($C773="","",EMPLOYES!M17)</f>
        <v/>
      </c>
      <c r="AW773" s="36">
        <f>IF($C773="",0,SUMPRODUCT(--(O773:AS773="C")))</f>
        <v/>
      </c>
      <c r="AX773" s="36">
        <f>IF($C773="",0,SUMPRODUCT(--(O773:AS773="R")))</f>
        <v/>
      </c>
      <c r="AY773" s="44" t="n"/>
    </row>
    <row r="774" hidden="1" outlineLevel="1" ht="15" customHeight="1" s="15">
      <c r="B774" s="41" t="n">
        <v>4</v>
      </c>
      <c r="C774" s="42">
        <f>IF(EMPLOYES!C18="","",EMPLOYES!C18)</f>
        <v/>
      </c>
      <c r="D774" s="43">
        <f>IF(EMPLOYES!C18="","",EMPLOYES!D18)</f>
        <v/>
      </c>
      <c r="E774" s="44" t="n"/>
      <c r="F774" s="42" t="n"/>
      <c r="G774" s="41">
        <f>IF($C774="",0,MAX(0,$M774-$N774))</f>
        <v/>
      </c>
      <c r="H774" s="45" t="n"/>
      <c r="I774" s="41">
        <f>IF($C774="","",IF(H774="","OK",IF(H774&gt;EMPLOYES!P18,"⚠ Avance &gt; salaire",IF(H774&gt;EMPLOYES!P18*PARAMETRES!$C$218,"⚠ Avance élevée","OK"))))</f>
        <v/>
      </c>
      <c r="J774" s="45" t="n"/>
      <c r="K774" s="46" t="n"/>
      <c r="L774" s="46" t="n"/>
      <c r="M774" s="41">
        <f>IF($C774="","",SUMPRODUCT((PARAMETRES!$B$38:$B$157=PARAMETRES!$C$29)*(PARAMETRES!$C$38:$C$157=4)*(IF(EMPLOYES!M18="5j",PARAMETRES!$I$38:$I$157,PARAMETRES!$H$38:$H$157))))</f>
        <v/>
      </c>
      <c r="N774" s="41">
        <f>IF($C774="","",SUMPRODUCT((O774:AS774="P")+(O774:AS774="F")+(O774:AS774="C")+0.5*(O774:AS774="D"),(1-((O768:AS768=6)*(EMPLOYES!M18="5j")))))</f>
        <v/>
      </c>
      <c r="O774" s="46" t="n"/>
      <c r="P774" s="46" t="n"/>
      <c r="Q774" s="46" t="n"/>
      <c r="R774" s="46" t="n"/>
      <c r="S774" s="46" t="n"/>
      <c r="T774" s="46" t="n"/>
      <c r="U774" s="46" t="n"/>
      <c r="V774" s="46" t="n"/>
      <c r="W774" s="46" t="n"/>
      <c r="X774" s="46" t="n"/>
      <c r="Y774" s="46" t="n"/>
      <c r="Z774" s="46" t="n"/>
      <c r="AA774" s="46" t="n"/>
      <c r="AB774" s="46" t="n"/>
      <c r="AC774" s="46" t="n"/>
      <c r="AD774" s="46" t="n"/>
      <c r="AE774" s="46" t="n"/>
      <c r="AF774" s="46" t="n"/>
      <c r="AG774" s="46" t="n"/>
      <c r="AH774" s="46" t="n"/>
      <c r="AI774" s="46" t="n"/>
      <c r="AJ774" s="46" t="n"/>
      <c r="AK774" s="46" t="n"/>
      <c r="AL774" s="46" t="n"/>
      <c r="AM774" s="46" t="n"/>
      <c r="AN774" s="46" t="n"/>
      <c r="AO774" s="46" t="n"/>
      <c r="AP774" s="46" t="n"/>
      <c r="AQ774" s="46" t="n"/>
      <c r="AR774" s="46" t="n"/>
      <c r="AS774" s="46" t="n"/>
      <c r="AV774" s="36">
        <f>IF($C774="","",EMPLOYES!M18)</f>
        <v/>
      </c>
      <c r="AW774" s="36">
        <f>IF($C774="",0,SUMPRODUCT(--(O774:AS774="C")))</f>
        <v/>
      </c>
      <c r="AX774" s="36">
        <f>IF($C774="",0,SUMPRODUCT(--(O774:AS774="R")))</f>
        <v/>
      </c>
      <c r="AY774" s="44" t="n"/>
    </row>
    <row r="775" hidden="1" outlineLevel="1" ht="15" customHeight="1" s="15">
      <c r="B775" s="41" t="n">
        <v>4</v>
      </c>
      <c r="C775" s="42">
        <f>IF(EMPLOYES!C19="","",EMPLOYES!C19)</f>
        <v/>
      </c>
      <c r="D775" s="43">
        <f>IF(EMPLOYES!C19="","",EMPLOYES!D19)</f>
        <v/>
      </c>
      <c r="E775" s="44" t="n"/>
      <c r="F775" s="42" t="n"/>
      <c r="G775" s="41">
        <f>IF($C775="",0,MAX(0,$M775-$N775))</f>
        <v/>
      </c>
      <c r="H775" s="45" t="n"/>
      <c r="I775" s="41">
        <f>IF($C775="","",IF(H775="","OK",IF(H775&gt;EMPLOYES!P19,"⚠ Avance &gt; salaire",IF(H775&gt;EMPLOYES!P19*PARAMETRES!$C$218,"⚠ Avance élevée","OK"))))</f>
        <v/>
      </c>
      <c r="J775" s="45" t="n"/>
      <c r="K775" s="46" t="n"/>
      <c r="L775" s="46" t="n"/>
      <c r="M775" s="41">
        <f>IF($C775="","",SUMPRODUCT((PARAMETRES!$B$38:$B$157=PARAMETRES!$C$29)*(PARAMETRES!$C$38:$C$157=4)*(IF(EMPLOYES!M19="5j",PARAMETRES!$I$38:$I$157,PARAMETRES!$H$38:$H$157))))</f>
        <v/>
      </c>
      <c r="N775" s="41">
        <f>IF($C775="","",SUMPRODUCT((O775:AS775="P")+(O775:AS775="F")+(O775:AS775="C")+0.5*(O775:AS775="D"),(1-((O768:AS768=6)*(EMPLOYES!M19="5j")))))</f>
        <v/>
      </c>
      <c r="O775" s="46" t="n"/>
      <c r="P775" s="46" t="n"/>
      <c r="Q775" s="46" t="n"/>
      <c r="R775" s="46" t="n"/>
      <c r="S775" s="46" t="n"/>
      <c r="T775" s="46" t="n"/>
      <c r="U775" s="46" t="n"/>
      <c r="V775" s="46" t="n"/>
      <c r="W775" s="46" t="n"/>
      <c r="X775" s="46" t="n"/>
      <c r="Y775" s="46" t="n"/>
      <c r="Z775" s="46" t="n"/>
      <c r="AA775" s="46" t="n"/>
      <c r="AB775" s="46" t="n"/>
      <c r="AC775" s="46" t="n"/>
      <c r="AD775" s="46" t="n"/>
      <c r="AE775" s="46" t="n"/>
      <c r="AF775" s="46" t="n"/>
      <c r="AG775" s="46" t="n"/>
      <c r="AH775" s="46" t="n"/>
      <c r="AI775" s="46" t="n"/>
      <c r="AJ775" s="46" t="n"/>
      <c r="AK775" s="46" t="n"/>
      <c r="AL775" s="46" t="n"/>
      <c r="AM775" s="46" t="n"/>
      <c r="AN775" s="46" t="n"/>
      <c r="AO775" s="46" t="n"/>
      <c r="AP775" s="46" t="n"/>
      <c r="AQ775" s="46" t="n"/>
      <c r="AR775" s="46" t="n"/>
      <c r="AS775" s="46" t="n"/>
      <c r="AV775" s="36">
        <f>IF($C775="","",EMPLOYES!M19)</f>
        <v/>
      </c>
      <c r="AW775" s="36">
        <f>IF($C775="",0,SUMPRODUCT(--(O775:AS775="C")))</f>
        <v/>
      </c>
      <c r="AX775" s="36">
        <f>IF($C775="",0,SUMPRODUCT(--(O775:AS775="R")))</f>
        <v/>
      </c>
      <c r="AY775" s="44" t="n"/>
    </row>
    <row r="776" hidden="1" outlineLevel="1" ht="15" customHeight="1" s="15">
      <c r="B776" s="41" t="n">
        <v>4</v>
      </c>
      <c r="C776" s="42">
        <f>IF(EMPLOYES!C20="","",EMPLOYES!C20)</f>
        <v/>
      </c>
      <c r="D776" s="43">
        <f>IF(EMPLOYES!C20="","",EMPLOYES!D20)</f>
        <v/>
      </c>
      <c r="E776" s="44" t="n"/>
      <c r="F776" s="42" t="n"/>
      <c r="G776" s="41">
        <f>IF($C776="",0,MAX(0,$M776-$N776))</f>
        <v/>
      </c>
      <c r="H776" s="45" t="n"/>
      <c r="I776" s="41">
        <f>IF($C776="","",IF(H776="","OK",IF(H776&gt;EMPLOYES!P20,"⚠ Avance &gt; salaire",IF(H776&gt;EMPLOYES!P20*PARAMETRES!$C$218,"⚠ Avance élevée","OK"))))</f>
        <v/>
      </c>
      <c r="J776" s="45" t="n"/>
      <c r="K776" s="46" t="n"/>
      <c r="L776" s="46" t="n"/>
      <c r="M776" s="41">
        <f>IF($C776="","",SUMPRODUCT((PARAMETRES!$B$38:$B$157=PARAMETRES!$C$29)*(PARAMETRES!$C$38:$C$157=4)*(IF(EMPLOYES!M20="5j",PARAMETRES!$I$38:$I$157,PARAMETRES!$H$38:$H$157))))</f>
        <v/>
      </c>
      <c r="N776" s="41">
        <f>IF($C776="","",SUMPRODUCT((O776:AS776="P")+(O776:AS776="F")+(O776:AS776="C")+0.5*(O776:AS776="D"),(1-((O768:AS768=6)*(EMPLOYES!M20="5j")))))</f>
        <v/>
      </c>
      <c r="O776" s="46" t="n"/>
      <c r="P776" s="46" t="n"/>
      <c r="Q776" s="46" t="n"/>
      <c r="R776" s="46" t="n"/>
      <c r="S776" s="46" t="n"/>
      <c r="T776" s="46" t="n"/>
      <c r="U776" s="46" t="n"/>
      <c r="V776" s="46" t="n"/>
      <c r="W776" s="46" t="n"/>
      <c r="X776" s="46" t="n"/>
      <c r="Y776" s="46" t="n"/>
      <c r="Z776" s="46" t="n"/>
      <c r="AA776" s="46" t="n"/>
      <c r="AB776" s="46" t="n"/>
      <c r="AC776" s="46" t="n"/>
      <c r="AD776" s="46" t="n"/>
      <c r="AE776" s="46" t="n"/>
      <c r="AF776" s="46" t="n"/>
      <c r="AG776" s="46" t="n"/>
      <c r="AH776" s="46" t="n"/>
      <c r="AI776" s="46" t="n"/>
      <c r="AJ776" s="46" t="n"/>
      <c r="AK776" s="46" t="n"/>
      <c r="AL776" s="46" t="n"/>
      <c r="AM776" s="46" t="n"/>
      <c r="AN776" s="46" t="n"/>
      <c r="AO776" s="46" t="n"/>
      <c r="AP776" s="46" t="n"/>
      <c r="AQ776" s="46" t="n"/>
      <c r="AR776" s="46" t="n"/>
      <c r="AS776" s="46" t="n"/>
      <c r="AV776" s="36">
        <f>IF($C776="","",EMPLOYES!M20)</f>
        <v/>
      </c>
      <c r="AW776" s="36">
        <f>IF($C776="",0,SUMPRODUCT(--(O776:AS776="C")))</f>
        <v/>
      </c>
      <c r="AX776" s="36">
        <f>IF($C776="",0,SUMPRODUCT(--(O776:AS776="R")))</f>
        <v/>
      </c>
      <c r="AY776" s="44" t="n"/>
    </row>
    <row r="777" hidden="1" outlineLevel="1" ht="15" customHeight="1" s="15">
      <c r="B777" s="41" t="n">
        <v>4</v>
      </c>
      <c r="C777" s="42">
        <f>IF(EMPLOYES!C21="","",EMPLOYES!C21)</f>
        <v/>
      </c>
      <c r="D777" s="43">
        <f>IF(EMPLOYES!C21="","",EMPLOYES!D21)</f>
        <v/>
      </c>
      <c r="E777" s="44" t="n"/>
      <c r="F777" s="42" t="n"/>
      <c r="G777" s="41">
        <f>IF($C777="",0,MAX(0,$M777-$N777))</f>
        <v/>
      </c>
      <c r="H777" s="45" t="n"/>
      <c r="I777" s="41">
        <f>IF($C777="","",IF(H777="","OK",IF(H777&gt;EMPLOYES!P21,"⚠ Avance &gt; salaire",IF(H777&gt;EMPLOYES!P21*PARAMETRES!$C$218,"⚠ Avance élevée","OK"))))</f>
        <v/>
      </c>
      <c r="J777" s="45" t="n"/>
      <c r="K777" s="46" t="n"/>
      <c r="L777" s="46" t="n"/>
      <c r="M777" s="41">
        <f>IF($C777="","",SUMPRODUCT((PARAMETRES!$B$38:$B$157=PARAMETRES!$C$29)*(PARAMETRES!$C$38:$C$157=4)*(IF(EMPLOYES!M21="5j",PARAMETRES!$I$38:$I$157,PARAMETRES!$H$38:$H$157))))</f>
        <v/>
      </c>
      <c r="N777" s="41">
        <f>IF($C777="","",SUMPRODUCT((O777:AS777="P")+(O777:AS777="F")+(O777:AS777="C")+0.5*(O777:AS777="D"),(1-((O768:AS768=6)*(EMPLOYES!M21="5j")))))</f>
        <v/>
      </c>
      <c r="O777" s="46" t="n"/>
      <c r="P777" s="46" t="n"/>
      <c r="Q777" s="46" t="n"/>
      <c r="R777" s="46" t="n"/>
      <c r="S777" s="46" t="n"/>
      <c r="T777" s="46" t="n"/>
      <c r="U777" s="46" t="n"/>
      <c r="V777" s="46" t="n"/>
      <c r="W777" s="46" t="n"/>
      <c r="X777" s="46" t="n"/>
      <c r="Y777" s="46" t="n"/>
      <c r="Z777" s="46" t="n"/>
      <c r="AA777" s="46" t="n"/>
      <c r="AB777" s="46" t="n"/>
      <c r="AC777" s="46" t="n"/>
      <c r="AD777" s="46" t="n"/>
      <c r="AE777" s="46" t="n"/>
      <c r="AF777" s="46" t="n"/>
      <c r="AG777" s="46" t="n"/>
      <c r="AH777" s="46" t="n"/>
      <c r="AI777" s="46" t="n"/>
      <c r="AJ777" s="46" t="n"/>
      <c r="AK777" s="46" t="n"/>
      <c r="AL777" s="46" t="n"/>
      <c r="AM777" s="46" t="n"/>
      <c r="AN777" s="46" t="n"/>
      <c r="AO777" s="46" t="n"/>
      <c r="AP777" s="46" t="n"/>
      <c r="AQ777" s="46" t="n"/>
      <c r="AR777" s="46" t="n"/>
      <c r="AS777" s="46" t="n"/>
      <c r="AV777" s="36">
        <f>IF($C777="","",EMPLOYES!M21)</f>
        <v/>
      </c>
      <c r="AW777" s="36">
        <f>IF($C777="",0,SUMPRODUCT(--(O777:AS777="C")))</f>
        <v/>
      </c>
      <c r="AX777" s="36">
        <f>IF($C777="",0,SUMPRODUCT(--(O777:AS777="R")))</f>
        <v/>
      </c>
      <c r="AY777" s="44" t="n"/>
    </row>
    <row r="778" hidden="1" outlineLevel="1" ht="15" customHeight="1" s="15">
      <c r="B778" s="41" t="n">
        <v>4</v>
      </c>
      <c r="C778" s="42">
        <f>IF(EMPLOYES!C22="","",EMPLOYES!C22)</f>
        <v/>
      </c>
      <c r="D778" s="43">
        <f>IF(EMPLOYES!C22="","",EMPLOYES!D22)</f>
        <v/>
      </c>
      <c r="E778" s="44" t="n"/>
      <c r="F778" s="42" t="n"/>
      <c r="G778" s="41">
        <f>IF($C778="",0,MAX(0,$M778-$N778))</f>
        <v/>
      </c>
      <c r="H778" s="45" t="n"/>
      <c r="I778" s="41">
        <f>IF($C778="","",IF(H778="","OK",IF(H778&gt;EMPLOYES!P22,"⚠ Avance &gt; salaire",IF(H778&gt;EMPLOYES!P22*PARAMETRES!$C$218,"⚠ Avance élevée","OK"))))</f>
        <v/>
      </c>
      <c r="J778" s="45" t="n"/>
      <c r="K778" s="46" t="n"/>
      <c r="L778" s="46" t="n"/>
      <c r="M778" s="41">
        <f>IF($C778="","",SUMPRODUCT((PARAMETRES!$B$38:$B$157=PARAMETRES!$C$29)*(PARAMETRES!$C$38:$C$157=4)*(IF(EMPLOYES!M22="5j",PARAMETRES!$I$38:$I$157,PARAMETRES!$H$38:$H$157))))</f>
        <v/>
      </c>
      <c r="N778" s="41">
        <f>IF($C778="","",SUMPRODUCT((O778:AS778="P")+(O778:AS778="F")+(O778:AS778="C")+0.5*(O778:AS778="D"),(1-((O768:AS768=6)*(EMPLOYES!M22="5j")))))</f>
        <v/>
      </c>
      <c r="O778" s="46" t="n"/>
      <c r="P778" s="46" t="n"/>
      <c r="Q778" s="46" t="n"/>
      <c r="R778" s="46" t="n"/>
      <c r="S778" s="46" t="n"/>
      <c r="T778" s="46" t="n"/>
      <c r="U778" s="46" t="n"/>
      <c r="V778" s="46" t="n"/>
      <c r="W778" s="46" t="n"/>
      <c r="X778" s="46" t="n"/>
      <c r="Y778" s="46" t="n"/>
      <c r="Z778" s="46" t="n"/>
      <c r="AA778" s="46" t="n"/>
      <c r="AB778" s="46" t="n"/>
      <c r="AC778" s="46" t="n"/>
      <c r="AD778" s="46" t="n"/>
      <c r="AE778" s="46" t="n"/>
      <c r="AF778" s="46" t="n"/>
      <c r="AG778" s="46" t="n"/>
      <c r="AH778" s="46" t="n"/>
      <c r="AI778" s="46" t="n"/>
      <c r="AJ778" s="46" t="n"/>
      <c r="AK778" s="46" t="n"/>
      <c r="AL778" s="46" t="n"/>
      <c r="AM778" s="46" t="n"/>
      <c r="AN778" s="46" t="n"/>
      <c r="AO778" s="46" t="n"/>
      <c r="AP778" s="46" t="n"/>
      <c r="AQ778" s="46" t="n"/>
      <c r="AR778" s="46" t="n"/>
      <c r="AS778" s="46" t="n"/>
      <c r="AV778" s="36">
        <f>IF($C778="","",EMPLOYES!M22)</f>
        <v/>
      </c>
      <c r="AW778" s="36">
        <f>IF($C778="",0,SUMPRODUCT(--(O778:AS778="C")))</f>
        <v/>
      </c>
      <c r="AX778" s="36">
        <f>IF($C778="",0,SUMPRODUCT(--(O778:AS778="R")))</f>
        <v/>
      </c>
      <c r="AY778" s="44" t="n"/>
    </row>
    <row r="779" hidden="1" outlineLevel="1" ht="15" customHeight="1" s="15">
      <c r="B779" s="41" t="n">
        <v>4</v>
      </c>
      <c r="C779" s="42">
        <f>IF(EMPLOYES!C23="","",EMPLOYES!C23)</f>
        <v/>
      </c>
      <c r="D779" s="43">
        <f>IF(EMPLOYES!C23="","",EMPLOYES!D23)</f>
        <v/>
      </c>
      <c r="E779" s="44" t="n"/>
      <c r="F779" s="42" t="n"/>
      <c r="G779" s="41">
        <f>IF($C779="",0,MAX(0,$M779-$N779))</f>
        <v/>
      </c>
      <c r="H779" s="45" t="n"/>
      <c r="I779" s="41">
        <f>IF($C779="","",IF(H779="","OK",IF(H779&gt;EMPLOYES!P23,"⚠ Avance &gt; salaire",IF(H779&gt;EMPLOYES!P23*PARAMETRES!$C$218,"⚠ Avance élevée","OK"))))</f>
        <v/>
      </c>
      <c r="J779" s="45" t="n"/>
      <c r="K779" s="46" t="n"/>
      <c r="L779" s="46" t="n"/>
      <c r="M779" s="41">
        <f>IF($C779="","",SUMPRODUCT((PARAMETRES!$B$38:$B$157=PARAMETRES!$C$29)*(PARAMETRES!$C$38:$C$157=4)*(IF(EMPLOYES!M23="5j",PARAMETRES!$I$38:$I$157,PARAMETRES!$H$38:$H$157))))</f>
        <v/>
      </c>
      <c r="N779" s="41">
        <f>IF($C779="","",SUMPRODUCT((O779:AS779="P")+(O779:AS779="F")+(O779:AS779="C")+0.5*(O779:AS779="D"),(1-((O768:AS768=6)*(EMPLOYES!M23="5j")))))</f>
        <v/>
      </c>
      <c r="O779" s="46" t="n"/>
      <c r="P779" s="46" t="n"/>
      <c r="Q779" s="46" t="n"/>
      <c r="R779" s="46" t="n"/>
      <c r="S779" s="46" t="n"/>
      <c r="T779" s="46" t="n"/>
      <c r="U779" s="46" t="n"/>
      <c r="V779" s="46" t="n"/>
      <c r="W779" s="46" t="n"/>
      <c r="X779" s="46" t="n"/>
      <c r="Y779" s="46" t="n"/>
      <c r="Z779" s="46" t="n"/>
      <c r="AA779" s="46" t="n"/>
      <c r="AB779" s="46" t="n"/>
      <c r="AC779" s="46" t="n"/>
      <c r="AD779" s="46" t="n"/>
      <c r="AE779" s="46" t="n"/>
      <c r="AF779" s="46" t="n"/>
      <c r="AG779" s="46" t="n"/>
      <c r="AH779" s="46" t="n"/>
      <c r="AI779" s="46" t="n"/>
      <c r="AJ779" s="46" t="n"/>
      <c r="AK779" s="46" t="n"/>
      <c r="AL779" s="46" t="n"/>
      <c r="AM779" s="46" t="n"/>
      <c r="AN779" s="46" t="n"/>
      <c r="AO779" s="46" t="n"/>
      <c r="AP779" s="46" t="n"/>
      <c r="AQ779" s="46" t="n"/>
      <c r="AR779" s="46" t="n"/>
      <c r="AS779" s="46" t="n"/>
      <c r="AV779" s="36">
        <f>IF($C779="","",EMPLOYES!M23)</f>
        <v/>
      </c>
      <c r="AW779" s="36">
        <f>IF($C779="",0,SUMPRODUCT(--(O779:AS779="C")))</f>
        <v/>
      </c>
      <c r="AX779" s="36">
        <f>IF($C779="",0,SUMPRODUCT(--(O779:AS779="R")))</f>
        <v/>
      </c>
      <c r="AY779" s="44" t="n"/>
    </row>
    <row r="780" hidden="1" outlineLevel="1" ht="15" customHeight="1" s="15">
      <c r="B780" s="41" t="n">
        <v>4</v>
      </c>
      <c r="C780" s="42">
        <f>IF(EMPLOYES!C24="","",EMPLOYES!C24)</f>
        <v/>
      </c>
      <c r="D780" s="43">
        <f>IF(EMPLOYES!C24="","",EMPLOYES!D24)</f>
        <v/>
      </c>
      <c r="E780" s="44" t="n"/>
      <c r="F780" s="42" t="n"/>
      <c r="G780" s="41">
        <f>IF($C780="",0,MAX(0,$M780-$N780))</f>
        <v/>
      </c>
      <c r="H780" s="45" t="n"/>
      <c r="I780" s="41">
        <f>IF($C780="","",IF(H780="","OK",IF(H780&gt;EMPLOYES!P24,"⚠ Avance &gt; salaire",IF(H780&gt;EMPLOYES!P24*PARAMETRES!$C$218,"⚠ Avance élevée","OK"))))</f>
        <v/>
      </c>
      <c r="J780" s="45" t="n"/>
      <c r="K780" s="46" t="n"/>
      <c r="L780" s="46" t="n"/>
      <c r="M780" s="41">
        <f>IF($C780="","",SUMPRODUCT((PARAMETRES!$B$38:$B$157=PARAMETRES!$C$29)*(PARAMETRES!$C$38:$C$157=4)*(IF(EMPLOYES!M24="5j",PARAMETRES!$I$38:$I$157,PARAMETRES!$H$38:$H$157))))</f>
        <v/>
      </c>
      <c r="N780" s="41">
        <f>IF($C780="","",SUMPRODUCT((O780:AS780="P")+(O780:AS780="F")+(O780:AS780="C")+0.5*(O780:AS780="D"),(1-((O768:AS768=6)*(EMPLOYES!M24="5j")))))</f>
        <v/>
      </c>
      <c r="O780" s="46" t="n"/>
      <c r="P780" s="46" t="n"/>
      <c r="Q780" s="46" t="n"/>
      <c r="R780" s="46" t="n"/>
      <c r="S780" s="46" t="n"/>
      <c r="T780" s="46" t="n"/>
      <c r="U780" s="46" t="n"/>
      <c r="V780" s="46" t="n"/>
      <c r="W780" s="46" t="n"/>
      <c r="X780" s="46" t="n"/>
      <c r="Y780" s="46" t="n"/>
      <c r="Z780" s="46" t="n"/>
      <c r="AA780" s="46" t="n"/>
      <c r="AB780" s="46" t="n"/>
      <c r="AC780" s="46" t="n"/>
      <c r="AD780" s="46" t="n"/>
      <c r="AE780" s="46" t="n"/>
      <c r="AF780" s="46" t="n"/>
      <c r="AG780" s="46" t="n"/>
      <c r="AH780" s="46" t="n"/>
      <c r="AI780" s="46" t="n"/>
      <c r="AJ780" s="46" t="n"/>
      <c r="AK780" s="46" t="n"/>
      <c r="AL780" s="46" t="n"/>
      <c r="AM780" s="46" t="n"/>
      <c r="AN780" s="46" t="n"/>
      <c r="AO780" s="46" t="n"/>
      <c r="AP780" s="46" t="n"/>
      <c r="AQ780" s="46" t="n"/>
      <c r="AR780" s="46" t="n"/>
      <c r="AS780" s="46" t="n"/>
      <c r="AV780" s="36">
        <f>IF($C780="","",EMPLOYES!M24)</f>
        <v/>
      </c>
      <c r="AW780" s="36">
        <f>IF($C780="",0,SUMPRODUCT(--(O780:AS780="C")))</f>
        <v/>
      </c>
      <c r="AX780" s="36">
        <f>IF($C780="",0,SUMPRODUCT(--(O780:AS780="R")))</f>
        <v/>
      </c>
      <c r="AY780" s="44" t="n"/>
    </row>
    <row r="781" hidden="1" outlineLevel="1" ht="15" customHeight="1" s="15">
      <c r="B781" s="41" t="n">
        <v>4</v>
      </c>
      <c r="C781" s="42">
        <f>IF(EMPLOYES!C25="","",EMPLOYES!C25)</f>
        <v/>
      </c>
      <c r="D781" s="43">
        <f>IF(EMPLOYES!C25="","",EMPLOYES!D25)</f>
        <v/>
      </c>
      <c r="E781" s="44" t="n"/>
      <c r="F781" s="42" t="n"/>
      <c r="G781" s="41">
        <f>IF($C781="",0,MAX(0,$M781-$N781))</f>
        <v/>
      </c>
      <c r="H781" s="45" t="n"/>
      <c r="I781" s="41">
        <f>IF($C781="","",IF(H781="","OK",IF(H781&gt;EMPLOYES!P25,"⚠ Avance &gt; salaire",IF(H781&gt;EMPLOYES!P25*PARAMETRES!$C$218,"⚠ Avance élevée","OK"))))</f>
        <v/>
      </c>
      <c r="J781" s="45" t="n"/>
      <c r="K781" s="46" t="n"/>
      <c r="L781" s="46" t="n"/>
      <c r="M781" s="41">
        <f>IF($C781="","",SUMPRODUCT((PARAMETRES!$B$38:$B$157=PARAMETRES!$C$29)*(PARAMETRES!$C$38:$C$157=4)*(IF(EMPLOYES!M25="5j",PARAMETRES!$I$38:$I$157,PARAMETRES!$H$38:$H$157))))</f>
        <v/>
      </c>
      <c r="N781" s="41">
        <f>IF($C781="","",SUMPRODUCT((O781:AS781="P")+(O781:AS781="F")+(O781:AS781="C")+0.5*(O781:AS781="D"),(1-((O768:AS768=6)*(EMPLOYES!M25="5j")))))</f>
        <v/>
      </c>
      <c r="O781" s="46" t="n"/>
      <c r="P781" s="46" t="n"/>
      <c r="Q781" s="46" t="n"/>
      <c r="R781" s="46" t="n"/>
      <c r="S781" s="46" t="n"/>
      <c r="T781" s="46" t="n"/>
      <c r="U781" s="46" t="n"/>
      <c r="V781" s="46" t="n"/>
      <c r="W781" s="46" t="n"/>
      <c r="X781" s="46" t="n"/>
      <c r="Y781" s="46" t="n"/>
      <c r="Z781" s="46" t="n"/>
      <c r="AA781" s="46" t="n"/>
      <c r="AB781" s="46" t="n"/>
      <c r="AC781" s="46" t="n"/>
      <c r="AD781" s="46" t="n"/>
      <c r="AE781" s="46" t="n"/>
      <c r="AF781" s="46" t="n"/>
      <c r="AG781" s="46" t="n"/>
      <c r="AH781" s="46" t="n"/>
      <c r="AI781" s="46" t="n"/>
      <c r="AJ781" s="46" t="n"/>
      <c r="AK781" s="46" t="n"/>
      <c r="AL781" s="46" t="n"/>
      <c r="AM781" s="46" t="n"/>
      <c r="AN781" s="46" t="n"/>
      <c r="AO781" s="46" t="n"/>
      <c r="AP781" s="46" t="n"/>
      <c r="AQ781" s="46" t="n"/>
      <c r="AR781" s="46" t="n"/>
      <c r="AS781" s="46" t="n"/>
      <c r="AV781" s="36">
        <f>IF($C781="","",EMPLOYES!M25)</f>
        <v/>
      </c>
      <c r="AW781" s="36">
        <f>IF($C781="",0,SUMPRODUCT(--(O781:AS781="C")))</f>
        <v/>
      </c>
      <c r="AX781" s="36">
        <f>IF($C781="",0,SUMPRODUCT(--(O781:AS781="R")))</f>
        <v/>
      </c>
      <c r="AY781" s="44" t="n"/>
    </row>
    <row r="782" hidden="1" outlineLevel="1" ht="15" customHeight="1" s="15">
      <c r="B782" s="41" t="n">
        <v>4</v>
      </c>
      <c r="C782" s="42">
        <f>IF(EMPLOYES!C26="","",EMPLOYES!C26)</f>
        <v/>
      </c>
      <c r="D782" s="43">
        <f>IF(EMPLOYES!C26="","",EMPLOYES!D26)</f>
        <v/>
      </c>
      <c r="E782" s="44" t="n"/>
      <c r="F782" s="42" t="n"/>
      <c r="G782" s="41">
        <f>IF($C782="",0,MAX(0,$M782-$N782))</f>
        <v/>
      </c>
      <c r="H782" s="45" t="n"/>
      <c r="I782" s="41">
        <f>IF($C782="","",IF(H782="","OK",IF(H782&gt;EMPLOYES!P26,"⚠ Avance &gt; salaire",IF(H782&gt;EMPLOYES!P26*PARAMETRES!$C$218,"⚠ Avance élevée","OK"))))</f>
        <v/>
      </c>
      <c r="J782" s="45" t="n"/>
      <c r="K782" s="46" t="n"/>
      <c r="L782" s="46" t="n"/>
      <c r="M782" s="41">
        <f>IF($C782="","",SUMPRODUCT((PARAMETRES!$B$38:$B$157=PARAMETRES!$C$29)*(PARAMETRES!$C$38:$C$157=4)*(IF(EMPLOYES!M26="5j",PARAMETRES!$I$38:$I$157,PARAMETRES!$H$38:$H$157))))</f>
        <v/>
      </c>
      <c r="N782" s="41">
        <f>IF($C782="","",SUMPRODUCT((O782:AS782="P")+(O782:AS782="F")+(O782:AS782="C")+0.5*(O782:AS782="D"),(1-((O768:AS768=6)*(EMPLOYES!M26="5j")))))</f>
        <v/>
      </c>
      <c r="O782" s="46" t="n"/>
      <c r="P782" s="46" t="n"/>
      <c r="Q782" s="46" t="n"/>
      <c r="R782" s="46" t="n"/>
      <c r="S782" s="46" t="n"/>
      <c r="T782" s="46" t="n"/>
      <c r="U782" s="46" t="n"/>
      <c r="V782" s="46" t="n"/>
      <c r="W782" s="46" t="n"/>
      <c r="X782" s="46" t="n"/>
      <c r="Y782" s="46" t="n"/>
      <c r="Z782" s="46" t="n"/>
      <c r="AA782" s="46" t="n"/>
      <c r="AB782" s="46" t="n"/>
      <c r="AC782" s="46" t="n"/>
      <c r="AD782" s="46" t="n"/>
      <c r="AE782" s="46" t="n"/>
      <c r="AF782" s="46" t="n"/>
      <c r="AG782" s="46" t="n"/>
      <c r="AH782" s="46" t="n"/>
      <c r="AI782" s="46" t="n"/>
      <c r="AJ782" s="46" t="n"/>
      <c r="AK782" s="46" t="n"/>
      <c r="AL782" s="46" t="n"/>
      <c r="AM782" s="46" t="n"/>
      <c r="AN782" s="46" t="n"/>
      <c r="AO782" s="46" t="n"/>
      <c r="AP782" s="46" t="n"/>
      <c r="AQ782" s="46" t="n"/>
      <c r="AR782" s="46" t="n"/>
      <c r="AS782" s="46" t="n"/>
      <c r="AV782" s="36">
        <f>IF($C782="","",EMPLOYES!M26)</f>
        <v/>
      </c>
      <c r="AW782" s="36">
        <f>IF($C782="",0,SUMPRODUCT(--(O782:AS782="C")))</f>
        <v/>
      </c>
      <c r="AX782" s="36">
        <f>IF($C782="",0,SUMPRODUCT(--(O782:AS782="R")))</f>
        <v/>
      </c>
      <c r="AY782" s="44" t="n"/>
    </row>
    <row r="783" hidden="1" outlineLevel="1" ht="15" customHeight="1" s="15">
      <c r="B783" s="41" t="n">
        <v>4</v>
      </c>
      <c r="C783" s="42">
        <f>IF(EMPLOYES!C27="","",EMPLOYES!C27)</f>
        <v/>
      </c>
      <c r="D783" s="43">
        <f>IF(EMPLOYES!C27="","",EMPLOYES!D27)</f>
        <v/>
      </c>
      <c r="E783" s="44" t="n"/>
      <c r="F783" s="42" t="n"/>
      <c r="G783" s="41">
        <f>IF($C783="",0,MAX(0,$M783-$N783))</f>
        <v/>
      </c>
      <c r="H783" s="45" t="n"/>
      <c r="I783" s="41">
        <f>IF($C783="","",IF(H783="","OK",IF(H783&gt;EMPLOYES!P27,"⚠ Avance &gt; salaire",IF(H783&gt;EMPLOYES!P27*PARAMETRES!$C$218,"⚠ Avance élevée","OK"))))</f>
        <v/>
      </c>
      <c r="J783" s="45" t="n"/>
      <c r="K783" s="46" t="n"/>
      <c r="L783" s="46" t="n"/>
      <c r="M783" s="41">
        <f>IF($C783="","",SUMPRODUCT((PARAMETRES!$B$38:$B$157=PARAMETRES!$C$29)*(PARAMETRES!$C$38:$C$157=4)*(IF(EMPLOYES!M27="5j",PARAMETRES!$I$38:$I$157,PARAMETRES!$H$38:$H$157))))</f>
        <v/>
      </c>
      <c r="N783" s="41">
        <f>IF($C783="","",SUMPRODUCT((O783:AS783="P")+(O783:AS783="F")+(O783:AS783="C")+0.5*(O783:AS783="D"),(1-((O768:AS768=6)*(EMPLOYES!M27="5j")))))</f>
        <v/>
      </c>
      <c r="O783" s="46" t="n"/>
      <c r="P783" s="46" t="n"/>
      <c r="Q783" s="46" t="n"/>
      <c r="R783" s="46" t="n"/>
      <c r="S783" s="46" t="n"/>
      <c r="T783" s="46" t="n"/>
      <c r="U783" s="46" t="n"/>
      <c r="V783" s="46" t="n"/>
      <c r="W783" s="46" t="n"/>
      <c r="X783" s="46" t="n"/>
      <c r="Y783" s="46" t="n"/>
      <c r="Z783" s="46" t="n"/>
      <c r="AA783" s="46" t="n"/>
      <c r="AB783" s="46" t="n"/>
      <c r="AC783" s="46" t="n"/>
      <c r="AD783" s="46" t="n"/>
      <c r="AE783" s="46" t="n"/>
      <c r="AF783" s="46" t="n"/>
      <c r="AG783" s="46" t="n"/>
      <c r="AH783" s="46" t="n"/>
      <c r="AI783" s="46" t="n"/>
      <c r="AJ783" s="46" t="n"/>
      <c r="AK783" s="46" t="n"/>
      <c r="AL783" s="46" t="n"/>
      <c r="AM783" s="46" t="n"/>
      <c r="AN783" s="46" t="n"/>
      <c r="AO783" s="46" t="n"/>
      <c r="AP783" s="46" t="n"/>
      <c r="AQ783" s="46" t="n"/>
      <c r="AR783" s="46" t="n"/>
      <c r="AS783" s="46" t="n"/>
      <c r="AV783" s="36">
        <f>IF($C783="","",EMPLOYES!M27)</f>
        <v/>
      </c>
      <c r="AW783" s="36">
        <f>IF($C783="",0,SUMPRODUCT(--(O783:AS783="C")))</f>
        <v/>
      </c>
      <c r="AX783" s="36">
        <f>IF($C783="",0,SUMPRODUCT(--(O783:AS783="R")))</f>
        <v/>
      </c>
      <c r="AY783" s="44" t="n"/>
    </row>
    <row r="784" hidden="1" outlineLevel="1" ht="15" customHeight="1" s="15">
      <c r="B784" s="41" t="n">
        <v>4</v>
      </c>
      <c r="C784" s="42">
        <f>IF(EMPLOYES!C28="","",EMPLOYES!C28)</f>
        <v/>
      </c>
      <c r="D784" s="43">
        <f>IF(EMPLOYES!C28="","",EMPLOYES!D28)</f>
        <v/>
      </c>
      <c r="E784" s="44" t="n"/>
      <c r="F784" s="42" t="n"/>
      <c r="G784" s="41">
        <f>IF($C784="",0,MAX(0,$M784-$N784))</f>
        <v/>
      </c>
      <c r="H784" s="45" t="n"/>
      <c r="I784" s="41">
        <f>IF($C784="","",IF(H784="","OK",IF(H784&gt;EMPLOYES!P28,"⚠ Avance &gt; salaire",IF(H784&gt;EMPLOYES!P28*PARAMETRES!$C$218,"⚠ Avance élevée","OK"))))</f>
        <v/>
      </c>
      <c r="J784" s="45" t="n"/>
      <c r="K784" s="46" t="n"/>
      <c r="L784" s="46" t="n"/>
      <c r="M784" s="41">
        <f>IF($C784="","",SUMPRODUCT((PARAMETRES!$B$38:$B$157=PARAMETRES!$C$29)*(PARAMETRES!$C$38:$C$157=4)*(IF(EMPLOYES!M28="5j",PARAMETRES!$I$38:$I$157,PARAMETRES!$H$38:$H$157))))</f>
        <v/>
      </c>
      <c r="N784" s="41">
        <f>IF($C784="","",SUMPRODUCT((O784:AS784="P")+(O784:AS784="F")+(O784:AS784="C")+0.5*(O784:AS784="D"),(1-((O768:AS768=6)*(EMPLOYES!M28="5j")))))</f>
        <v/>
      </c>
      <c r="O784" s="46" t="n"/>
      <c r="P784" s="46" t="n"/>
      <c r="Q784" s="46" t="n"/>
      <c r="R784" s="46" t="n"/>
      <c r="S784" s="46" t="n"/>
      <c r="T784" s="46" t="n"/>
      <c r="U784" s="46" t="n"/>
      <c r="V784" s="46" t="n"/>
      <c r="W784" s="46" t="n"/>
      <c r="X784" s="46" t="n"/>
      <c r="Y784" s="46" t="n"/>
      <c r="Z784" s="46" t="n"/>
      <c r="AA784" s="46" t="n"/>
      <c r="AB784" s="46" t="n"/>
      <c r="AC784" s="46" t="n"/>
      <c r="AD784" s="46" t="n"/>
      <c r="AE784" s="46" t="n"/>
      <c r="AF784" s="46" t="n"/>
      <c r="AG784" s="46" t="n"/>
      <c r="AH784" s="46" t="n"/>
      <c r="AI784" s="46" t="n"/>
      <c r="AJ784" s="46" t="n"/>
      <c r="AK784" s="46" t="n"/>
      <c r="AL784" s="46" t="n"/>
      <c r="AM784" s="46" t="n"/>
      <c r="AN784" s="46" t="n"/>
      <c r="AO784" s="46" t="n"/>
      <c r="AP784" s="46" t="n"/>
      <c r="AQ784" s="46" t="n"/>
      <c r="AR784" s="46" t="n"/>
      <c r="AS784" s="46" t="n"/>
      <c r="AV784" s="36">
        <f>IF($C784="","",EMPLOYES!M28)</f>
        <v/>
      </c>
      <c r="AW784" s="36">
        <f>IF($C784="",0,SUMPRODUCT(--(O784:AS784="C")))</f>
        <v/>
      </c>
      <c r="AX784" s="36">
        <f>IF($C784="",0,SUMPRODUCT(--(O784:AS784="R")))</f>
        <v/>
      </c>
      <c r="AY784" s="44" t="n"/>
    </row>
    <row r="785" hidden="1" outlineLevel="1" ht="15" customHeight="1" s="15">
      <c r="B785" s="41" t="n">
        <v>4</v>
      </c>
      <c r="C785" s="42">
        <f>IF(EMPLOYES!C29="","",EMPLOYES!C29)</f>
        <v/>
      </c>
      <c r="D785" s="43">
        <f>IF(EMPLOYES!C29="","",EMPLOYES!D29)</f>
        <v/>
      </c>
      <c r="E785" s="44" t="n"/>
      <c r="F785" s="42" t="n"/>
      <c r="G785" s="41">
        <f>IF($C785="",0,MAX(0,$M785-$N785))</f>
        <v/>
      </c>
      <c r="H785" s="45" t="n"/>
      <c r="I785" s="41">
        <f>IF($C785="","",IF(H785="","OK",IF(H785&gt;EMPLOYES!P29,"⚠ Avance &gt; salaire",IF(H785&gt;EMPLOYES!P29*PARAMETRES!$C$218,"⚠ Avance élevée","OK"))))</f>
        <v/>
      </c>
      <c r="J785" s="45" t="n"/>
      <c r="K785" s="46" t="n"/>
      <c r="L785" s="46" t="n"/>
      <c r="M785" s="41">
        <f>IF($C785="","",SUMPRODUCT((PARAMETRES!$B$38:$B$157=PARAMETRES!$C$29)*(PARAMETRES!$C$38:$C$157=4)*(IF(EMPLOYES!M29="5j",PARAMETRES!$I$38:$I$157,PARAMETRES!$H$38:$H$157))))</f>
        <v/>
      </c>
      <c r="N785" s="41">
        <f>IF($C785="","",SUMPRODUCT((O785:AS785="P")+(O785:AS785="F")+(O785:AS785="C")+0.5*(O785:AS785="D"),(1-((O768:AS768=6)*(EMPLOYES!M29="5j")))))</f>
        <v/>
      </c>
      <c r="O785" s="46" t="n"/>
      <c r="P785" s="46" t="n"/>
      <c r="Q785" s="46" t="n"/>
      <c r="R785" s="46" t="n"/>
      <c r="S785" s="46" t="n"/>
      <c r="T785" s="46" t="n"/>
      <c r="U785" s="46" t="n"/>
      <c r="V785" s="46" t="n"/>
      <c r="W785" s="46" t="n"/>
      <c r="X785" s="46" t="n"/>
      <c r="Y785" s="46" t="n"/>
      <c r="Z785" s="46" t="n"/>
      <c r="AA785" s="46" t="n"/>
      <c r="AB785" s="46" t="n"/>
      <c r="AC785" s="46" t="n"/>
      <c r="AD785" s="46" t="n"/>
      <c r="AE785" s="46" t="n"/>
      <c r="AF785" s="46" t="n"/>
      <c r="AG785" s="46" t="n"/>
      <c r="AH785" s="46" t="n"/>
      <c r="AI785" s="46" t="n"/>
      <c r="AJ785" s="46" t="n"/>
      <c r="AK785" s="46" t="n"/>
      <c r="AL785" s="46" t="n"/>
      <c r="AM785" s="46" t="n"/>
      <c r="AN785" s="46" t="n"/>
      <c r="AO785" s="46" t="n"/>
      <c r="AP785" s="46" t="n"/>
      <c r="AQ785" s="46" t="n"/>
      <c r="AR785" s="46" t="n"/>
      <c r="AS785" s="46" t="n"/>
      <c r="AV785" s="36">
        <f>IF($C785="","",EMPLOYES!M29)</f>
        <v/>
      </c>
      <c r="AW785" s="36">
        <f>IF($C785="",0,SUMPRODUCT(--(O785:AS785="C")))</f>
        <v/>
      </c>
      <c r="AX785" s="36">
        <f>IF($C785="",0,SUMPRODUCT(--(O785:AS785="R")))</f>
        <v/>
      </c>
      <c r="AY785" s="44" t="n"/>
    </row>
    <row r="786" hidden="1" outlineLevel="1" ht="15" customHeight="1" s="15">
      <c r="B786" s="41" t="n">
        <v>4</v>
      </c>
      <c r="C786" s="42">
        <f>IF(EMPLOYES!C30="","",EMPLOYES!C30)</f>
        <v/>
      </c>
      <c r="D786" s="43">
        <f>IF(EMPLOYES!C30="","",EMPLOYES!D30)</f>
        <v/>
      </c>
      <c r="E786" s="44" t="n"/>
      <c r="F786" s="42" t="n"/>
      <c r="G786" s="41">
        <f>IF($C786="",0,MAX(0,$M786-$N786))</f>
        <v/>
      </c>
      <c r="H786" s="45" t="n"/>
      <c r="I786" s="41">
        <f>IF($C786="","",IF(H786="","OK",IF(H786&gt;EMPLOYES!P30,"⚠ Avance &gt; salaire",IF(H786&gt;EMPLOYES!P30*PARAMETRES!$C$218,"⚠ Avance élevée","OK"))))</f>
        <v/>
      </c>
      <c r="J786" s="45" t="n"/>
      <c r="K786" s="46" t="n"/>
      <c r="L786" s="46" t="n"/>
      <c r="M786" s="41">
        <f>IF($C786="","",SUMPRODUCT((PARAMETRES!$B$38:$B$157=PARAMETRES!$C$29)*(PARAMETRES!$C$38:$C$157=4)*(IF(EMPLOYES!M30="5j",PARAMETRES!$I$38:$I$157,PARAMETRES!$H$38:$H$157))))</f>
        <v/>
      </c>
      <c r="N786" s="41">
        <f>IF($C786="","",SUMPRODUCT((O786:AS786="P")+(O786:AS786="F")+(O786:AS786="C")+0.5*(O786:AS786="D"),(1-((O768:AS768=6)*(EMPLOYES!M30="5j")))))</f>
        <v/>
      </c>
      <c r="O786" s="46" t="n"/>
      <c r="P786" s="46" t="n"/>
      <c r="Q786" s="46" t="n"/>
      <c r="R786" s="46" t="n"/>
      <c r="S786" s="46" t="n"/>
      <c r="T786" s="46" t="n"/>
      <c r="U786" s="46" t="n"/>
      <c r="V786" s="46" t="n"/>
      <c r="W786" s="46" t="n"/>
      <c r="X786" s="46" t="n"/>
      <c r="Y786" s="46" t="n"/>
      <c r="Z786" s="46" t="n"/>
      <c r="AA786" s="46" t="n"/>
      <c r="AB786" s="46" t="n"/>
      <c r="AC786" s="46" t="n"/>
      <c r="AD786" s="46" t="n"/>
      <c r="AE786" s="46" t="n"/>
      <c r="AF786" s="46" t="n"/>
      <c r="AG786" s="46" t="n"/>
      <c r="AH786" s="46" t="n"/>
      <c r="AI786" s="46" t="n"/>
      <c r="AJ786" s="46" t="n"/>
      <c r="AK786" s="46" t="n"/>
      <c r="AL786" s="46" t="n"/>
      <c r="AM786" s="46" t="n"/>
      <c r="AN786" s="46" t="n"/>
      <c r="AO786" s="46" t="n"/>
      <c r="AP786" s="46" t="n"/>
      <c r="AQ786" s="46" t="n"/>
      <c r="AR786" s="46" t="n"/>
      <c r="AS786" s="46" t="n"/>
      <c r="AV786" s="36">
        <f>IF($C786="","",EMPLOYES!M30)</f>
        <v/>
      </c>
      <c r="AW786" s="36">
        <f>IF($C786="",0,SUMPRODUCT(--(O786:AS786="C")))</f>
        <v/>
      </c>
      <c r="AX786" s="36">
        <f>IF($C786="",0,SUMPRODUCT(--(O786:AS786="R")))</f>
        <v/>
      </c>
      <c r="AY786" s="44" t="n"/>
    </row>
    <row r="787" hidden="1" outlineLevel="1" ht="15" customHeight="1" s="15">
      <c r="B787" s="41" t="n">
        <v>4</v>
      </c>
      <c r="C787" s="42">
        <f>IF(EMPLOYES!C31="","",EMPLOYES!C31)</f>
        <v/>
      </c>
      <c r="D787" s="43">
        <f>IF(EMPLOYES!C31="","",EMPLOYES!D31)</f>
        <v/>
      </c>
      <c r="E787" s="44" t="n"/>
      <c r="F787" s="42" t="n"/>
      <c r="G787" s="41">
        <f>IF($C787="",0,MAX(0,$M787-$N787))</f>
        <v/>
      </c>
      <c r="H787" s="45" t="n"/>
      <c r="I787" s="41">
        <f>IF($C787="","",IF(H787="","OK",IF(H787&gt;EMPLOYES!P31,"⚠ Avance &gt; salaire",IF(H787&gt;EMPLOYES!P31*PARAMETRES!$C$218,"⚠ Avance élevée","OK"))))</f>
        <v/>
      </c>
      <c r="J787" s="45" t="n"/>
      <c r="K787" s="46" t="n"/>
      <c r="L787" s="46" t="n"/>
      <c r="M787" s="41">
        <f>IF($C787="","",SUMPRODUCT((PARAMETRES!$B$38:$B$157=PARAMETRES!$C$29)*(PARAMETRES!$C$38:$C$157=4)*(IF(EMPLOYES!M31="5j",PARAMETRES!$I$38:$I$157,PARAMETRES!$H$38:$H$157))))</f>
        <v/>
      </c>
      <c r="N787" s="41">
        <f>IF($C787="","",SUMPRODUCT((O787:AS787="P")+(O787:AS787="F")+(O787:AS787="C")+0.5*(O787:AS787="D"),(1-((O768:AS768=6)*(EMPLOYES!M31="5j")))))</f>
        <v/>
      </c>
      <c r="O787" s="46" t="n"/>
      <c r="P787" s="46" t="n"/>
      <c r="Q787" s="46" t="n"/>
      <c r="R787" s="46" t="n"/>
      <c r="S787" s="46" t="n"/>
      <c r="T787" s="46" t="n"/>
      <c r="U787" s="46" t="n"/>
      <c r="V787" s="46" t="n"/>
      <c r="W787" s="46" t="n"/>
      <c r="X787" s="46" t="n"/>
      <c r="Y787" s="46" t="n"/>
      <c r="Z787" s="46" t="n"/>
      <c r="AA787" s="46" t="n"/>
      <c r="AB787" s="46" t="n"/>
      <c r="AC787" s="46" t="n"/>
      <c r="AD787" s="46" t="n"/>
      <c r="AE787" s="46" t="n"/>
      <c r="AF787" s="46" t="n"/>
      <c r="AG787" s="46" t="n"/>
      <c r="AH787" s="46" t="n"/>
      <c r="AI787" s="46" t="n"/>
      <c r="AJ787" s="46" t="n"/>
      <c r="AK787" s="46" t="n"/>
      <c r="AL787" s="46" t="n"/>
      <c r="AM787" s="46" t="n"/>
      <c r="AN787" s="46" t="n"/>
      <c r="AO787" s="46" t="n"/>
      <c r="AP787" s="46" t="n"/>
      <c r="AQ787" s="46" t="n"/>
      <c r="AR787" s="46" t="n"/>
      <c r="AS787" s="46" t="n"/>
      <c r="AV787" s="36">
        <f>IF($C787="","",EMPLOYES!M31)</f>
        <v/>
      </c>
      <c r="AW787" s="36">
        <f>IF($C787="",0,SUMPRODUCT(--(O787:AS787="C")))</f>
        <v/>
      </c>
      <c r="AX787" s="36">
        <f>IF($C787="",0,SUMPRODUCT(--(O787:AS787="R")))</f>
        <v/>
      </c>
      <c r="AY787" s="44" t="n"/>
    </row>
    <row r="788" hidden="1" outlineLevel="1" ht="15" customHeight="1" s="15">
      <c r="B788" s="41" t="n">
        <v>4</v>
      </c>
      <c r="C788" s="42">
        <f>IF(EMPLOYES!C32="","",EMPLOYES!C32)</f>
        <v/>
      </c>
      <c r="D788" s="43">
        <f>IF(EMPLOYES!C32="","",EMPLOYES!D32)</f>
        <v/>
      </c>
      <c r="E788" s="44" t="n"/>
      <c r="F788" s="42" t="n"/>
      <c r="G788" s="41">
        <f>IF($C788="",0,MAX(0,$M788-$N788))</f>
        <v/>
      </c>
      <c r="H788" s="45" t="n"/>
      <c r="I788" s="41">
        <f>IF($C788="","",IF(H788="","OK",IF(H788&gt;EMPLOYES!P32,"⚠ Avance &gt; salaire",IF(H788&gt;EMPLOYES!P32*PARAMETRES!$C$218,"⚠ Avance élevée","OK"))))</f>
        <v/>
      </c>
      <c r="J788" s="45" t="n"/>
      <c r="K788" s="46" t="n"/>
      <c r="L788" s="46" t="n"/>
      <c r="M788" s="41">
        <f>IF($C788="","",SUMPRODUCT((PARAMETRES!$B$38:$B$157=PARAMETRES!$C$29)*(PARAMETRES!$C$38:$C$157=4)*(IF(EMPLOYES!M32="5j",PARAMETRES!$I$38:$I$157,PARAMETRES!$H$38:$H$157))))</f>
        <v/>
      </c>
      <c r="N788" s="41">
        <f>IF($C788="","",SUMPRODUCT((O788:AS788="P")+(O788:AS788="F")+(O788:AS788="C")+0.5*(O788:AS788="D"),(1-((O768:AS768=6)*(EMPLOYES!M32="5j")))))</f>
        <v/>
      </c>
      <c r="O788" s="46" t="n"/>
      <c r="P788" s="46" t="n"/>
      <c r="Q788" s="46" t="n"/>
      <c r="R788" s="46" t="n"/>
      <c r="S788" s="46" t="n"/>
      <c r="T788" s="46" t="n"/>
      <c r="U788" s="46" t="n"/>
      <c r="V788" s="46" t="n"/>
      <c r="W788" s="46" t="n"/>
      <c r="X788" s="46" t="n"/>
      <c r="Y788" s="46" t="n"/>
      <c r="Z788" s="46" t="n"/>
      <c r="AA788" s="46" t="n"/>
      <c r="AB788" s="46" t="n"/>
      <c r="AC788" s="46" t="n"/>
      <c r="AD788" s="46" t="n"/>
      <c r="AE788" s="46" t="n"/>
      <c r="AF788" s="46" t="n"/>
      <c r="AG788" s="46" t="n"/>
      <c r="AH788" s="46" t="n"/>
      <c r="AI788" s="46" t="n"/>
      <c r="AJ788" s="46" t="n"/>
      <c r="AK788" s="46" t="n"/>
      <c r="AL788" s="46" t="n"/>
      <c r="AM788" s="46" t="n"/>
      <c r="AN788" s="46" t="n"/>
      <c r="AO788" s="46" t="n"/>
      <c r="AP788" s="46" t="n"/>
      <c r="AQ788" s="46" t="n"/>
      <c r="AR788" s="46" t="n"/>
      <c r="AS788" s="46" t="n"/>
      <c r="AV788" s="36">
        <f>IF($C788="","",EMPLOYES!M32)</f>
        <v/>
      </c>
      <c r="AW788" s="36">
        <f>IF($C788="",0,SUMPRODUCT(--(O788:AS788="C")))</f>
        <v/>
      </c>
      <c r="AX788" s="36">
        <f>IF($C788="",0,SUMPRODUCT(--(O788:AS788="R")))</f>
        <v/>
      </c>
      <c r="AY788" s="44" t="n"/>
    </row>
    <row r="789" hidden="1" outlineLevel="1" ht="15" customHeight="1" s="15">
      <c r="B789" s="41" t="n">
        <v>4</v>
      </c>
      <c r="C789" s="42">
        <f>IF(EMPLOYES!C33="","",EMPLOYES!C33)</f>
        <v/>
      </c>
      <c r="D789" s="43">
        <f>IF(EMPLOYES!C33="","",EMPLOYES!D33)</f>
        <v/>
      </c>
      <c r="E789" s="44" t="n"/>
      <c r="F789" s="42" t="n"/>
      <c r="G789" s="41">
        <f>IF($C789="",0,MAX(0,$M789-$N789))</f>
        <v/>
      </c>
      <c r="H789" s="45" t="n"/>
      <c r="I789" s="41">
        <f>IF($C789="","",IF(H789="","OK",IF(H789&gt;EMPLOYES!P33,"⚠ Avance &gt; salaire",IF(H789&gt;EMPLOYES!P33*PARAMETRES!$C$218,"⚠ Avance élevée","OK"))))</f>
        <v/>
      </c>
      <c r="J789" s="45" t="n"/>
      <c r="K789" s="46" t="n"/>
      <c r="L789" s="46" t="n"/>
      <c r="M789" s="41">
        <f>IF($C789="","",SUMPRODUCT((PARAMETRES!$B$38:$B$157=PARAMETRES!$C$29)*(PARAMETRES!$C$38:$C$157=4)*(IF(EMPLOYES!M33="5j",PARAMETRES!$I$38:$I$157,PARAMETRES!$H$38:$H$157))))</f>
        <v/>
      </c>
      <c r="N789" s="41">
        <f>IF($C789="","",SUMPRODUCT((O789:AS789="P")+(O789:AS789="F")+(O789:AS789="C")+0.5*(O789:AS789="D"),(1-((O768:AS768=6)*(EMPLOYES!M33="5j")))))</f>
        <v/>
      </c>
      <c r="O789" s="46" t="n"/>
      <c r="P789" s="46" t="n"/>
      <c r="Q789" s="46" t="n"/>
      <c r="R789" s="46" t="n"/>
      <c r="S789" s="46" t="n"/>
      <c r="T789" s="46" t="n"/>
      <c r="U789" s="46" t="n"/>
      <c r="V789" s="46" t="n"/>
      <c r="W789" s="46" t="n"/>
      <c r="X789" s="46" t="n"/>
      <c r="Y789" s="46" t="n"/>
      <c r="Z789" s="46" t="n"/>
      <c r="AA789" s="46" t="n"/>
      <c r="AB789" s="46" t="n"/>
      <c r="AC789" s="46" t="n"/>
      <c r="AD789" s="46" t="n"/>
      <c r="AE789" s="46" t="n"/>
      <c r="AF789" s="46" t="n"/>
      <c r="AG789" s="46" t="n"/>
      <c r="AH789" s="46" t="n"/>
      <c r="AI789" s="46" t="n"/>
      <c r="AJ789" s="46" t="n"/>
      <c r="AK789" s="46" t="n"/>
      <c r="AL789" s="46" t="n"/>
      <c r="AM789" s="46" t="n"/>
      <c r="AN789" s="46" t="n"/>
      <c r="AO789" s="46" t="n"/>
      <c r="AP789" s="46" t="n"/>
      <c r="AQ789" s="46" t="n"/>
      <c r="AR789" s="46" t="n"/>
      <c r="AS789" s="46" t="n"/>
      <c r="AV789" s="36">
        <f>IF($C789="","",EMPLOYES!M33)</f>
        <v/>
      </c>
      <c r="AW789" s="36">
        <f>IF($C789="",0,SUMPRODUCT(--(O789:AS789="C")))</f>
        <v/>
      </c>
      <c r="AX789" s="36">
        <f>IF($C789="",0,SUMPRODUCT(--(O789:AS789="R")))</f>
        <v/>
      </c>
      <c r="AY789" s="44" t="n"/>
    </row>
    <row r="790" hidden="1" outlineLevel="1" ht="15" customHeight="1" s="15">
      <c r="B790" s="41" t="n">
        <v>4</v>
      </c>
      <c r="C790" s="42">
        <f>IF(EMPLOYES!C34="","",EMPLOYES!C34)</f>
        <v/>
      </c>
      <c r="D790" s="43">
        <f>IF(EMPLOYES!C34="","",EMPLOYES!D34)</f>
        <v/>
      </c>
      <c r="E790" s="44" t="n"/>
      <c r="F790" s="42" t="n"/>
      <c r="G790" s="41">
        <f>IF($C790="",0,MAX(0,$M790-$N790))</f>
        <v/>
      </c>
      <c r="H790" s="45" t="n"/>
      <c r="I790" s="41">
        <f>IF($C790="","",IF(H790="","OK",IF(H790&gt;EMPLOYES!P34,"⚠ Avance &gt; salaire",IF(H790&gt;EMPLOYES!P34*PARAMETRES!$C$218,"⚠ Avance élevée","OK"))))</f>
        <v/>
      </c>
      <c r="J790" s="45" t="n"/>
      <c r="K790" s="46" t="n"/>
      <c r="L790" s="46" t="n"/>
      <c r="M790" s="41">
        <f>IF($C790="","",SUMPRODUCT((PARAMETRES!$B$38:$B$157=PARAMETRES!$C$29)*(PARAMETRES!$C$38:$C$157=4)*(IF(EMPLOYES!M34="5j",PARAMETRES!$I$38:$I$157,PARAMETRES!$H$38:$H$157))))</f>
        <v/>
      </c>
      <c r="N790" s="41">
        <f>IF($C790="","",SUMPRODUCT((O790:AS790="P")+(O790:AS790="F")+(O790:AS790="C")+0.5*(O790:AS790="D"),(1-((O768:AS768=6)*(EMPLOYES!M34="5j")))))</f>
        <v/>
      </c>
      <c r="O790" s="46" t="n"/>
      <c r="P790" s="46" t="n"/>
      <c r="Q790" s="46" t="n"/>
      <c r="R790" s="46" t="n"/>
      <c r="S790" s="46" t="n"/>
      <c r="T790" s="46" t="n"/>
      <c r="U790" s="46" t="n"/>
      <c r="V790" s="46" t="n"/>
      <c r="W790" s="46" t="n"/>
      <c r="X790" s="46" t="n"/>
      <c r="Y790" s="46" t="n"/>
      <c r="Z790" s="46" t="n"/>
      <c r="AA790" s="46" t="n"/>
      <c r="AB790" s="46" t="n"/>
      <c r="AC790" s="46" t="n"/>
      <c r="AD790" s="46" t="n"/>
      <c r="AE790" s="46" t="n"/>
      <c r="AF790" s="46" t="n"/>
      <c r="AG790" s="46" t="n"/>
      <c r="AH790" s="46" t="n"/>
      <c r="AI790" s="46" t="n"/>
      <c r="AJ790" s="46" t="n"/>
      <c r="AK790" s="46" t="n"/>
      <c r="AL790" s="46" t="n"/>
      <c r="AM790" s="46" t="n"/>
      <c r="AN790" s="46" t="n"/>
      <c r="AO790" s="46" t="n"/>
      <c r="AP790" s="46" t="n"/>
      <c r="AQ790" s="46" t="n"/>
      <c r="AR790" s="46" t="n"/>
      <c r="AS790" s="46" t="n"/>
      <c r="AV790" s="36">
        <f>IF($C790="","",EMPLOYES!M34)</f>
        <v/>
      </c>
      <c r="AW790" s="36">
        <f>IF($C790="",0,SUMPRODUCT(--(O790:AS790="C")))</f>
        <v/>
      </c>
      <c r="AX790" s="36">
        <f>IF($C790="",0,SUMPRODUCT(--(O790:AS790="R")))</f>
        <v/>
      </c>
      <c r="AY790" s="44" t="n"/>
    </row>
    <row r="791" hidden="1" outlineLevel="1" ht="15" customHeight="1" s="15">
      <c r="B791" s="41" t="n">
        <v>4</v>
      </c>
      <c r="C791" s="42">
        <f>IF(EMPLOYES!C35="","",EMPLOYES!C35)</f>
        <v/>
      </c>
      <c r="D791" s="43">
        <f>IF(EMPLOYES!C35="","",EMPLOYES!D35)</f>
        <v/>
      </c>
      <c r="E791" s="44" t="n"/>
      <c r="F791" s="42" t="n"/>
      <c r="G791" s="41">
        <f>IF($C791="",0,MAX(0,$M791-$N791))</f>
        <v/>
      </c>
      <c r="H791" s="45" t="n"/>
      <c r="I791" s="41">
        <f>IF($C791="","",IF(H791="","OK",IF(H791&gt;EMPLOYES!P35,"⚠ Avance &gt; salaire",IF(H791&gt;EMPLOYES!P35*PARAMETRES!$C$218,"⚠ Avance élevée","OK"))))</f>
        <v/>
      </c>
      <c r="J791" s="45" t="n"/>
      <c r="K791" s="46" t="n"/>
      <c r="L791" s="46" t="n"/>
      <c r="M791" s="41">
        <f>IF($C791="","",SUMPRODUCT((PARAMETRES!$B$38:$B$157=PARAMETRES!$C$29)*(PARAMETRES!$C$38:$C$157=4)*(IF(EMPLOYES!M35="5j",PARAMETRES!$I$38:$I$157,PARAMETRES!$H$38:$H$157))))</f>
        <v/>
      </c>
      <c r="N791" s="41">
        <f>IF($C791="","",SUMPRODUCT((O791:AS791="P")+(O791:AS791="F")+(O791:AS791="C")+0.5*(O791:AS791="D"),(1-((O768:AS768=6)*(EMPLOYES!M35="5j")))))</f>
        <v/>
      </c>
      <c r="O791" s="46" t="n"/>
      <c r="P791" s="46" t="n"/>
      <c r="Q791" s="46" t="n"/>
      <c r="R791" s="46" t="n"/>
      <c r="S791" s="46" t="n"/>
      <c r="T791" s="46" t="n"/>
      <c r="U791" s="46" t="n"/>
      <c r="V791" s="46" t="n"/>
      <c r="W791" s="46" t="n"/>
      <c r="X791" s="46" t="n"/>
      <c r="Y791" s="46" t="n"/>
      <c r="Z791" s="46" t="n"/>
      <c r="AA791" s="46" t="n"/>
      <c r="AB791" s="46" t="n"/>
      <c r="AC791" s="46" t="n"/>
      <c r="AD791" s="46" t="n"/>
      <c r="AE791" s="46" t="n"/>
      <c r="AF791" s="46" t="n"/>
      <c r="AG791" s="46" t="n"/>
      <c r="AH791" s="46" t="n"/>
      <c r="AI791" s="46" t="n"/>
      <c r="AJ791" s="46" t="n"/>
      <c r="AK791" s="46" t="n"/>
      <c r="AL791" s="46" t="n"/>
      <c r="AM791" s="46" t="n"/>
      <c r="AN791" s="46" t="n"/>
      <c r="AO791" s="46" t="n"/>
      <c r="AP791" s="46" t="n"/>
      <c r="AQ791" s="46" t="n"/>
      <c r="AR791" s="46" t="n"/>
      <c r="AS791" s="46" t="n"/>
      <c r="AV791" s="36">
        <f>IF($C791="","",EMPLOYES!M35)</f>
        <v/>
      </c>
      <c r="AW791" s="36">
        <f>IF($C791="",0,SUMPRODUCT(--(O791:AS791="C")))</f>
        <v/>
      </c>
      <c r="AX791" s="36">
        <f>IF($C791="",0,SUMPRODUCT(--(O791:AS791="R")))</f>
        <v/>
      </c>
      <c r="AY791" s="44" t="n"/>
    </row>
    <row r="792" hidden="1" outlineLevel="1" ht="15" customHeight="1" s="15">
      <c r="B792" s="41" t="n">
        <v>4</v>
      </c>
      <c r="C792" s="42">
        <f>IF(EMPLOYES!C36="","",EMPLOYES!C36)</f>
        <v/>
      </c>
      <c r="D792" s="43">
        <f>IF(EMPLOYES!C36="","",EMPLOYES!D36)</f>
        <v/>
      </c>
      <c r="E792" s="44" t="n"/>
      <c r="F792" s="42" t="n"/>
      <c r="G792" s="41">
        <f>IF($C792="",0,MAX(0,$M792-$N792))</f>
        <v/>
      </c>
      <c r="H792" s="45" t="n"/>
      <c r="I792" s="41">
        <f>IF($C792="","",IF(H792="","OK",IF(H792&gt;EMPLOYES!P36,"⚠ Avance &gt; salaire",IF(H792&gt;EMPLOYES!P36*PARAMETRES!$C$218,"⚠ Avance élevée","OK"))))</f>
        <v/>
      </c>
      <c r="J792" s="45" t="n"/>
      <c r="K792" s="46" t="n"/>
      <c r="L792" s="46" t="n"/>
      <c r="M792" s="41">
        <f>IF($C792="","",SUMPRODUCT((PARAMETRES!$B$38:$B$157=PARAMETRES!$C$29)*(PARAMETRES!$C$38:$C$157=4)*(IF(EMPLOYES!M36="5j",PARAMETRES!$I$38:$I$157,PARAMETRES!$H$38:$H$157))))</f>
        <v/>
      </c>
      <c r="N792" s="41">
        <f>IF($C792="","",SUMPRODUCT((O792:AS792="P")+(O792:AS792="F")+(O792:AS792="C")+0.5*(O792:AS792="D"),(1-((O768:AS768=6)*(EMPLOYES!M36="5j")))))</f>
        <v/>
      </c>
      <c r="O792" s="46" t="n"/>
      <c r="P792" s="46" t="n"/>
      <c r="Q792" s="46" t="n"/>
      <c r="R792" s="46" t="n"/>
      <c r="S792" s="46" t="n"/>
      <c r="T792" s="46" t="n"/>
      <c r="U792" s="46" t="n"/>
      <c r="V792" s="46" t="n"/>
      <c r="W792" s="46" t="n"/>
      <c r="X792" s="46" t="n"/>
      <c r="Y792" s="46" t="n"/>
      <c r="Z792" s="46" t="n"/>
      <c r="AA792" s="46" t="n"/>
      <c r="AB792" s="46" t="n"/>
      <c r="AC792" s="46" t="n"/>
      <c r="AD792" s="46" t="n"/>
      <c r="AE792" s="46" t="n"/>
      <c r="AF792" s="46" t="n"/>
      <c r="AG792" s="46" t="n"/>
      <c r="AH792" s="46" t="n"/>
      <c r="AI792" s="46" t="n"/>
      <c r="AJ792" s="46" t="n"/>
      <c r="AK792" s="46" t="n"/>
      <c r="AL792" s="46" t="n"/>
      <c r="AM792" s="46" t="n"/>
      <c r="AN792" s="46" t="n"/>
      <c r="AO792" s="46" t="n"/>
      <c r="AP792" s="46" t="n"/>
      <c r="AQ792" s="46" t="n"/>
      <c r="AR792" s="46" t="n"/>
      <c r="AS792" s="46" t="n"/>
      <c r="AV792" s="36">
        <f>IF($C792="","",EMPLOYES!M36)</f>
        <v/>
      </c>
      <c r="AW792" s="36">
        <f>IF($C792="",0,SUMPRODUCT(--(O792:AS792="C")))</f>
        <v/>
      </c>
      <c r="AX792" s="36">
        <f>IF($C792="",0,SUMPRODUCT(--(O792:AS792="R")))</f>
        <v/>
      </c>
      <c r="AY792" s="44" t="n"/>
    </row>
    <row r="793" hidden="1" outlineLevel="1" ht="15" customHeight="1" s="15">
      <c r="B793" s="41" t="n">
        <v>4</v>
      </c>
      <c r="C793" s="42">
        <f>IF(EMPLOYES!C37="","",EMPLOYES!C37)</f>
        <v/>
      </c>
      <c r="D793" s="43">
        <f>IF(EMPLOYES!C37="","",EMPLOYES!D37)</f>
        <v/>
      </c>
      <c r="E793" s="44" t="n"/>
      <c r="F793" s="42" t="n"/>
      <c r="G793" s="41">
        <f>IF($C793="",0,MAX(0,$M793-$N793))</f>
        <v/>
      </c>
      <c r="H793" s="45" t="n"/>
      <c r="I793" s="41">
        <f>IF($C793="","",IF(H793="","OK",IF(H793&gt;EMPLOYES!P37,"⚠ Avance &gt; salaire",IF(H793&gt;EMPLOYES!P37*PARAMETRES!$C$218,"⚠ Avance élevée","OK"))))</f>
        <v/>
      </c>
      <c r="J793" s="45" t="n"/>
      <c r="K793" s="46" t="n"/>
      <c r="L793" s="46" t="n"/>
      <c r="M793" s="41">
        <f>IF($C793="","",SUMPRODUCT((PARAMETRES!$B$38:$B$157=PARAMETRES!$C$29)*(PARAMETRES!$C$38:$C$157=4)*(IF(EMPLOYES!M37="5j",PARAMETRES!$I$38:$I$157,PARAMETRES!$H$38:$H$157))))</f>
        <v/>
      </c>
      <c r="N793" s="41">
        <f>IF($C793="","",SUMPRODUCT((O793:AS793="P")+(O793:AS793="F")+(O793:AS793="C")+0.5*(O793:AS793="D"),(1-((O768:AS768=6)*(EMPLOYES!M37="5j")))))</f>
        <v/>
      </c>
      <c r="O793" s="46" t="n"/>
      <c r="P793" s="46" t="n"/>
      <c r="Q793" s="46" t="n"/>
      <c r="R793" s="46" t="n"/>
      <c r="S793" s="46" t="n"/>
      <c r="T793" s="46" t="n"/>
      <c r="U793" s="46" t="n"/>
      <c r="V793" s="46" t="n"/>
      <c r="W793" s="46" t="n"/>
      <c r="X793" s="46" t="n"/>
      <c r="Y793" s="46" t="n"/>
      <c r="Z793" s="46" t="n"/>
      <c r="AA793" s="46" t="n"/>
      <c r="AB793" s="46" t="n"/>
      <c r="AC793" s="46" t="n"/>
      <c r="AD793" s="46" t="n"/>
      <c r="AE793" s="46" t="n"/>
      <c r="AF793" s="46" t="n"/>
      <c r="AG793" s="46" t="n"/>
      <c r="AH793" s="46" t="n"/>
      <c r="AI793" s="46" t="n"/>
      <c r="AJ793" s="46" t="n"/>
      <c r="AK793" s="46" t="n"/>
      <c r="AL793" s="46" t="n"/>
      <c r="AM793" s="46" t="n"/>
      <c r="AN793" s="46" t="n"/>
      <c r="AO793" s="46" t="n"/>
      <c r="AP793" s="46" t="n"/>
      <c r="AQ793" s="46" t="n"/>
      <c r="AR793" s="46" t="n"/>
      <c r="AS793" s="46" t="n"/>
      <c r="AV793" s="36">
        <f>IF($C793="","",EMPLOYES!M37)</f>
        <v/>
      </c>
      <c r="AW793" s="36">
        <f>IF($C793="",0,SUMPRODUCT(--(O793:AS793="C")))</f>
        <v/>
      </c>
      <c r="AX793" s="36">
        <f>IF($C793="",0,SUMPRODUCT(--(O793:AS793="R")))</f>
        <v/>
      </c>
      <c r="AY793" s="44" t="n"/>
    </row>
    <row r="794" hidden="1" outlineLevel="1" ht="15" customHeight="1" s="15">
      <c r="B794" s="41" t="n">
        <v>4</v>
      </c>
      <c r="C794" s="42">
        <f>IF(EMPLOYES!C38="","",EMPLOYES!C38)</f>
        <v/>
      </c>
      <c r="D794" s="43">
        <f>IF(EMPLOYES!C38="","",EMPLOYES!D38)</f>
        <v/>
      </c>
      <c r="E794" s="44" t="n"/>
      <c r="F794" s="42" t="n"/>
      <c r="G794" s="41">
        <f>IF($C794="",0,MAX(0,$M794-$N794))</f>
        <v/>
      </c>
      <c r="H794" s="45" t="n"/>
      <c r="I794" s="41">
        <f>IF($C794="","",IF(H794="","OK",IF(H794&gt;EMPLOYES!P38,"⚠ Avance &gt; salaire",IF(H794&gt;EMPLOYES!P38*PARAMETRES!$C$218,"⚠ Avance élevée","OK"))))</f>
        <v/>
      </c>
      <c r="J794" s="45" t="n"/>
      <c r="K794" s="46" t="n"/>
      <c r="L794" s="46" t="n"/>
      <c r="M794" s="41">
        <f>IF($C794="","",SUMPRODUCT((PARAMETRES!$B$38:$B$157=PARAMETRES!$C$29)*(PARAMETRES!$C$38:$C$157=4)*(IF(EMPLOYES!M38="5j",PARAMETRES!$I$38:$I$157,PARAMETRES!$H$38:$H$157))))</f>
        <v/>
      </c>
      <c r="N794" s="41">
        <f>IF($C794="","",SUMPRODUCT((O794:AS794="P")+(O794:AS794="F")+(O794:AS794="C")+0.5*(O794:AS794="D"),(1-((O768:AS768=6)*(EMPLOYES!M38="5j")))))</f>
        <v/>
      </c>
      <c r="O794" s="46" t="n"/>
      <c r="P794" s="46" t="n"/>
      <c r="Q794" s="46" t="n"/>
      <c r="R794" s="46" t="n"/>
      <c r="S794" s="46" t="n"/>
      <c r="T794" s="46" t="n"/>
      <c r="U794" s="46" t="n"/>
      <c r="V794" s="46" t="n"/>
      <c r="W794" s="46" t="n"/>
      <c r="X794" s="46" t="n"/>
      <c r="Y794" s="46" t="n"/>
      <c r="Z794" s="46" t="n"/>
      <c r="AA794" s="46" t="n"/>
      <c r="AB794" s="46" t="n"/>
      <c r="AC794" s="46" t="n"/>
      <c r="AD794" s="46" t="n"/>
      <c r="AE794" s="46" t="n"/>
      <c r="AF794" s="46" t="n"/>
      <c r="AG794" s="46" t="n"/>
      <c r="AH794" s="46" t="n"/>
      <c r="AI794" s="46" t="n"/>
      <c r="AJ794" s="46" t="n"/>
      <c r="AK794" s="46" t="n"/>
      <c r="AL794" s="46" t="n"/>
      <c r="AM794" s="46" t="n"/>
      <c r="AN794" s="46" t="n"/>
      <c r="AO794" s="46" t="n"/>
      <c r="AP794" s="46" t="n"/>
      <c r="AQ794" s="46" t="n"/>
      <c r="AR794" s="46" t="n"/>
      <c r="AS794" s="46" t="n"/>
      <c r="AV794" s="36">
        <f>IF($C794="","",EMPLOYES!M38)</f>
        <v/>
      </c>
      <c r="AW794" s="36">
        <f>IF($C794="",0,SUMPRODUCT(--(O794:AS794="C")))</f>
        <v/>
      </c>
      <c r="AX794" s="36">
        <f>IF($C794="",0,SUMPRODUCT(--(O794:AS794="R")))</f>
        <v/>
      </c>
      <c r="AY794" s="44" t="n"/>
    </row>
    <row r="795" hidden="1" outlineLevel="1" ht="15" customHeight="1" s="15">
      <c r="B795" s="41" t="n">
        <v>4</v>
      </c>
      <c r="C795" s="42">
        <f>IF(EMPLOYES!C39="","",EMPLOYES!C39)</f>
        <v/>
      </c>
      <c r="D795" s="43">
        <f>IF(EMPLOYES!C39="","",EMPLOYES!D39)</f>
        <v/>
      </c>
      <c r="E795" s="44" t="n"/>
      <c r="F795" s="42" t="n"/>
      <c r="G795" s="41">
        <f>IF($C795="",0,MAX(0,$M795-$N795))</f>
        <v/>
      </c>
      <c r="H795" s="45" t="n"/>
      <c r="I795" s="41">
        <f>IF($C795="","",IF(H795="","OK",IF(H795&gt;EMPLOYES!P39,"⚠ Avance &gt; salaire",IF(H795&gt;EMPLOYES!P39*PARAMETRES!$C$218,"⚠ Avance élevée","OK"))))</f>
        <v/>
      </c>
      <c r="J795" s="45" t="n"/>
      <c r="K795" s="46" t="n"/>
      <c r="L795" s="46" t="n"/>
      <c r="M795" s="41">
        <f>IF($C795="","",SUMPRODUCT((PARAMETRES!$B$38:$B$157=PARAMETRES!$C$29)*(PARAMETRES!$C$38:$C$157=4)*(IF(EMPLOYES!M39="5j",PARAMETRES!$I$38:$I$157,PARAMETRES!$H$38:$H$157))))</f>
        <v/>
      </c>
      <c r="N795" s="41">
        <f>IF($C795="","",SUMPRODUCT((O795:AS795="P")+(O795:AS795="F")+(O795:AS795="C")+0.5*(O795:AS795="D"),(1-((O768:AS768=6)*(EMPLOYES!M39="5j")))))</f>
        <v/>
      </c>
      <c r="O795" s="46" t="n"/>
      <c r="P795" s="46" t="n"/>
      <c r="Q795" s="46" t="n"/>
      <c r="R795" s="46" t="n"/>
      <c r="S795" s="46" t="n"/>
      <c r="T795" s="46" t="n"/>
      <c r="U795" s="46" t="n"/>
      <c r="V795" s="46" t="n"/>
      <c r="W795" s="46" t="n"/>
      <c r="X795" s="46" t="n"/>
      <c r="Y795" s="46" t="n"/>
      <c r="Z795" s="46" t="n"/>
      <c r="AA795" s="46" t="n"/>
      <c r="AB795" s="46" t="n"/>
      <c r="AC795" s="46" t="n"/>
      <c r="AD795" s="46" t="n"/>
      <c r="AE795" s="46" t="n"/>
      <c r="AF795" s="46" t="n"/>
      <c r="AG795" s="46" t="n"/>
      <c r="AH795" s="46" t="n"/>
      <c r="AI795" s="46" t="n"/>
      <c r="AJ795" s="46" t="n"/>
      <c r="AK795" s="46" t="n"/>
      <c r="AL795" s="46" t="n"/>
      <c r="AM795" s="46" t="n"/>
      <c r="AN795" s="46" t="n"/>
      <c r="AO795" s="46" t="n"/>
      <c r="AP795" s="46" t="n"/>
      <c r="AQ795" s="46" t="n"/>
      <c r="AR795" s="46" t="n"/>
      <c r="AS795" s="46" t="n"/>
      <c r="AV795" s="36">
        <f>IF($C795="","",EMPLOYES!M39)</f>
        <v/>
      </c>
      <c r="AW795" s="36">
        <f>IF($C795="",0,SUMPRODUCT(--(O795:AS795="C")))</f>
        <v/>
      </c>
      <c r="AX795" s="36">
        <f>IF($C795="",0,SUMPRODUCT(--(O795:AS795="R")))</f>
        <v/>
      </c>
      <c r="AY795" s="44" t="n"/>
    </row>
    <row r="796" hidden="1" outlineLevel="1" ht="15" customHeight="1" s="15">
      <c r="B796" s="41" t="n">
        <v>4</v>
      </c>
      <c r="C796" s="42">
        <f>IF(EMPLOYES!C40="","",EMPLOYES!C40)</f>
        <v/>
      </c>
      <c r="D796" s="43">
        <f>IF(EMPLOYES!C40="","",EMPLOYES!D40)</f>
        <v/>
      </c>
      <c r="E796" s="44" t="n"/>
      <c r="F796" s="42" t="n"/>
      <c r="G796" s="41">
        <f>IF($C796="",0,MAX(0,$M796-$N796))</f>
        <v/>
      </c>
      <c r="H796" s="45" t="n"/>
      <c r="I796" s="41">
        <f>IF($C796="","",IF(H796="","OK",IF(H796&gt;EMPLOYES!P40,"⚠ Avance &gt; salaire",IF(H796&gt;EMPLOYES!P40*PARAMETRES!$C$218,"⚠ Avance élevée","OK"))))</f>
        <v/>
      </c>
      <c r="J796" s="45" t="n"/>
      <c r="K796" s="46" t="n"/>
      <c r="L796" s="46" t="n"/>
      <c r="M796" s="41">
        <f>IF($C796="","",SUMPRODUCT((PARAMETRES!$B$38:$B$157=PARAMETRES!$C$29)*(PARAMETRES!$C$38:$C$157=4)*(IF(EMPLOYES!M40="5j",PARAMETRES!$I$38:$I$157,PARAMETRES!$H$38:$H$157))))</f>
        <v/>
      </c>
      <c r="N796" s="41">
        <f>IF($C796="","",SUMPRODUCT((O796:AS796="P")+(O796:AS796="F")+(O796:AS796="C")+0.5*(O796:AS796="D"),(1-((O768:AS768=6)*(EMPLOYES!M40="5j")))))</f>
        <v/>
      </c>
      <c r="O796" s="46" t="n"/>
      <c r="P796" s="46" t="n"/>
      <c r="Q796" s="46" t="n"/>
      <c r="R796" s="46" t="n"/>
      <c r="S796" s="46" t="n"/>
      <c r="T796" s="46" t="n"/>
      <c r="U796" s="46" t="n"/>
      <c r="V796" s="46" t="n"/>
      <c r="W796" s="46" t="n"/>
      <c r="X796" s="46" t="n"/>
      <c r="Y796" s="46" t="n"/>
      <c r="Z796" s="46" t="n"/>
      <c r="AA796" s="46" t="n"/>
      <c r="AB796" s="46" t="n"/>
      <c r="AC796" s="46" t="n"/>
      <c r="AD796" s="46" t="n"/>
      <c r="AE796" s="46" t="n"/>
      <c r="AF796" s="46" t="n"/>
      <c r="AG796" s="46" t="n"/>
      <c r="AH796" s="46" t="n"/>
      <c r="AI796" s="46" t="n"/>
      <c r="AJ796" s="46" t="n"/>
      <c r="AK796" s="46" t="n"/>
      <c r="AL796" s="46" t="n"/>
      <c r="AM796" s="46" t="n"/>
      <c r="AN796" s="46" t="n"/>
      <c r="AO796" s="46" t="n"/>
      <c r="AP796" s="46" t="n"/>
      <c r="AQ796" s="46" t="n"/>
      <c r="AR796" s="46" t="n"/>
      <c r="AS796" s="46" t="n"/>
      <c r="AV796" s="36">
        <f>IF($C796="","",EMPLOYES!M40)</f>
        <v/>
      </c>
      <c r="AW796" s="36">
        <f>IF($C796="",0,SUMPRODUCT(--(O796:AS796="C")))</f>
        <v/>
      </c>
      <c r="AX796" s="36">
        <f>IF($C796="",0,SUMPRODUCT(--(O796:AS796="R")))</f>
        <v/>
      </c>
      <c r="AY796" s="44" t="n"/>
    </row>
    <row r="797" hidden="1" outlineLevel="1" ht="15" customHeight="1" s="15">
      <c r="B797" s="41" t="n">
        <v>4</v>
      </c>
      <c r="C797" s="42">
        <f>IF(EMPLOYES!C41="","",EMPLOYES!C41)</f>
        <v/>
      </c>
      <c r="D797" s="43">
        <f>IF(EMPLOYES!C41="","",EMPLOYES!D41)</f>
        <v/>
      </c>
      <c r="E797" s="44" t="n"/>
      <c r="F797" s="42" t="n"/>
      <c r="G797" s="41">
        <f>IF($C797="",0,MAX(0,$M797-$N797))</f>
        <v/>
      </c>
      <c r="H797" s="45" t="n"/>
      <c r="I797" s="41">
        <f>IF($C797="","",IF(H797="","OK",IF(H797&gt;EMPLOYES!P41,"⚠ Avance &gt; salaire",IF(H797&gt;EMPLOYES!P41*PARAMETRES!$C$218,"⚠ Avance élevée","OK"))))</f>
        <v/>
      </c>
      <c r="J797" s="45" t="n"/>
      <c r="K797" s="46" t="n"/>
      <c r="L797" s="46" t="n"/>
      <c r="M797" s="41">
        <f>IF($C797="","",SUMPRODUCT((PARAMETRES!$B$38:$B$157=PARAMETRES!$C$29)*(PARAMETRES!$C$38:$C$157=4)*(IF(EMPLOYES!M41="5j",PARAMETRES!$I$38:$I$157,PARAMETRES!$H$38:$H$157))))</f>
        <v/>
      </c>
      <c r="N797" s="41">
        <f>IF($C797="","",SUMPRODUCT((O797:AS797="P")+(O797:AS797="F")+(O797:AS797="C")+0.5*(O797:AS797="D"),(1-((O768:AS768=6)*(EMPLOYES!M41="5j")))))</f>
        <v/>
      </c>
      <c r="O797" s="46" t="n"/>
      <c r="P797" s="46" t="n"/>
      <c r="Q797" s="46" t="n"/>
      <c r="R797" s="46" t="n"/>
      <c r="S797" s="46" t="n"/>
      <c r="T797" s="46" t="n"/>
      <c r="U797" s="46" t="n"/>
      <c r="V797" s="46" t="n"/>
      <c r="W797" s="46" t="n"/>
      <c r="X797" s="46" t="n"/>
      <c r="Y797" s="46" t="n"/>
      <c r="Z797" s="46" t="n"/>
      <c r="AA797" s="46" t="n"/>
      <c r="AB797" s="46" t="n"/>
      <c r="AC797" s="46" t="n"/>
      <c r="AD797" s="46" t="n"/>
      <c r="AE797" s="46" t="n"/>
      <c r="AF797" s="46" t="n"/>
      <c r="AG797" s="46" t="n"/>
      <c r="AH797" s="46" t="n"/>
      <c r="AI797" s="46" t="n"/>
      <c r="AJ797" s="46" t="n"/>
      <c r="AK797" s="46" t="n"/>
      <c r="AL797" s="46" t="n"/>
      <c r="AM797" s="46" t="n"/>
      <c r="AN797" s="46" t="n"/>
      <c r="AO797" s="46" t="n"/>
      <c r="AP797" s="46" t="n"/>
      <c r="AQ797" s="46" t="n"/>
      <c r="AR797" s="46" t="n"/>
      <c r="AS797" s="46" t="n"/>
      <c r="AV797" s="36">
        <f>IF($C797="","",EMPLOYES!M41)</f>
        <v/>
      </c>
      <c r="AW797" s="36">
        <f>IF($C797="",0,SUMPRODUCT(--(O797:AS797="C")))</f>
        <v/>
      </c>
      <c r="AX797" s="36">
        <f>IF($C797="",0,SUMPRODUCT(--(O797:AS797="R")))</f>
        <v/>
      </c>
      <c r="AY797" s="44" t="n"/>
    </row>
    <row r="798" hidden="1" outlineLevel="1" ht="15" customHeight="1" s="15">
      <c r="B798" s="41" t="n">
        <v>4</v>
      </c>
      <c r="C798" s="42">
        <f>IF(EMPLOYES!C42="","",EMPLOYES!C42)</f>
        <v/>
      </c>
      <c r="D798" s="43">
        <f>IF(EMPLOYES!C42="","",EMPLOYES!D42)</f>
        <v/>
      </c>
      <c r="E798" s="44" t="n"/>
      <c r="F798" s="42" t="n"/>
      <c r="G798" s="41">
        <f>IF($C798="",0,MAX(0,$M798-$N798))</f>
        <v/>
      </c>
      <c r="H798" s="45" t="n"/>
      <c r="I798" s="41">
        <f>IF($C798="","",IF(H798="","OK",IF(H798&gt;EMPLOYES!P42,"⚠ Avance &gt; salaire",IF(H798&gt;EMPLOYES!P42*PARAMETRES!$C$218,"⚠ Avance élevée","OK"))))</f>
        <v/>
      </c>
      <c r="J798" s="45" t="n"/>
      <c r="K798" s="46" t="n"/>
      <c r="L798" s="46" t="n"/>
      <c r="M798" s="41">
        <f>IF($C798="","",SUMPRODUCT((PARAMETRES!$B$38:$B$157=PARAMETRES!$C$29)*(PARAMETRES!$C$38:$C$157=4)*(IF(EMPLOYES!M42="5j",PARAMETRES!$I$38:$I$157,PARAMETRES!$H$38:$H$157))))</f>
        <v/>
      </c>
      <c r="N798" s="41">
        <f>IF($C798="","",SUMPRODUCT((O798:AS798="P")+(O798:AS798="F")+(O798:AS798="C")+0.5*(O798:AS798="D"),(1-((O768:AS768=6)*(EMPLOYES!M42="5j")))))</f>
        <v/>
      </c>
      <c r="O798" s="46" t="n"/>
      <c r="P798" s="46" t="n"/>
      <c r="Q798" s="46" t="n"/>
      <c r="R798" s="46" t="n"/>
      <c r="S798" s="46" t="n"/>
      <c r="T798" s="46" t="n"/>
      <c r="U798" s="46" t="n"/>
      <c r="V798" s="46" t="n"/>
      <c r="W798" s="46" t="n"/>
      <c r="X798" s="46" t="n"/>
      <c r="Y798" s="46" t="n"/>
      <c r="Z798" s="46" t="n"/>
      <c r="AA798" s="46" t="n"/>
      <c r="AB798" s="46" t="n"/>
      <c r="AC798" s="46" t="n"/>
      <c r="AD798" s="46" t="n"/>
      <c r="AE798" s="46" t="n"/>
      <c r="AF798" s="46" t="n"/>
      <c r="AG798" s="46" t="n"/>
      <c r="AH798" s="46" t="n"/>
      <c r="AI798" s="46" t="n"/>
      <c r="AJ798" s="46" t="n"/>
      <c r="AK798" s="46" t="n"/>
      <c r="AL798" s="46" t="n"/>
      <c r="AM798" s="46" t="n"/>
      <c r="AN798" s="46" t="n"/>
      <c r="AO798" s="46" t="n"/>
      <c r="AP798" s="46" t="n"/>
      <c r="AQ798" s="46" t="n"/>
      <c r="AR798" s="46" t="n"/>
      <c r="AS798" s="46" t="n"/>
      <c r="AV798" s="36">
        <f>IF($C798="","",EMPLOYES!M42)</f>
        <v/>
      </c>
      <c r="AW798" s="36">
        <f>IF($C798="",0,SUMPRODUCT(--(O798:AS798="C")))</f>
        <v/>
      </c>
      <c r="AX798" s="36">
        <f>IF($C798="",0,SUMPRODUCT(--(O798:AS798="R")))</f>
        <v/>
      </c>
      <c r="AY798" s="44" t="n"/>
    </row>
    <row r="799" hidden="1" outlineLevel="1" ht="15" customHeight="1" s="15">
      <c r="B799" s="41" t="n">
        <v>4</v>
      </c>
      <c r="C799" s="42">
        <f>IF(EMPLOYES!C43="","",EMPLOYES!C43)</f>
        <v/>
      </c>
      <c r="D799" s="43">
        <f>IF(EMPLOYES!C43="","",EMPLOYES!D43)</f>
        <v/>
      </c>
      <c r="E799" s="44" t="n"/>
      <c r="F799" s="42" t="n"/>
      <c r="G799" s="41">
        <f>IF($C799="",0,MAX(0,$M799-$N799))</f>
        <v/>
      </c>
      <c r="H799" s="45" t="n"/>
      <c r="I799" s="41">
        <f>IF($C799="","",IF(H799="","OK",IF(H799&gt;EMPLOYES!P43,"⚠ Avance &gt; salaire",IF(H799&gt;EMPLOYES!P43*PARAMETRES!$C$218,"⚠ Avance élevée","OK"))))</f>
        <v/>
      </c>
      <c r="J799" s="45" t="n"/>
      <c r="K799" s="46" t="n"/>
      <c r="L799" s="46" t="n"/>
      <c r="M799" s="41">
        <f>IF($C799="","",SUMPRODUCT((PARAMETRES!$B$38:$B$157=PARAMETRES!$C$29)*(PARAMETRES!$C$38:$C$157=4)*(IF(EMPLOYES!M43="5j",PARAMETRES!$I$38:$I$157,PARAMETRES!$H$38:$H$157))))</f>
        <v/>
      </c>
      <c r="N799" s="41">
        <f>IF($C799="","",SUMPRODUCT((O799:AS799="P")+(O799:AS799="F")+(O799:AS799="C")+0.5*(O799:AS799="D"),(1-((O768:AS768=6)*(EMPLOYES!M43="5j")))))</f>
        <v/>
      </c>
      <c r="O799" s="46" t="n"/>
      <c r="P799" s="46" t="n"/>
      <c r="Q799" s="46" t="n"/>
      <c r="R799" s="46" t="n"/>
      <c r="S799" s="46" t="n"/>
      <c r="T799" s="46" t="n"/>
      <c r="U799" s="46" t="n"/>
      <c r="V799" s="46" t="n"/>
      <c r="W799" s="46" t="n"/>
      <c r="X799" s="46" t="n"/>
      <c r="Y799" s="46" t="n"/>
      <c r="Z799" s="46" t="n"/>
      <c r="AA799" s="46" t="n"/>
      <c r="AB799" s="46" t="n"/>
      <c r="AC799" s="46" t="n"/>
      <c r="AD799" s="46" t="n"/>
      <c r="AE799" s="46" t="n"/>
      <c r="AF799" s="46" t="n"/>
      <c r="AG799" s="46" t="n"/>
      <c r="AH799" s="46" t="n"/>
      <c r="AI799" s="46" t="n"/>
      <c r="AJ799" s="46" t="n"/>
      <c r="AK799" s="46" t="n"/>
      <c r="AL799" s="46" t="n"/>
      <c r="AM799" s="46" t="n"/>
      <c r="AN799" s="46" t="n"/>
      <c r="AO799" s="46" t="n"/>
      <c r="AP799" s="46" t="n"/>
      <c r="AQ799" s="46" t="n"/>
      <c r="AR799" s="46" t="n"/>
      <c r="AS799" s="46" t="n"/>
      <c r="AV799" s="36">
        <f>IF($C799="","",EMPLOYES!M43)</f>
        <v/>
      </c>
      <c r="AW799" s="36">
        <f>IF($C799="",0,SUMPRODUCT(--(O799:AS799="C")))</f>
        <v/>
      </c>
      <c r="AX799" s="36">
        <f>IF($C799="",0,SUMPRODUCT(--(O799:AS799="R")))</f>
        <v/>
      </c>
      <c r="AY799" s="44" t="n"/>
    </row>
    <row r="800" hidden="1" outlineLevel="1" ht="15" customHeight="1" s="15">
      <c r="B800" s="41" t="n">
        <v>4</v>
      </c>
      <c r="C800" s="42">
        <f>IF(EMPLOYES!C44="","",EMPLOYES!C44)</f>
        <v/>
      </c>
      <c r="D800" s="43">
        <f>IF(EMPLOYES!C44="","",EMPLOYES!D44)</f>
        <v/>
      </c>
      <c r="E800" s="44" t="n"/>
      <c r="F800" s="42" t="n"/>
      <c r="G800" s="41">
        <f>IF($C800="",0,MAX(0,$M800-$N800))</f>
        <v/>
      </c>
      <c r="H800" s="45" t="n"/>
      <c r="I800" s="41">
        <f>IF($C800="","",IF(H800="","OK",IF(H800&gt;EMPLOYES!P44,"⚠ Avance &gt; salaire",IF(H800&gt;EMPLOYES!P44*PARAMETRES!$C$218,"⚠ Avance élevée","OK"))))</f>
        <v/>
      </c>
      <c r="J800" s="45" t="n"/>
      <c r="K800" s="46" t="n"/>
      <c r="L800" s="46" t="n"/>
      <c r="M800" s="41">
        <f>IF($C800="","",SUMPRODUCT((PARAMETRES!$B$38:$B$157=PARAMETRES!$C$29)*(PARAMETRES!$C$38:$C$157=4)*(IF(EMPLOYES!M44="5j",PARAMETRES!$I$38:$I$157,PARAMETRES!$H$38:$H$157))))</f>
        <v/>
      </c>
      <c r="N800" s="41">
        <f>IF($C800="","",SUMPRODUCT((O800:AS800="P")+(O800:AS800="F")+(O800:AS800="C")+0.5*(O800:AS800="D"),(1-((O768:AS768=6)*(EMPLOYES!M44="5j")))))</f>
        <v/>
      </c>
      <c r="O800" s="46" t="n"/>
      <c r="P800" s="46" t="n"/>
      <c r="Q800" s="46" t="n"/>
      <c r="R800" s="46" t="n"/>
      <c r="S800" s="46" t="n"/>
      <c r="T800" s="46" t="n"/>
      <c r="U800" s="46" t="n"/>
      <c r="V800" s="46" t="n"/>
      <c r="W800" s="46" t="n"/>
      <c r="X800" s="46" t="n"/>
      <c r="Y800" s="46" t="n"/>
      <c r="Z800" s="46" t="n"/>
      <c r="AA800" s="46" t="n"/>
      <c r="AB800" s="46" t="n"/>
      <c r="AC800" s="46" t="n"/>
      <c r="AD800" s="46" t="n"/>
      <c r="AE800" s="46" t="n"/>
      <c r="AF800" s="46" t="n"/>
      <c r="AG800" s="46" t="n"/>
      <c r="AH800" s="46" t="n"/>
      <c r="AI800" s="46" t="n"/>
      <c r="AJ800" s="46" t="n"/>
      <c r="AK800" s="46" t="n"/>
      <c r="AL800" s="46" t="n"/>
      <c r="AM800" s="46" t="n"/>
      <c r="AN800" s="46" t="n"/>
      <c r="AO800" s="46" t="n"/>
      <c r="AP800" s="46" t="n"/>
      <c r="AQ800" s="46" t="n"/>
      <c r="AR800" s="46" t="n"/>
      <c r="AS800" s="46" t="n"/>
      <c r="AV800" s="36">
        <f>IF($C800="","",EMPLOYES!M44)</f>
        <v/>
      </c>
      <c r="AW800" s="36">
        <f>IF($C800="",0,SUMPRODUCT(--(O800:AS800="C")))</f>
        <v/>
      </c>
      <c r="AX800" s="36">
        <f>IF($C800="",0,SUMPRODUCT(--(O800:AS800="R")))</f>
        <v/>
      </c>
      <c r="AY800" s="44" t="n"/>
    </row>
    <row r="801" hidden="1" outlineLevel="1" ht="15" customHeight="1" s="15">
      <c r="B801" s="41" t="n">
        <v>4</v>
      </c>
      <c r="C801" s="42">
        <f>IF(EMPLOYES!C45="","",EMPLOYES!C45)</f>
        <v/>
      </c>
      <c r="D801" s="43">
        <f>IF(EMPLOYES!C45="","",EMPLOYES!D45)</f>
        <v/>
      </c>
      <c r="E801" s="44" t="n"/>
      <c r="F801" s="42" t="n"/>
      <c r="G801" s="41">
        <f>IF($C801="",0,MAX(0,$M801-$N801))</f>
        <v/>
      </c>
      <c r="H801" s="45" t="n"/>
      <c r="I801" s="41">
        <f>IF($C801="","",IF(H801="","OK",IF(H801&gt;EMPLOYES!P45,"⚠ Avance &gt; salaire",IF(H801&gt;EMPLOYES!P45*PARAMETRES!$C$218,"⚠ Avance élevée","OK"))))</f>
        <v/>
      </c>
      <c r="J801" s="45" t="n"/>
      <c r="K801" s="46" t="n"/>
      <c r="L801" s="46" t="n"/>
      <c r="M801" s="41">
        <f>IF($C801="","",SUMPRODUCT((PARAMETRES!$B$38:$B$157=PARAMETRES!$C$29)*(PARAMETRES!$C$38:$C$157=4)*(IF(EMPLOYES!M45="5j",PARAMETRES!$I$38:$I$157,PARAMETRES!$H$38:$H$157))))</f>
        <v/>
      </c>
      <c r="N801" s="41">
        <f>IF($C801="","",SUMPRODUCT((O801:AS801="P")+(O801:AS801="F")+(O801:AS801="C")+0.5*(O801:AS801="D"),(1-((O768:AS768=6)*(EMPLOYES!M45="5j")))))</f>
        <v/>
      </c>
      <c r="O801" s="46" t="n"/>
      <c r="P801" s="46" t="n"/>
      <c r="Q801" s="46" t="n"/>
      <c r="R801" s="46" t="n"/>
      <c r="S801" s="46" t="n"/>
      <c r="T801" s="46" t="n"/>
      <c r="U801" s="46" t="n"/>
      <c r="V801" s="46" t="n"/>
      <c r="W801" s="46" t="n"/>
      <c r="X801" s="46" t="n"/>
      <c r="Y801" s="46" t="n"/>
      <c r="Z801" s="46" t="n"/>
      <c r="AA801" s="46" t="n"/>
      <c r="AB801" s="46" t="n"/>
      <c r="AC801" s="46" t="n"/>
      <c r="AD801" s="46" t="n"/>
      <c r="AE801" s="46" t="n"/>
      <c r="AF801" s="46" t="n"/>
      <c r="AG801" s="46" t="n"/>
      <c r="AH801" s="46" t="n"/>
      <c r="AI801" s="46" t="n"/>
      <c r="AJ801" s="46" t="n"/>
      <c r="AK801" s="46" t="n"/>
      <c r="AL801" s="46" t="n"/>
      <c r="AM801" s="46" t="n"/>
      <c r="AN801" s="46" t="n"/>
      <c r="AO801" s="46" t="n"/>
      <c r="AP801" s="46" t="n"/>
      <c r="AQ801" s="46" t="n"/>
      <c r="AR801" s="46" t="n"/>
      <c r="AS801" s="46" t="n"/>
      <c r="AV801" s="36">
        <f>IF($C801="","",EMPLOYES!M45)</f>
        <v/>
      </c>
      <c r="AW801" s="36">
        <f>IF($C801="",0,SUMPRODUCT(--(O801:AS801="C")))</f>
        <v/>
      </c>
      <c r="AX801" s="36">
        <f>IF($C801="",0,SUMPRODUCT(--(O801:AS801="R")))</f>
        <v/>
      </c>
      <c r="AY801" s="44" t="n"/>
    </row>
    <row r="802" hidden="1" outlineLevel="1" ht="15" customHeight="1" s="15">
      <c r="B802" s="41" t="n">
        <v>4</v>
      </c>
      <c r="C802" s="42">
        <f>IF(EMPLOYES!C46="","",EMPLOYES!C46)</f>
        <v/>
      </c>
      <c r="D802" s="43">
        <f>IF(EMPLOYES!C46="","",EMPLOYES!D46)</f>
        <v/>
      </c>
      <c r="E802" s="44" t="n"/>
      <c r="F802" s="42" t="n"/>
      <c r="G802" s="41">
        <f>IF($C802="",0,MAX(0,$M802-$N802))</f>
        <v/>
      </c>
      <c r="H802" s="45" t="n"/>
      <c r="I802" s="41">
        <f>IF($C802="","",IF(H802="","OK",IF(H802&gt;EMPLOYES!P46,"⚠ Avance &gt; salaire",IF(H802&gt;EMPLOYES!P46*PARAMETRES!$C$218,"⚠ Avance élevée","OK"))))</f>
        <v/>
      </c>
      <c r="J802" s="45" t="n"/>
      <c r="K802" s="46" t="n"/>
      <c r="L802" s="46" t="n"/>
      <c r="M802" s="41">
        <f>IF($C802="","",SUMPRODUCT((PARAMETRES!$B$38:$B$157=PARAMETRES!$C$29)*(PARAMETRES!$C$38:$C$157=4)*(IF(EMPLOYES!M46="5j",PARAMETRES!$I$38:$I$157,PARAMETRES!$H$38:$H$157))))</f>
        <v/>
      </c>
      <c r="N802" s="41">
        <f>IF($C802="","",SUMPRODUCT((O802:AS802="P")+(O802:AS802="F")+(O802:AS802="C")+0.5*(O802:AS802="D"),(1-((O768:AS768=6)*(EMPLOYES!M46="5j")))))</f>
        <v/>
      </c>
      <c r="O802" s="46" t="n"/>
      <c r="P802" s="46" t="n"/>
      <c r="Q802" s="46" t="n"/>
      <c r="R802" s="46" t="n"/>
      <c r="S802" s="46" t="n"/>
      <c r="T802" s="46" t="n"/>
      <c r="U802" s="46" t="n"/>
      <c r="V802" s="46" t="n"/>
      <c r="W802" s="46" t="n"/>
      <c r="X802" s="46" t="n"/>
      <c r="Y802" s="46" t="n"/>
      <c r="Z802" s="46" t="n"/>
      <c r="AA802" s="46" t="n"/>
      <c r="AB802" s="46" t="n"/>
      <c r="AC802" s="46" t="n"/>
      <c r="AD802" s="46" t="n"/>
      <c r="AE802" s="46" t="n"/>
      <c r="AF802" s="46" t="n"/>
      <c r="AG802" s="46" t="n"/>
      <c r="AH802" s="46" t="n"/>
      <c r="AI802" s="46" t="n"/>
      <c r="AJ802" s="46" t="n"/>
      <c r="AK802" s="46" t="n"/>
      <c r="AL802" s="46" t="n"/>
      <c r="AM802" s="46" t="n"/>
      <c r="AN802" s="46" t="n"/>
      <c r="AO802" s="46" t="n"/>
      <c r="AP802" s="46" t="n"/>
      <c r="AQ802" s="46" t="n"/>
      <c r="AR802" s="46" t="n"/>
      <c r="AS802" s="46" t="n"/>
      <c r="AV802" s="36">
        <f>IF($C802="","",EMPLOYES!M46)</f>
        <v/>
      </c>
      <c r="AW802" s="36">
        <f>IF($C802="",0,SUMPRODUCT(--(O802:AS802="C")))</f>
        <v/>
      </c>
      <c r="AX802" s="36">
        <f>IF($C802="",0,SUMPRODUCT(--(O802:AS802="R")))</f>
        <v/>
      </c>
      <c r="AY802" s="44" t="n"/>
    </row>
    <row r="803" hidden="1" outlineLevel="1" ht="15" customHeight="1" s="15">
      <c r="B803" s="41" t="n">
        <v>4</v>
      </c>
      <c r="C803" s="42">
        <f>IF(EMPLOYES!C47="","",EMPLOYES!C47)</f>
        <v/>
      </c>
      <c r="D803" s="43">
        <f>IF(EMPLOYES!C47="","",EMPLOYES!D47)</f>
        <v/>
      </c>
      <c r="E803" s="44" t="n"/>
      <c r="F803" s="42" t="n"/>
      <c r="G803" s="41">
        <f>IF($C803="",0,MAX(0,$M803-$N803))</f>
        <v/>
      </c>
      <c r="H803" s="45" t="n"/>
      <c r="I803" s="41">
        <f>IF($C803="","",IF(H803="","OK",IF(H803&gt;EMPLOYES!P47,"⚠ Avance &gt; salaire",IF(H803&gt;EMPLOYES!P47*PARAMETRES!$C$218,"⚠ Avance élevée","OK"))))</f>
        <v/>
      </c>
      <c r="J803" s="45" t="n"/>
      <c r="K803" s="46" t="n"/>
      <c r="L803" s="46" t="n"/>
      <c r="M803" s="41">
        <f>IF($C803="","",SUMPRODUCT((PARAMETRES!$B$38:$B$157=PARAMETRES!$C$29)*(PARAMETRES!$C$38:$C$157=4)*(IF(EMPLOYES!M47="5j",PARAMETRES!$I$38:$I$157,PARAMETRES!$H$38:$H$157))))</f>
        <v/>
      </c>
      <c r="N803" s="41">
        <f>IF($C803="","",SUMPRODUCT((O803:AS803="P")+(O803:AS803="F")+(O803:AS803="C")+0.5*(O803:AS803="D"),(1-((O768:AS768=6)*(EMPLOYES!M47="5j")))))</f>
        <v/>
      </c>
      <c r="O803" s="46" t="n"/>
      <c r="P803" s="46" t="n"/>
      <c r="Q803" s="46" t="n"/>
      <c r="R803" s="46" t="n"/>
      <c r="S803" s="46" t="n"/>
      <c r="T803" s="46" t="n"/>
      <c r="U803" s="46" t="n"/>
      <c r="V803" s="46" t="n"/>
      <c r="W803" s="46" t="n"/>
      <c r="X803" s="46" t="n"/>
      <c r="Y803" s="46" t="n"/>
      <c r="Z803" s="46" t="n"/>
      <c r="AA803" s="46" t="n"/>
      <c r="AB803" s="46" t="n"/>
      <c r="AC803" s="46" t="n"/>
      <c r="AD803" s="46" t="n"/>
      <c r="AE803" s="46" t="n"/>
      <c r="AF803" s="46" t="n"/>
      <c r="AG803" s="46" t="n"/>
      <c r="AH803" s="46" t="n"/>
      <c r="AI803" s="46" t="n"/>
      <c r="AJ803" s="46" t="n"/>
      <c r="AK803" s="46" t="n"/>
      <c r="AL803" s="46" t="n"/>
      <c r="AM803" s="46" t="n"/>
      <c r="AN803" s="46" t="n"/>
      <c r="AO803" s="46" t="n"/>
      <c r="AP803" s="46" t="n"/>
      <c r="AQ803" s="46" t="n"/>
      <c r="AR803" s="46" t="n"/>
      <c r="AS803" s="46" t="n"/>
      <c r="AV803" s="36">
        <f>IF($C803="","",EMPLOYES!M47)</f>
        <v/>
      </c>
      <c r="AW803" s="36">
        <f>IF($C803="",0,SUMPRODUCT(--(O803:AS803="C")))</f>
        <v/>
      </c>
      <c r="AX803" s="36">
        <f>IF($C803="",0,SUMPRODUCT(--(O803:AS803="R")))</f>
        <v/>
      </c>
      <c r="AY803" s="44" t="n"/>
    </row>
    <row r="804" hidden="1" outlineLevel="1" ht="15" customHeight="1" s="15">
      <c r="B804" s="41" t="n">
        <v>4</v>
      </c>
      <c r="C804" s="42">
        <f>IF(EMPLOYES!C48="","",EMPLOYES!C48)</f>
        <v/>
      </c>
      <c r="D804" s="43">
        <f>IF(EMPLOYES!C48="","",EMPLOYES!D48)</f>
        <v/>
      </c>
      <c r="E804" s="44" t="n"/>
      <c r="F804" s="42" t="n"/>
      <c r="G804" s="41">
        <f>IF($C804="",0,MAX(0,$M804-$N804))</f>
        <v/>
      </c>
      <c r="H804" s="45" t="n"/>
      <c r="I804" s="41">
        <f>IF($C804="","",IF(H804="","OK",IF(H804&gt;EMPLOYES!P48,"⚠ Avance &gt; salaire",IF(H804&gt;EMPLOYES!P48*PARAMETRES!$C$218,"⚠ Avance élevée","OK"))))</f>
        <v/>
      </c>
      <c r="J804" s="45" t="n"/>
      <c r="K804" s="46" t="n"/>
      <c r="L804" s="46" t="n"/>
      <c r="M804" s="41">
        <f>IF($C804="","",SUMPRODUCT((PARAMETRES!$B$38:$B$157=PARAMETRES!$C$29)*(PARAMETRES!$C$38:$C$157=4)*(IF(EMPLOYES!M48="5j",PARAMETRES!$I$38:$I$157,PARAMETRES!$H$38:$H$157))))</f>
        <v/>
      </c>
      <c r="N804" s="41">
        <f>IF($C804="","",SUMPRODUCT((O804:AS804="P")+(O804:AS804="F")+(O804:AS804="C")+0.5*(O804:AS804="D"),(1-((O768:AS768=6)*(EMPLOYES!M48="5j")))))</f>
        <v/>
      </c>
      <c r="O804" s="46" t="n"/>
      <c r="P804" s="46" t="n"/>
      <c r="Q804" s="46" t="n"/>
      <c r="R804" s="46" t="n"/>
      <c r="S804" s="46" t="n"/>
      <c r="T804" s="46" t="n"/>
      <c r="U804" s="46" t="n"/>
      <c r="V804" s="46" t="n"/>
      <c r="W804" s="46" t="n"/>
      <c r="X804" s="46" t="n"/>
      <c r="Y804" s="46" t="n"/>
      <c r="Z804" s="46" t="n"/>
      <c r="AA804" s="46" t="n"/>
      <c r="AB804" s="46" t="n"/>
      <c r="AC804" s="46" t="n"/>
      <c r="AD804" s="46" t="n"/>
      <c r="AE804" s="46" t="n"/>
      <c r="AF804" s="46" t="n"/>
      <c r="AG804" s="46" t="n"/>
      <c r="AH804" s="46" t="n"/>
      <c r="AI804" s="46" t="n"/>
      <c r="AJ804" s="46" t="n"/>
      <c r="AK804" s="46" t="n"/>
      <c r="AL804" s="46" t="n"/>
      <c r="AM804" s="46" t="n"/>
      <c r="AN804" s="46" t="n"/>
      <c r="AO804" s="46" t="n"/>
      <c r="AP804" s="46" t="n"/>
      <c r="AQ804" s="46" t="n"/>
      <c r="AR804" s="46" t="n"/>
      <c r="AS804" s="46" t="n"/>
      <c r="AV804" s="36">
        <f>IF($C804="","",EMPLOYES!M48)</f>
        <v/>
      </c>
      <c r="AW804" s="36">
        <f>IF($C804="",0,SUMPRODUCT(--(O804:AS804="C")))</f>
        <v/>
      </c>
      <c r="AX804" s="36">
        <f>IF($C804="",0,SUMPRODUCT(--(O804:AS804="R")))</f>
        <v/>
      </c>
      <c r="AY804" s="44" t="n"/>
    </row>
    <row r="805" hidden="1" outlineLevel="1" ht="15" customHeight="1" s="15">
      <c r="B805" s="41" t="n">
        <v>4</v>
      </c>
      <c r="C805" s="42">
        <f>IF(EMPLOYES!C49="","",EMPLOYES!C49)</f>
        <v/>
      </c>
      <c r="D805" s="43">
        <f>IF(EMPLOYES!C49="","",EMPLOYES!D49)</f>
        <v/>
      </c>
      <c r="E805" s="44" t="n"/>
      <c r="F805" s="42" t="n"/>
      <c r="G805" s="41">
        <f>IF($C805="",0,MAX(0,$M805-$N805))</f>
        <v/>
      </c>
      <c r="H805" s="45" t="n"/>
      <c r="I805" s="41">
        <f>IF($C805="","",IF(H805="","OK",IF(H805&gt;EMPLOYES!P49,"⚠ Avance &gt; salaire",IF(H805&gt;EMPLOYES!P49*PARAMETRES!$C$218,"⚠ Avance élevée","OK"))))</f>
        <v/>
      </c>
      <c r="J805" s="45" t="n"/>
      <c r="K805" s="46" t="n"/>
      <c r="L805" s="46" t="n"/>
      <c r="M805" s="41">
        <f>IF($C805="","",SUMPRODUCT((PARAMETRES!$B$38:$B$157=PARAMETRES!$C$29)*(PARAMETRES!$C$38:$C$157=4)*(IF(EMPLOYES!M49="5j",PARAMETRES!$I$38:$I$157,PARAMETRES!$H$38:$H$157))))</f>
        <v/>
      </c>
      <c r="N805" s="41">
        <f>IF($C805="","",SUMPRODUCT((O805:AS805="P")+(O805:AS805="F")+(O805:AS805="C")+0.5*(O805:AS805="D"),(1-((O768:AS768=6)*(EMPLOYES!M49="5j")))))</f>
        <v/>
      </c>
      <c r="O805" s="46" t="n"/>
      <c r="P805" s="46" t="n"/>
      <c r="Q805" s="46" t="n"/>
      <c r="R805" s="46" t="n"/>
      <c r="S805" s="46" t="n"/>
      <c r="T805" s="46" t="n"/>
      <c r="U805" s="46" t="n"/>
      <c r="V805" s="46" t="n"/>
      <c r="W805" s="46" t="n"/>
      <c r="X805" s="46" t="n"/>
      <c r="Y805" s="46" t="n"/>
      <c r="Z805" s="46" t="n"/>
      <c r="AA805" s="46" t="n"/>
      <c r="AB805" s="46" t="n"/>
      <c r="AC805" s="46" t="n"/>
      <c r="AD805" s="46" t="n"/>
      <c r="AE805" s="46" t="n"/>
      <c r="AF805" s="46" t="n"/>
      <c r="AG805" s="46" t="n"/>
      <c r="AH805" s="46" t="n"/>
      <c r="AI805" s="46" t="n"/>
      <c r="AJ805" s="46" t="n"/>
      <c r="AK805" s="46" t="n"/>
      <c r="AL805" s="46" t="n"/>
      <c r="AM805" s="46" t="n"/>
      <c r="AN805" s="46" t="n"/>
      <c r="AO805" s="46" t="n"/>
      <c r="AP805" s="46" t="n"/>
      <c r="AQ805" s="46" t="n"/>
      <c r="AR805" s="46" t="n"/>
      <c r="AS805" s="46" t="n"/>
      <c r="AV805" s="36">
        <f>IF($C805="","",EMPLOYES!M49)</f>
        <v/>
      </c>
      <c r="AW805" s="36">
        <f>IF($C805="",0,SUMPRODUCT(--(O805:AS805="C")))</f>
        <v/>
      </c>
      <c r="AX805" s="36">
        <f>IF($C805="",0,SUMPRODUCT(--(O805:AS805="R")))</f>
        <v/>
      </c>
      <c r="AY805" s="44" t="n"/>
    </row>
    <row r="806" hidden="1" outlineLevel="1" ht="15" customHeight="1" s="15">
      <c r="B806" s="41" t="n">
        <v>4</v>
      </c>
      <c r="C806" s="42">
        <f>IF(EMPLOYES!C50="","",EMPLOYES!C50)</f>
        <v/>
      </c>
      <c r="D806" s="43">
        <f>IF(EMPLOYES!C50="","",EMPLOYES!D50)</f>
        <v/>
      </c>
      <c r="E806" s="44" t="n"/>
      <c r="F806" s="42" t="n"/>
      <c r="G806" s="41">
        <f>IF($C806="",0,MAX(0,$M806-$N806))</f>
        <v/>
      </c>
      <c r="H806" s="45" t="n"/>
      <c r="I806" s="41">
        <f>IF($C806="","",IF(H806="","OK",IF(H806&gt;EMPLOYES!P50,"⚠ Avance &gt; salaire",IF(H806&gt;EMPLOYES!P50*PARAMETRES!$C$218,"⚠ Avance élevée","OK"))))</f>
        <v/>
      </c>
      <c r="J806" s="45" t="n"/>
      <c r="K806" s="46" t="n"/>
      <c r="L806" s="46" t="n"/>
      <c r="M806" s="41">
        <f>IF($C806="","",SUMPRODUCT((PARAMETRES!$B$38:$B$157=PARAMETRES!$C$29)*(PARAMETRES!$C$38:$C$157=4)*(IF(EMPLOYES!M50="5j",PARAMETRES!$I$38:$I$157,PARAMETRES!$H$38:$H$157))))</f>
        <v/>
      </c>
      <c r="N806" s="41">
        <f>IF($C806="","",SUMPRODUCT((O806:AS806="P")+(O806:AS806="F")+(O806:AS806="C")+0.5*(O806:AS806="D"),(1-((O768:AS768=6)*(EMPLOYES!M50="5j")))))</f>
        <v/>
      </c>
      <c r="O806" s="46" t="n"/>
      <c r="P806" s="46" t="n"/>
      <c r="Q806" s="46" t="n"/>
      <c r="R806" s="46" t="n"/>
      <c r="S806" s="46" t="n"/>
      <c r="T806" s="46" t="n"/>
      <c r="U806" s="46" t="n"/>
      <c r="V806" s="46" t="n"/>
      <c r="W806" s="46" t="n"/>
      <c r="X806" s="46" t="n"/>
      <c r="Y806" s="46" t="n"/>
      <c r="Z806" s="46" t="n"/>
      <c r="AA806" s="46" t="n"/>
      <c r="AB806" s="46" t="n"/>
      <c r="AC806" s="46" t="n"/>
      <c r="AD806" s="46" t="n"/>
      <c r="AE806" s="46" t="n"/>
      <c r="AF806" s="46" t="n"/>
      <c r="AG806" s="46" t="n"/>
      <c r="AH806" s="46" t="n"/>
      <c r="AI806" s="46" t="n"/>
      <c r="AJ806" s="46" t="n"/>
      <c r="AK806" s="46" t="n"/>
      <c r="AL806" s="46" t="n"/>
      <c r="AM806" s="46" t="n"/>
      <c r="AN806" s="46" t="n"/>
      <c r="AO806" s="46" t="n"/>
      <c r="AP806" s="46" t="n"/>
      <c r="AQ806" s="46" t="n"/>
      <c r="AR806" s="46" t="n"/>
      <c r="AS806" s="46" t="n"/>
      <c r="AV806" s="36">
        <f>IF($C806="","",EMPLOYES!M50)</f>
        <v/>
      </c>
      <c r="AW806" s="36">
        <f>IF($C806="",0,SUMPRODUCT(--(O806:AS806="C")))</f>
        <v/>
      </c>
      <c r="AX806" s="36">
        <f>IF($C806="",0,SUMPRODUCT(--(O806:AS806="R")))</f>
        <v/>
      </c>
      <c r="AY806" s="44" t="n"/>
    </row>
    <row r="807" hidden="1" outlineLevel="1" ht="15" customHeight="1" s="15">
      <c r="B807" s="41" t="n">
        <v>4</v>
      </c>
      <c r="C807" s="42">
        <f>IF(EMPLOYES!C51="","",EMPLOYES!C51)</f>
        <v/>
      </c>
      <c r="D807" s="43">
        <f>IF(EMPLOYES!C51="","",EMPLOYES!D51)</f>
        <v/>
      </c>
      <c r="E807" s="44" t="n"/>
      <c r="F807" s="42" t="n"/>
      <c r="G807" s="41">
        <f>IF($C807="",0,MAX(0,$M807-$N807))</f>
        <v/>
      </c>
      <c r="H807" s="45" t="n"/>
      <c r="I807" s="41">
        <f>IF($C807="","",IF(H807="","OK",IF(H807&gt;EMPLOYES!P51,"⚠ Avance &gt; salaire",IF(H807&gt;EMPLOYES!P51*PARAMETRES!$C$218,"⚠ Avance élevée","OK"))))</f>
        <v/>
      </c>
      <c r="J807" s="45" t="n"/>
      <c r="K807" s="46" t="n"/>
      <c r="L807" s="46" t="n"/>
      <c r="M807" s="41">
        <f>IF($C807="","",SUMPRODUCT((PARAMETRES!$B$38:$B$157=PARAMETRES!$C$29)*(PARAMETRES!$C$38:$C$157=4)*(IF(EMPLOYES!M51="5j",PARAMETRES!$I$38:$I$157,PARAMETRES!$H$38:$H$157))))</f>
        <v/>
      </c>
      <c r="N807" s="41">
        <f>IF($C807="","",SUMPRODUCT((O807:AS807="P")+(O807:AS807="F")+(O807:AS807="C")+0.5*(O807:AS807="D"),(1-((O768:AS768=6)*(EMPLOYES!M51="5j")))))</f>
        <v/>
      </c>
      <c r="O807" s="46" t="n"/>
      <c r="P807" s="46" t="n"/>
      <c r="Q807" s="46" t="n"/>
      <c r="R807" s="46" t="n"/>
      <c r="S807" s="46" t="n"/>
      <c r="T807" s="46" t="n"/>
      <c r="U807" s="46" t="n"/>
      <c r="V807" s="46" t="n"/>
      <c r="W807" s="46" t="n"/>
      <c r="X807" s="46" t="n"/>
      <c r="Y807" s="46" t="n"/>
      <c r="Z807" s="46" t="n"/>
      <c r="AA807" s="46" t="n"/>
      <c r="AB807" s="46" t="n"/>
      <c r="AC807" s="46" t="n"/>
      <c r="AD807" s="46" t="n"/>
      <c r="AE807" s="46" t="n"/>
      <c r="AF807" s="46" t="n"/>
      <c r="AG807" s="46" t="n"/>
      <c r="AH807" s="46" t="n"/>
      <c r="AI807" s="46" t="n"/>
      <c r="AJ807" s="46" t="n"/>
      <c r="AK807" s="46" t="n"/>
      <c r="AL807" s="46" t="n"/>
      <c r="AM807" s="46" t="n"/>
      <c r="AN807" s="46" t="n"/>
      <c r="AO807" s="46" t="n"/>
      <c r="AP807" s="46" t="n"/>
      <c r="AQ807" s="46" t="n"/>
      <c r="AR807" s="46" t="n"/>
      <c r="AS807" s="46" t="n"/>
      <c r="AV807" s="36">
        <f>IF($C807="","",EMPLOYES!M51)</f>
        <v/>
      </c>
      <c r="AW807" s="36">
        <f>IF($C807="",0,SUMPRODUCT(--(O807:AS807="C")))</f>
        <v/>
      </c>
      <c r="AX807" s="36">
        <f>IF($C807="",0,SUMPRODUCT(--(O807:AS807="R")))</f>
        <v/>
      </c>
      <c r="AY807" s="44" t="n"/>
    </row>
    <row r="808" hidden="1" outlineLevel="1" ht="15" customHeight="1" s="15">
      <c r="B808" s="41" t="n">
        <v>4</v>
      </c>
      <c r="C808" s="42">
        <f>IF(EMPLOYES!C52="","",EMPLOYES!C52)</f>
        <v/>
      </c>
      <c r="D808" s="43">
        <f>IF(EMPLOYES!C52="","",EMPLOYES!D52)</f>
        <v/>
      </c>
      <c r="E808" s="44" t="n"/>
      <c r="F808" s="42" t="n"/>
      <c r="G808" s="41">
        <f>IF($C808="",0,MAX(0,$M808-$N808))</f>
        <v/>
      </c>
      <c r="H808" s="45" t="n"/>
      <c r="I808" s="41">
        <f>IF($C808="","",IF(H808="","OK",IF(H808&gt;EMPLOYES!P52,"⚠ Avance &gt; salaire",IF(H808&gt;EMPLOYES!P52*PARAMETRES!$C$218,"⚠ Avance élevée","OK"))))</f>
        <v/>
      </c>
      <c r="J808" s="45" t="n"/>
      <c r="K808" s="46" t="n"/>
      <c r="L808" s="46" t="n"/>
      <c r="M808" s="41">
        <f>IF($C808="","",SUMPRODUCT((PARAMETRES!$B$38:$B$157=PARAMETRES!$C$29)*(PARAMETRES!$C$38:$C$157=4)*(IF(EMPLOYES!M52="5j",PARAMETRES!$I$38:$I$157,PARAMETRES!$H$38:$H$157))))</f>
        <v/>
      </c>
      <c r="N808" s="41">
        <f>IF($C808="","",SUMPRODUCT((O808:AS808="P")+(O808:AS808="F")+(O808:AS808="C")+0.5*(O808:AS808="D"),(1-((O768:AS768=6)*(EMPLOYES!M52="5j")))))</f>
        <v/>
      </c>
      <c r="O808" s="46" t="n"/>
      <c r="P808" s="46" t="n"/>
      <c r="Q808" s="46" t="n"/>
      <c r="R808" s="46" t="n"/>
      <c r="S808" s="46" t="n"/>
      <c r="T808" s="46" t="n"/>
      <c r="U808" s="46" t="n"/>
      <c r="V808" s="46" t="n"/>
      <c r="W808" s="46" t="n"/>
      <c r="X808" s="46" t="n"/>
      <c r="Y808" s="46" t="n"/>
      <c r="Z808" s="46" t="n"/>
      <c r="AA808" s="46" t="n"/>
      <c r="AB808" s="46" t="n"/>
      <c r="AC808" s="46" t="n"/>
      <c r="AD808" s="46" t="n"/>
      <c r="AE808" s="46" t="n"/>
      <c r="AF808" s="46" t="n"/>
      <c r="AG808" s="46" t="n"/>
      <c r="AH808" s="46" t="n"/>
      <c r="AI808" s="46" t="n"/>
      <c r="AJ808" s="46" t="n"/>
      <c r="AK808" s="46" t="n"/>
      <c r="AL808" s="46" t="n"/>
      <c r="AM808" s="46" t="n"/>
      <c r="AN808" s="46" t="n"/>
      <c r="AO808" s="46" t="n"/>
      <c r="AP808" s="46" t="n"/>
      <c r="AQ808" s="46" t="n"/>
      <c r="AR808" s="46" t="n"/>
      <c r="AS808" s="46" t="n"/>
      <c r="AV808" s="36">
        <f>IF($C808="","",EMPLOYES!M52)</f>
        <v/>
      </c>
      <c r="AW808" s="36">
        <f>IF($C808="",0,SUMPRODUCT(--(O808:AS808="C")))</f>
        <v/>
      </c>
      <c r="AX808" s="36">
        <f>IF($C808="",0,SUMPRODUCT(--(O808:AS808="R")))</f>
        <v/>
      </c>
      <c r="AY808" s="44" t="n"/>
    </row>
    <row r="809" hidden="1" outlineLevel="1" ht="15" customHeight="1" s="15">
      <c r="B809" s="41" t="n">
        <v>4</v>
      </c>
      <c r="C809" s="42">
        <f>IF(EMPLOYES!C53="","",EMPLOYES!C53)</f>
        <v/>
      </c>
      <c r="D809" s="43">
        <f>IF(EMPLOYES!C53="","",EMPLOYES!D53)</f>
        <v/>
      </c>
      <c r="E809" s="44" t="n"/>
      <c r="F809" s="42" t="n"/>
      <c r="G809" s="41">
        <f>IF($C809="",0,MAX(0,$M809-$N809))</f>
        <v/>
      </c>
      <c r="H809" s="45" t="n"/>
      <c r="I809" s="41">
        <f>IF($C809="","",IF(H809="","OK",IF(H809&gt;EMPLOYES!P53,"⚠ Avance &gt; salaire",IF(H809&gt;EMPLOYES!P53*PARAMETRES!$C$218,"⚠ Avance élevée","OK"))))</f>
        <v/>
      </c>
      <c r="J809" s="45" t="n"/>
      <c r="K809" s="46" t="n"/>
      <c r="L809" s="46" t="n"/>
      <c r="M809" s="41">
        <f>IF($C809="","",SUMPRODUCT((PARAMETRES!$B$38:$B$157=PARAMETRES!$C$29)*(PARAMETRES!$C$38:$C$157=4)*(IF(EMPLOYES!M53="5j",PARAMETRES!$I$38:$I$157,PARAMETRES!$H$38:$H$157))))</f>
        <v/>
      </c>
      <c r="N809" s="41">
        <f>IF($C809="","",SUMPRODUCT((O809:AS809="P")+(O809:AS809="F")+(O809:AS809="C")+0.5*(O809:AS809="D"),(1-((O768:AS768=6)*(EMPLOYES!M53="5j")))))</f>
        <v/>
      </c>
      <c r="O809" s="46" t="n"/>
      <c r="P809" s="46" t="n"/>
      <c r="Q809" s="46" t="n"/>
      <c r="R809" s="46" t="n"/>
      <c r="S809" s="46" t="n"/>
      <c r="T809" s="46" t="n"/>
      <c r="U809" s="46" t="n"/>
      <c r="V809" s="46" t="n"/>
      <c r="W809" s="46" t="n"/>
      <c r="X809" s="46" t="n"/>
      <c r="Y809" s="46" t="n"/>
      <c r="Z809" s="46" t="n"/>
      <c r="AA809" s="46" t="n"/>
      <c r="AB809" s="46" t="n"/>
      <c r="AC809" s="46" t="n"/>
      <c r="AD809" s="46" t="n"/>
      <c r="AE809" s="46" t="n"/>
      <c r="AF809" s="46" t="n"/>
      <c r="AG809" s="46" t="n"/>
      <c r="AH809" s="46" t="n"/>
      <c r="AI809" s="46" t="n"/>
      <c r="AJ809" s="46" t="n"/>
      <c r="AK809" s="46" t="n"/>
      <c r="AL809" s="46" t="n"/>
      <c r="AM809" s="46" t="n"/>
      <c r="AN809" s="46" t="n"/>
      <c r="AO809" s="46" t="n"/>
      <c r="AP809" s="46" t="n"/>
      <c r="AQ809" s="46" t="n"/>
      <c r="AR809" s="46" t="n"/>
      <c r="AS809" s="46" t="n"/>
      <c r="AV809" s="36">
        <f>IF($C809="","",EMPLOYES!M53)</f>
        <v/>
      </c>
      <c r="AW809" s="36">
        <f>IF($C809="",0,SUMPRODUCT(--(O809:AS809="C")))</f>
        <v/>
      </c>
      <c r="AX809" s="36">
        <f>IF($C809="",0,SUMPRODUCT(--(O809:AS809="R")))</f>
        <v/>
      </c>
      <c r="AY809" s="44" t="n"/>
    </row>
    <row r="810" hidden="1" outlineLevel="1" ht="15" customHeight="1" s="15">
      <c r="B810" s="41" t="n">
        <v>4</v>
      </c>
      <c r="C810" s="42">
        <f>IF(EMPLOYES!C54="","",EMPLOYES!C54)</f>
        <v/>
      </c>
      <c r="D810" s="43">
        <f>IF(EMPLOYES!C54="","",EMPLOYES!D54)</f>
        <v/>
      </c>
      <c r="E810" s="44" t="n"/>
      <c r="F810" s="42" t="n"/>
      <c r="G810" s="41">
        <f>IF($C810="",0,MAX(0,$M810-$N810))</f>
        <v/>
      </c>
      <c r="H810" s="45" t="n"/>
      <c r="I810" s="41">
        <f>IF($C810="","",IF(H810="","OK",IF(H810&gt;EMPLOYES!P54,"⚠ Avance &gt; salaire",IF(H810&gt;EMPLOYES!P54*PARAMETRES!$C$218,"⚠ Avance élevée","OK"))))</f>
        <v/>
      </c>
      <c r="J810" s="45" t="n"/>
      <c r="K810" s="46" t="n"/>
      <c r="L810" s="46" t="n"/>
      <c r="M810" s="41">
        <f>IF($C810="","",SUMPRODUCT((PARAMETRES!$B$38:$B$157=PARAMETRES!$C$29)*(PARAMETRES!$C$38:$C$157=4)*(IF(EMPLOYES!M54="5j",PARAMETRES!$I$38:$I$157,PARAMETRES!$H$38:$H$157))))</f>
        <v/>
      </c>
      <c r="N810" s="41">
        <f>IF($C810="","",SUMPRODUCT((O810:AS810="P")+(O810:AS810="F")+(O810:AS810="C")+0.5*(O810:AS810="D"),(1-((O768:AS768=6)*(EMPLOYES!M54="5j")))))</f>
        <v/>
      </c>
      <c r="O810" s="46" t="n"/>
      <c r="P810" s="46" t="n"/>
      <c r="Q810" s="46" t="n"/>
      <c r="R810" s="46" t="n"/>
      <c r="S810" s="46" t="n"/>
      <c r="T810" s="46" t="n"/>
      <c r="U810" s="46" t="n"/>
      <c r="V810" s="46" t="n"/>
      <c r="W810" s="46" t="n"/>
      <c r="X810" s="46" t="n"/>
      <c r="Y810" s="46" t="n"/>
      <c r="Z810" s="46" t="n"/>
      <c r="AA810" s="46" t="n"/>
      <c r="AB810" s="46" t="n"/>
      <c r="AC810" s="46" t="n"/>
      <c r="AD810" s="46" t="n"/>
      <c r="AE810" s="46" t="n"/>
      <c r="AF810" s="46" t="n"/>
      <c r="AG810" s="46" t="n"/>
      <c r="AH810" s="46" t="n"/>
      <c r="AI810" s="46" t="n"/>
      <c r="AJ810" s="46" t="n"/>
      <c r="AK810" s="46" t="n"/>
      <c r="AL810" s="46" t="n"/>
      <c r="AM810" s="46" t="n"/>
      <c r="AN810" s="46" t="n"/>
      <c r="AO810" s="46" t="n"/>
      <c r="AP810" s="46" t="n"/>
      <c r="AQ810" s="46" t="n"/>
      <c r="AR810" s="46" t="n"/>
      <c r="AS810" s="46" t="n"/>
      <c r="AV810" s="36">
        <f>IF($C810="","",EMPLOYES!M54)</f>
        <v/>
      </c>
      <c r="AW810" s="36">
        <f>IF($C810="",0,SUMPRODUCT(--(O810:AS810="C")))</f>
        <v/>
      </c>
      <c r="AX810" s="36">
        <f>IF($C810="",0,SUMPRODUCT(--(O810:AS810="R")))</f>
        <v/>
      </c>
      <c r="AY810" s="44" t="n"/>
    </row>
    <row r="811" hidden="1" outlineLevel="1" ht="15" customHeight="1" s="15">
      <c r="B811" s="41" t="n">
        <v>4</v>
      </c>
      <c r="C811" s="42">
        <f>IF(EMPLOYES!C55="","",EMPLOYES!C55)</f>
        <v/>
      </c>
      <c r="D811" s="43">
        <f>IF(EMPLOYES!C55="","",EMPLOYES!D55)</f>
        <v/>
      </c>
      <c r="E811" s="44" t="n"/>
      <c r="F811" s="42" t="n"/>
      <c r="G811" s="41">
        <f>IF($C811="",0,MAX(0,$M811-$N811))</f>
        <v/>
      </c>
      <c r="H811" s="45" t="n"/>
      <c r="I811" s="41">
        <f>IF($C811="","",IF(H811="","OK",IF(H811&gt;EMPLOYES!P55,"⚠ Avance &gt; salaire",IF(H811&gt;EMPLOYES!P55*PARAMETRES!$C$218,"⚠ Avance élevée","OK"))))</f>
        <v/>
      </c>
      <c r="J811" s="45" t="n"/>
      <c r="K811" s="46" t="n"/>
      <c r="L811" s="46" t="n"/>
      <c r="M811" s="41">
        <f>IF($C811="","",SUMPRODUCT((PARAMETRES!$B$38:$B$157=PARAMETRES!$C$29)*(PARAMETRES!$C$38:$C$157=4)*(IF(EMPLOYES!M55="5j",PARAMETRES!$I$38:$I$157,PARAMETRES!$H$38:$H$157))))</f>
        <v/>
      </c>
      <c r="N811" s="41">
        <f>IF($C811="","",SUMPRODUCT((O811:AS811="P")+(O811:AS811="F")+(O811:AS811="C")+0.5*(O811:AS811="D"),(1-((O768:AS768=6)*(EMPLOYES!M55="5j")))))</f>
        <v/>
      </c>
      <c r="O811" s="46" t="n"/>
      <c r="P811" s="46" t="n"/>
      <c r="Q811" s="46" t="n"/>
      <c r="R811" s="46" t="n"/>
      <c r="S811" s="46" t="n"/>
      <c r="T811" s="46" t="n"/>
      <c r="U811" s="46" t="n"/>
      <c r="V811" s="46" t="n"/>
      <c r="W811" s="46" t="n"/>
      <c r="X811" s="46" t="n"/>
      <c r="Y811" s="46" t="n"/>
      <c r="Z811" s="46" t="n"/>
      <c r="AA811" s="46" t="n"/>
      <c r="AB811" s="46" t="n"/>
      <c r="AC811" s="46" t="n"/>
      <c r="AD811" s="46" t="n"/>
      <c r="AE811" s="46" t="n"/>
      <c r="AF811" s="46" t="n"/>
      <c r="AG811" s="46" t="n"/>
      <c r="AH811" s="46" t="n"/>
      <c r="AI811" s="46" t="n"/>
      <c r="AJ811" s="46" t="n"/>
      <c r="AK811" s="46" t="n"/>
      <c r="AL811" s="46" t="n"/>
      <c r="AM811" s="46" t="n"/>
      <c r="AN811" s="46" t="n"/>
      <c r="AO811" s="46" t="n"/>
      <c r="AP811" s="46" t="n"/>
      <c r="AQ811" s="46" t="n"/>
      <c r="AR811" s="46" t="n"/>
      <c r="AS811" s="46" t="n"/>
      <c r="AV811" s="36">
        <f>IF($C811="","",EMPLOYES!M55)</f>
        <v/>
      </c>
      <c r="AW811" s="36">
        <f>IF($C811="",0,SUMPRODUCT(--(O811:AS811="C")))</f>
        <v/>
      </c>
      <c r="AX811" s="36">
        <f>IF($C811="",0,SUMPRODUCT(--(O811:AS811="R")))</f>
        <v/>
      </c>
      <c r="AY811" s="44" t="n"/>
    </row>
    <row r="812" hidden="1" outlineLevel="1" ht="15" customHeight="1" s="15">
      <c r="B812" s="41" t="n">
        <v>4</v>
      </c>
      <c r="C812" s="42">
        <f>IF(EMPLOYES!C56="","",EMPLOYES!C56)</f>
        <v/>
      </c>
      <c r="D812" s="43">
        <f>IF(EMPLOYES!C56="","",EMPLOYES!D56)</f>
        <v/>
      </c>
      <c r="E812" s="44" t="n"/>
      <c r="F812" s="42" t="n"/>
      <c r="G812" s="41">
        <f>IF($C812="",0,MAX(0,$M812-$N812))</f>
        <v/>
      </c>
      <c r="H812" s="45" t="n"/>
      <c r="I812" s="41">
        <f>IF($C812="","",IF(H812="","OK",IF(H812&gt;EMPLOYES!P56,"⚠ Avance &gt; salaire",IF(H812&gt;EMPLOYES!P56*PARAMETRES!$C$218,"⚠ Avance élevée","OK"))))</f>
        <v/>
      </c>
      <c r="J812" s="45" t="n"/>
      <c r="K812" s="46" t="n"/>
      <c r="L812" s="46" t="n"/>
      <c r="M812" s="41">
        <f>IF($C812="","",SUMPRODUCT((PARAMETRES!$B$38:$B$157=PARAMETRES!$C$29)*(PARAMETRES!$C$38:$C$157=4)*(IF(EMPLOYES!M56="5j",PARAMETRES!$I$38:$I$157,PARAMETRES!$H$38:$H$157))))</f>
        <v/>
      </c>
      <c r="N812" s="41">
        <f>IF($C812="","",SUMPRODUCT((O812:AS812="P")+(O812:AS812="F")+(O812:AS812="C")+0.5*(O812:AS812="D"),(1-((O768:AS768=6)*(EMPLOYES!M56="5j")))))</f>
        <v/>
      </c>
      <c r="O812" s="46" t="n"/>
      <c r="P812" s="46" t="n"/>
      <c r="Q812" s="46" t="n"/>
      <c r="R812" s="46" t="n"/>
      <c r="S812" s="46" t="n"/>
      <c r="T812" s="46" t="n"/>
      <c r="U812" s="46" t="n"/>
      <c r="V812" s="46" t="n"/>
      <c r="W812" s="46" t="n"/>
      <c r="X812" s="46" t="n"/>
      <c r="Y812" s="46" t="n"/>
      <c r="Z812" s="46" t="n"/>
      <c r="AA812" s="46" t="n"/>
      <c r="AB812" s="46" t="n"/>
      <c r="AC812" s="46" t="n"/>
      <c r="AD812" s="46" t="n"/>
      <c r="AE812" s="46" t="n"/>
      <c r="AF812" s="46" t="n"/>
      <c r="AG812" s="46" t="n"/>
      <c r="AH812" s="46" t="n"/>
      <c r="AI812" s="46" t="n"/>
      <c r="AJ812" s="46" t="n"/>
      <c r="AK812" s="46" t="n"/>
      <c r="AL812" s="46" t="n"/>
      <c r="AM812" s="46" t="n"/>
      <c r="AN812" s="46" t="n"/>
      <c r="AO812" s="46" t="n"/>
      <c r="AP812" s="46" t="n"/>
      <c r="AQ812" s="46" t="n"/>
      <c r="AR812" s="46" t="n"/>
      <c r="AS812" s="46" t="n"/>
      <c r="AV812" s="36">
        <f>IF($C812="","",EMPLOYES!M56)</f>
        <v/>
      </c>
      <c r="AW812" s="36">
        <f>IF($C812="",0,SUMPRODUCT(--(O812:AS812="C")))</f>
        <v/>
      </c>
      <c r="AX812" s="36">
        <f>IF($C812="",0,SUMPRODUCT(--(O812:AS812="R")))</f>
        <v/>
      </c>
      <c r="AY812" s="44" t="n"/>
    </row>
    <row r="813" hidden="1" outlineLevel="1" ht="15" customHeight="1" s="15">
      <c r="B813" s="41" t="n">
        <v>4</v>
      </c>
      <c r="C813" s="42">
        <f>IF(EMPLOYES!C57="","",EMPLOYES!C57)</f>
        <v/>
      </c>
      <c r="D813" s="43">
        <f>IF(EMPLOYES!C57="","",EMPLOYES!D57)</f>
        <v/>
      </c>
      <c r="E813" s="44" t="n"/>
      <c r="F813" s="42" t="n"/>
      <c r="G813" s="41">
        <f>IF($C813="",0,MAX(0,$M813-$N813))</f>
        <v/>
      </c>
      <c r="H813" s="45" t="n"/>
      <c r="I813" s="41">
        <f>IF($C813="","",IF(H813="","OK",IF(H813&gt;EMPLOYES!P57,"⚠ Avance &gt; salaire",IF(H813&gt;EMPLOYES!P57*PARAMETRES!$C$218,"⚠ Avance élevée","OK"))))</f>
        <v/>
      </c>
      <c r="J813" s="45" t="n"/>
      <c r="K813" s="46" t="n"/>
      <c r="L813" s="46" t="n"/>
      <c r="M813" s="41">
        <f>IF($C813="","",SUMPRODUCT((PARAMETRES!$B$38:$B$157=PARAMETRES!$C$29)*(PARAMETRES!$C$38:$C$157=4)*(IF(EMPLOYES!M57="5j",PARAMETRES!$I$38:$I$157,PARAMETRES!$H$38:$H$157))))</f>
        <v/>
      </c>
      <c r="N813" s="41">
        <f>IF($C813="","",SUMPRODUCT((O813:AS813="P")+(O813:AS813="F")+(O813:AS813="C")+0.5*(O813:AS813="D"),(1-((O768:AS768=6)*(EMPLOYES!M57="5j")))))</f>
        <v/>
      </c>
      <c r="O813" s="46" t="n"/>
      <c r="P813" s="46" t="n"/>
      <c r="Q813" s="46" t="n"/>
      <c r="R813" s="46" t="n"/>
      <c r="S813" s="46" t="n"/>
      <c r="T813" s="46" t="n"/>
      <c r="U813" s="46" t="n"/>
      <c r="V813" s="46" t="n"/>
      <c r="W813" s="46" t="n"/>
      <c r="X813" s="46" t="n"/>
      <c r="Y813" s="46" t="n"/>
      <c r="Z813" s="46" t="n"/>
      <c r="AA813" s="46" t="n"/>
      <c r="AB813" s="46" t="n"/>
      <c r="AC813" s="46" t="n"/>
      <c r="AD813" s="46" t="n"/>
      <c r="AE813" s="46" t="n"/>
      <c r="AF813" s="46" t="n"/>
      <c r="AG813" s="46" t="n"/>
      <c r="AH813" s="46" t="n"/>
      <c r="AI813" s="46" t="n"/>
      <c r="AJ813" s="46" t="n"/>
      <c r="AK813" s="46" t="n"/>
      <c r="AL813" s="46" t="n"/>
      <c r="AM813" s="46" t="n"/>
      <c r="AN813" s="46" t="n"/>
      <c r="AO813" s="46" t="n"/>
      <c r="AP813" s="46" t="n"/>
      <c r="AQ813" s="46" t="n"/>
      <c r="AR813" s="46" t="n"/>
      <c r="AS813" s="46" t="n"/>
      <c r="AV813" s="36">
        <f>IF($C813="","",EMPLOYES!M57)</f>
        <v/>
      </c>
      <c r="AW813" s="36">
        <f>IF($C813="",0,SUMPRODUCT(--(O813:AS813="C")))</f>
        <v/>
      </c>
      <c r="AX813" s="36">
        <f>IF($C813="",0,SUMPRODUCT(--(O813:AS813="R")))</f>
        <v/>
      </c>
      <c r="AY813" s="44" t="n"/>
    </row>
    <row r="814" hidden="1" outlineLevel="1" ht="15" customHeight="1" s="15">
      <c r="B814" s="41" t="n">
        <v>4</v>
      </c>
      <c r="C814" s="42">
        <f>IF(EMPLOYES!C58="","",EMPLOYES!C58)</f>
        <v/>
      </c>
      <c r="D814" s="43">
        <f>IF(EMPLOYES!C58="","",EMPLOYES!D58)</f>
        <v/>
      </c>
      <c r="E814" s="44" t="n"/>
      <c r="F814" s="42" t="n"/>
      <c r="G814" s="41">
        <f>IF($C814="",0,MAX(0,$M814-$N814))</f>
        <v/>
      </c>
      <c r="H814" s="45" t="n"/>
      <c r="I814" s="41">
        <f>IF($C814="","",IF(H814="","OK",IF(H814&gt;EMPLOYES!P58,"⚠ Avance &gt; salaire",IF(H814&gt;EMPLOYES!P58*PARAMETRES!$C$218,"⚠ Avance élevée","OK"))))</f>
        <v/>
      </c>
      <c r="J814" s="45" t="n"/>
      <c r="K814" s="46" t="n"/>
      <c r="L814" s="46" t="n"/>
      <c r="M814" s="41">
        <f>IF($C814="","",SUMPRODUCT((PARAMETRES!$B$38:$B$157=PARAMETRES!$C$29)*(PARAMETRES!$C$38:$C$157=4)*(IF(EMPLOYES!M58="5j",PARAMETRES!$I$38:$I$157,PARAMETRES!$H$38:$H$157))))</f>
        <v/>
      </c>
      <c r="N814" s="41">
        <f>IF($C814="","",SUMPRODUCT((O814:AS814="P")+(O814:AS814="F")+(O814:AS814="C")+0.5*(O814:AS814="D"),(1-((O768:AS768=6)*(EMPLOYES!M58="5j")))))</f>
        <v/>
      </c>
      <c r="O814" s="46" t="n"/>
      <c r="P814" s="46" t="n"/>
      <c r="Q814" s="46" t="n"/>
      <c r="R814" s="46" t="n"/>
      <c r="S814" s="46" t="n"/>
      <c r="T814" s="46" t="n"/>
      <c r="U814" s="46" t="n"/>
      <c r="V814" s="46" t="n"/>
      <c r="W814" s="46" t="n"/>
      <c r="X814" s="46" t="n"/>
      <c r="Y814" s="46" t="n"/>
      <c r="Z814" s="46" t="n"/>
      <c r="AA814" s="46" t="n"/>
      <c r="AB814" s="46" t="n"/>
      <c r="AC814" s="46" t="n"/>
      <c r="AD814" s="46" t="n"/>
      <c r="AE814" s="46" t="n"/>
      <c r="AF814" s="46" t="n"/>
      <c r="AG814" s="46" t="n"/>
      <c r="AH814" s="46" t="n"/>
      <c r="AI814" s="46" t="n"/>
      <c r="AJ814" s="46" t="n"/>
      <c r="AK814" s="46" t="n"/>
      <c r="AL814" s="46" t="n"/>
      <c r="AM814" s="46" t="n"/>
      <c r="AN814" s="46" t="n"/>
      <c r="AO814" s="46" t="n"/>
      <c r="AP814" s="46" t="n"/>
      <c r="AQ814" s="46" t="n"/>
      <c r="AR814" s="46" t="n"/>
      <c r="AS814" s="46" t="n"/>
      <c r="AV814" s="36">
        <f>IF($C814="","",EMPLOYES!M58)</f>
        <v/>
      </c>
      <c r="AW814" s="36">
        <f>IF($C814="",0,SUMPRODUCT(--(O814:AS814="C")))</f>
        <v/>
      </c>
      <c r="AX814" s="36">
        <f>IF($C814="",0,SUMPRODUCT(--(O814:AS814="R")))</f>
        <v/>
      </c>
      <c r="AY814" s="44" t="n"/>
    </row>
    <row r="815" hidden="1" outlineLevel="1" ht="15" customHeight="1" s="15">
      <c r="B815" s="41" t="n">
        <v>4</v>
      </c>
      <c r="C815" s="42">
        <f>IF(EMPLOYES!C59="","",EMPLOYES!C59)</f>
        <v/>
      </c>
      <c r="D815" s="43">
        <f>IF(EMPLOYES!C59="","",EMPLOYES!D59)</f>
        <v/>
      </c>
      <c r="E815" s="44" t="n"/>
      <c r="F815" s="42" t="n"/>
      <c r="G815" s="41">
        <f>IF($C815="",0,MAX(0,$M815-$N815))</f>
        <v/>
      </c>
      <c r="H815" s="45" t="n"/>
      <c r="I815" s="41">
        <f>IF($C815="","",IF(H815="","OK",IF(H815&gt;EMPLOYES!P59,"⚠ Avance &gt; salaire",IF(H815&gt;EMPLOYES!P59*PARAMETRES!$C$218,"⚠ Avance élevée","OK"))))</f>
        <v/>
      </c>
      <c r="J815" s="45" t="n"/>
      <c r="K815" s="46" t="n"/>
      <c r="L815" s="46" t="n"/>
      <c r="M815" s="41">
        <f>IF($C815="","",SUMPRODUCT((PARAMETRES!$B$38:$B$157=PARAMETRES!$C$29)*(PARAMETRES!$C$38:$C$157=4)*(IF(EMPLOYES!M59="5j",PARAMETRES!$I$38:$I$157,PARAMETRES!$H$38:$H$157))))</f>
        <v/>
      </c>
      <c r="N815" s="41">
        <f>IF($C815="","",SUMPRODUCT((O815:AS815="P")+(O815:AS815="F")+(O815:AS815="C")+0.5*(O815:AS815="D"),(1-((O768:AS768=6)*(EMPLOYES!M59="5j")))))</f>
        <v/>
      </c>
      <c r="O815" s="46" t="n"/>
      <c r="P815" s="46" t="n"/>
      <c r="Q815" s="46" t="n"/>
      <c r="R815" s="46" t="n"/>
      <c r="S815" s="46" t="n"/>
      <c r="T815" s="46" t="n"/>
      <c r="U815" s="46" t="n"/>
      <c r="V815" s="46" t="n"/>
      <c r="W815" s="46" t="n"/>
      <c r="X815" s="46" t="n"/>
      <c r="Y815" s="46" t="n"/>
      <c r="Z815" s="46" t="n"/>
      <c r="AA815" s="46" t="n"/>
      <c r="AB815" s="46" t="n"/>
      <c r="AC815" s="46" t="n"/>
      <c r="AD815" s="46" t="n"/>
      <c r="AE815" s="46" t="n"/>
      <c r="AF815" s="46" t="n"/>
      <c r="AG815" s="46" t="n"/>
      <c r="AH815" s="46" t="n"/>
      <c r="AI815" s="46" t="n"/>
      <c r="AJ815" s="46" t="n"/>
      <c r="AK815" s="46" t="n"/>
      <c r="AL815" s="46" t="n"/>
      <c r="AM815" s="46" t="n"/>
      <c r="AN815" s="46" t="n"/>
      <c r="AO815" s="46" t="n"/>
      <c r="AP815" s="46" t="n"/>
      <c r="AQ815" s="46" t="n"/>
      <c r="AR815" s="46" t="n"/>
      <c r="AS815" s="46" t="n"/>
      <c r="AV815" s="36">
        <f>IF($C815="","",EMPLOYES!M59)</f>
        <v/>
      </c>
      <c r="AW815" s="36">
        <f>IF($C815="",0,SUMPRODUCT(--(O815:AS815="C")))</f>
        <v/>
      </c>
      <c r="AX815" s="36">
        <f>IF($C815="",0,SUMPRODUCT(--(O815:AS815="R")))</f>
        <v/>
      </c>
      <c r="AY815" s="44" t="n"/>
    </row>
    <row r="816" hidden="1" outlineLevel="1" ht="15" customHeight="1" s="15">
      <c r="B816" s="41" t="n">
        <v>4</v>
      </c>
      <c r="C816" s="42">
        <f>IF(EMPLOYES!C60="","",EMPLOYES!C60)</f>
        <v/>
      </c>
      <c r="D816" s="43">
        <f>IF(EMPLOYES!C60="","",EMPLOYES!D60)</f>
        <v/>
      </c>
      <c r="E816" s="44" t="n"/>
      <c r="F816" s="42" t="n"/>
      <c r="G816" s="41">
        <f>IF($C816="",0,MAX(0,$M816-$N816))</f>
        <v/>
      </c>
      <c r="H816" s="45" t="n"/>
      <c r="I816" s="41">
        <f>IF($C816="","",IF(H816="","OK",IF(H816&gt;EMPLOYES!P60,"⚠ Avance &gt; salaire",IF(H816&gt;EMPLOYES!P60*PARAMETRES!$C$218,"⚠ Avance élevée","OK"))))</f>
        <v/>
      </c>
      <c r="J816" s="45" t="n"/>
      <c r="K816" s="46" t="n"/>
      <c r="L816" s="46" t="n"/>
      <c r="M816" s="41">
        <f>IF($C816="","",SUMPRODUCT((PARAMETRES!$B$38:$B$157=PARAMETRES!$C$29)*(PARAMETRES!$C$38:$C$157=4)*(IF(EMPLOYES!M60="5j",PARAMETRES!$I$38:$I$157,PARAMETRES!$H$38:$H$157))))</f>
        <v/>
      </c>
      <c r="N816" s="41">
        <f>IF($C816="","",SUMPRODUCT((O816:AS816="P")+(O816:AS816="F")+(O816:AS816="C")+0.5*(O816:AS816="D"),(1-((O768:AS768=6)*(EMPLOYES!M60="5j")))))</f>
        <v/>
      </c>
      <c r="O816" s="46" t="n"/>
      <c r="P816" s="46" t="n"/>
      <c r="Q816" s="46" t="n"/>
      <c r="R816" s="46" t="n"/>
      <c r="S816" s="46" t="n"/>
      <c r="T816" s="46" t="n"/>
      <c r="U816" s="46" t="n"/>
      <c r="V816" s="46" t="n"/>
      <c r="W816" s="46" t="n"/>
      <c r="X816" s="46" t="n"/>
      <c r="Y816" s="46" t="n"/>
      <c r="Z816" s="46" t="n"/>
      <c r="AA816" s="46" t="n"/>
      <c r="AB816" s="46" t="n"/>
      <c r="AC816" s="46" t="n"/>
      <c r="AD816" s="46" t="n"/>
      <c r="AE816" s="46" t="n"/>
      <c r="AF816" s="46" t="n"/>
      <c r="AG816" s="46" t="n"/>
      <c r="AH816" s="46" t="n"/>
      <c r="AI816" s="46" t="n"/>
      <c r="AJ816" s="46" t="n"/>
      <c r="AK816" s="46" t="n"/>
      <c r="AL816" s="46" t="n"/>
      <c r="AM816" s="46" t="n"/>
      <c r="AN816" s="46" t="n"/>
      <c r="AO816" s="46" t="n"/>
      <c r="AP816" s="46" t="n"/>
      <c r="AQ816" s="46" t="n"/>
      <c r="AR816" s="46" t="n"/>
      <c r="AS816" s="46" t="n"/>
      <c r="AV816" s="36">
        <f>IF($C816="","",EMPLOYES!M60)</f>
        <v/>
      </c>
      <c r="AW816" s="36">
        <f>IF($C816="",0,SUMPRODUCT(--(O816:AS816="C")))</f>
        <v/>
      </c>
      <c r="AX816" s="36">
        <f>IF($C816="",0,SUMPRODUCT(--(O816:AS816="R")))</f>
        <v/>
      </c>
      <c r="AY816" s="44" t="n"/>
    </row>
    <row r="817" hidden="1" outlineLevel="1" ht="15" customHeight="1" s="15">
      <c r="B817" s="41" t="n">
        <v>4</v>
      </c>
      <c r="C817" s="42">
        <f>IF(EMPLOYES!C61="","",EMPLOYES!C61)</f>
        <v/>
      </c>
      <c r="D817" s="43">
        <f>IF(EMPLOYES!C61="","",EMPLOYES!D61)</f>
        <v/>
      </c>
      <c r="E817" s="44" t="n"/>
      <c r="F817" s="42" t="n"/>
      <c r="G817" s="41">
        <f>IF($C817="",0,MAX(0,$M817-$N817))</f>
        <v/>
      </c>
      <c r="H817" s="45" t="n"/>
      <c r="I817" s="41">
        <f>IF($C817="","",IF(H817="","OK",IF(H817&gt;EMPLOYES!P61,"⚠ Avance &gt; salaire",IF(H817&gt;EMPLOYES!P61*PARAMETRES!$C$218,"⚠ Avance élevée","OK"))))</f>
        <v/>
      </c>
      <c r="J817" s="45" t="n"/>
      <c r="K817" s="46" t="n"/>
      <c r="L817" s="46" t="n"/>
      <c r="M817" s="41">
        <f>IF($C817="","",SUMPRODUCT((PARAMETRES!$B$38:$B$157=PARAMETRES!$C$29)*(PARAMETRES!$C$38:$C$157=4)*(IF(EMPLOYES!M61="5j",PARAMETRES!$I$38:$I$157,PARAMETRES!$H$38:$H$157))))</f>
        <v/>
      </c>
      <c r="N817" s="41">
        <f>IF($C817="","",SUMPRODUCT((O817:AS817="P")+(O817:AS817="F")+(O817:AS817="C")+0.5*(O817:AS817="D"),(1-((O768:AS768=6)*(EMPLOYES!M61="5j")))))</f>
        <v/>
      </c>
      <c r="O817" s="46" t="n"/>
      <c r="P817" s="46" t="n"/>
      <c r="Q817" s="46" t="n"/>
      <c r="R817" s="46" t="n"/>
      <c r="S817" s="46" t="n"/>
      <c r="T817" s="46" t="n"/>
      <c r="U817" s="46" t="n"/>
      <c r="V817" s="46" t="n"/>
      <c r="W817" s="46" t="n"/>
      <c r="X817" s="46" t="n"/>
      <c r="Y817" s="46" t="n"/>
      <c r="Z817" s="46" t="n"/>
      <c r="AA817" s="46" t="n"/>
      <c r="AB817" s="46" t="n"/>
      <c r="AC817" s="46" t="n"/>
      <c r="AD817" s="46" t="n"/>
      <c r="AE817" s="46" t="n"/>
      <c r="AF817" s="46" t="n"/>
      <c r="AG817" s="46" t="n"/>
      <c r="AH817" s="46" t="n"/>
      <c r="AI817" s="46" t="n"/>
      <c r="AJ817" s="46" t="n"/>
      <c r="AK817" s="46" t="n"/>
      <c r="AL817" s="46" t="n"/>
      <c r="AM817" s="46" t="n"/>
      <c r="AN817" s="46" t="n"/>
      <c r="AO817" s="46" t="n"/>
      <c r="AP817" s="46" t="n"/>
      <c r="AQ817" s="46" t="n"/>
      <c r="AR817" s="46" t="n"/>
      <c r="AS817" s="46" t="n"/>
      <c r="AV817" s="36">
        <f>IF($C817="","",EMPLOYES!M61)</f>
        <v/>
      </c>
      <c r="AW817" s="36">
        <f>IF($C817="",0,SUMPRODUCT(--(O817:AS817="C")))</f>
        <v/>
      </c>
      <c r="AX817" s="36">
        <f>IF($C817="",0,SUMPRODUCT(--(O817:AS817="R")))</f>
        <v/>
      </c>
      <c r="AY817" s="44" t="n"/>
    </row>
    <row r="818" hidden="1" outlineLevel="1" ht="15" customHeight="1" s="15">
      <c r="B818" s="41" t="n">
        <v>4</v>
      </c>
      <c r="C818" s="42">
        <f>IF(EMPLOYES!C62="","",EMPLOYES!C62)</f>
        <v/>
      </c>
      <c r="D818" s="43">
        <f>IF(EMPLOYES!C62="","",EMPLOYES!D62)</f>
        <v/>
      </c>
      <c r="E818" s="44" t="n"/>
      <c r="F818" s="42" t="n"/>
      <c r="G818" s="41">
        <f>IF($C818="",0,MAX(0,$M818-$N818))</f>
        <v/>
      </c>
      <c r="H818" s="45" t="n"/>
      <c r="I818" s="41">
        <f>IF($C818="","",IF(H818="","OK",IF(H818&gt;EMPLOYES!P62,"⚠ Avance &gt; salaire",IF(H818&gt;EMPLOYES!P62*PARAMETRES!$C$218,"⚠ Avance élevée","OK"))))</f>
        <v/>
      </c>
      <c r="J818" s="45" t="n"/>
      <c r="K818" s="46" t="n"/>
      <c r="L818" s="46" t="n"/>
      <c r="M818" s="41">
        <f>IF($C818="","",SUMPRODUCT((PARAMETRES!$B$38:$B$157=PARAMETRES!$C$29)*(PARAMETRES!$C$38:$C$157=4)*(IF(EMPLOYES!M62="5j",PARAMETRES!$I$38:$I$157,PARAMETRES!$H$38:$H$157))))</f>
        <v/>
      </c>
      <c r="N818" s="41">
        <f>IF($C818="","",SUMPRODUCT((O818:AS818="P")+(O818:AS818="F")+(O818:AS818="C")+0.5*(O818:AS818="D"),(1-((O768:AS768=6)*(EMPLOYES!M62="5j")))))</f>
        <v/>
      </c>
      <c r="O818" s="46" t="n"/>
      <c r="P818" s="46" t="n"/>
      <c r="Q818" s="46" t="n"/>
      <c r="R818" s="46" t="n"/>
      <c r="S818" s="46" t="n"/>
      <c r="T818" s="46" t="n"/>
      <c r="U818" s="46" t="n"/>
      <c r="V818" s="46" t="n"/>
      <c r="W818" s="46" t="n"/>
      <c r="X818" s="46" t="n"/>
      <c r="Y818" s="46" t="n"/>
      <c r="Z818" s="46" t="n"/>
      <c r="AA818" s="46" t="n"/>
      <c r="AB818" s="46" t="n"/>
      <c r="AC818" s="46" t="n"/>
      <c r="AD818" s="46" t="n"/>
      <c r="AE818" s="46" t="n"/>
      <c r="AF818" s="46" t="n"/>
      <c r="AG818" s="46" t="n"/>
      <c r="AH818" s="46" t="n"/>
      <c r="AI818" s="46" t="n"/>
      <c r="AJ818" s="46" t="n"/>
      <c r="AK818" s="46" t="n"/>
      <c r="AL818" s="46" t="n"/>
      <c r="AM818" s="46" t="n"/>
      <c r="AN818" s="46" t="n"/>
      <c r="AO818" s="46" t="n"/>
      <c r="AP818" s="46" t="n"/>
      <c r="AQ818" s="46" t="n"/>
      <c r="AR818" s="46" t="n"/>
      <c r="AS818" s="46" t="n"/>
      <c r="AV818" s="36">
        <f>IF($C818="","",EMPLOYES!M62)</f>
        <v/>
      </c>
      <c r="AW818" s="36">
        <f>IF($C818="",0,SUMPRODUCT(--(O818:AS818="C")))</f>
        <v/>
      </c>
      <c r="AX818" s="36">
        <f>IF($C818="",0,SUMPRODUCT(--(O818:AS818="R")))</f>
        <v/>
      </c>
      <c r="AY818" s="44" t="n"/>
    </row>
    <row r="819" hidden="1" outlineLevel="1" ht="15" customHeight="1" s="15">
      <c r="B819" s="41" t="n">
        <v>4</v>
      </c>
      <c r="C819" s="42">
        <f>IF(EMPLOYES!C63="","",EMPLOYES!C63)</f>
        <v/>
      </c>
      <c r="D819" s="43">
        <f>IF(EMPLOYES!C63="","",EMPLOYES!D63)</f>
        <v/>
      </c>
      <c r="E819" s="44" t="n"/>
      <c r="F819" s="42" t="n"/>
      <c r="G819" s="41">
        <f>IF($C819="",0,MAX(0,$M819-$N819))</f>
        <v/>
      </c>
      <c r="H819" s="45" t="n"/>
      <c r="I819" s="41">
        <f>IF($C819="","",IF(H819="","OK",IF(H819&gt;EMPLOYES!P63,"⚠ Avance &gt; salaire",IF(H819&gt;EMPLOYES!P63*PARAMETRES!$C$218,"⚠ Avance élevée","OK"))))</f>
        <v/>
      </c>
      <c r="J819" s="45" t="n"/>
      <c r="K819" s="46" t="n"/>
      <c r="L819" s="46" t="n"/>
      <c r="M819" s="41">
        <f>IF($C819="","",SUMPRODUCT((PARAMETRES!$B$38:$B$157=PARAMETRES!$C$29)*(PARAMETRES!$C$38:$C$157=4)*(IF(EMPLOYES!M63="5j",PARAMETRES!$I$38:$I$157,PARAMETRES!$H$38:$H$157))))</f>
        <v/>
      </c>
      <c r="N819" s="41">
        <f>IF($C819="","",SUMPRODUCT((O819:AS819="P")+(O819:AS819="F")+(O819:AS819="C")+0.5*(O819:AS819="D"),(1-((O768:AS768=6)*(EMPLOYES!M63="5j")))))</f>
        <v/>
      </c>
      <c r="O819" s="46" t="n"/>
      <c r="P819" s="46" t="n"/>
      <c r="Q819" s="46" t="n"/>
      <c r="R819" s="46" t="n"/>
      <c r="S819" s="46" t="n"/>
      <c r="T819" s="46" t="n"/>
      <c r="U819" s="46" t="n"/>
      <c r="V819" s="46" t="n"/>
      <c r="W819" s="46" t="n"/>
      <c r="X819" s="46" t="n"/>
      <c r="Y819" s="46" t="n"/>
      <c r="Z819" s="46" t="n"/>
      <c r="AA819" s="46" t="n"/>
      <c r="AB819" s="46" t="n"/>
      <c r="AC819" s="46" t="n"/>
      <c r="AD819" s="46" t="n"/>
      <c r="AE819" s="46" t="n"/>
      <c r="AF819" s="46" t="n"/>
      <c r="AG819" s="46" t="n"/>
      <c r="AH819" s="46" t="n"/>
      <c r="AI819" s="46" t="n"/>
      <c r="AJ819" s="46" t="n"/>
      <c r="AK819" s="46" t="n"/>
      <c r="AL819" s="46" t="n"/>
      <c r="AM819" s="46" t="n"/>
      <c r="AN819" s="46" t="n"/>
      <c r="AO819" s="46" t="n"/>
      <c r="AP819" s="46" t="n"/>
      <c r="AQ819" s="46" t="n"/>
      <c r="AR819" s="46" t="n"/>
      <c r="AS819" s="46" t="n"/>
      <c r="AV819" s="36">
        <f>IF($C819="","",EMPLOYES!M63)</f>
        <v/>
      </c>
      <c r="AW819" s="36">
        <f>IF($C819="",0,SUMPRODUCT(--(O819:AS819="C")))</f>
        <v/>
      </c>
      <c r="AX819" s="36">
        <f>IF($C819="",0,SUMPRODUCT(--(O819:AS819="R")))</f>
        <v/>
      </c>
      <c r="AY819" s="44" t="n"/>
    </row>
    <row r="820" hidden="1" outlineLevel="1" ht="15" customHeight="1" s="15">
      <c r="B820" s="41" t="n">
        <v>4</v>
      </c>
      <c r="C820" s="42">
        <f>IF(EMPLOYES!C64="","",EMPLOYES!C64)</f>
        <v/>
      </c>
      <c r="D820" s="43">
        <f>IF(EMPLOYES!C64="","",EMPLOYES!D64)</f>
        <v/>
      </c>
      <c r="E820" s="44" t="n"/>
      <c r="F820" s="42" t="n"/>
      <c r="G820" s="41">
        <f>IF($C820="",0,MAX(0,$M820-$N820))</f>
        <v/>
      </c>
      <c r="H820" s="45" t="n"/>
      <c r="I820" s="41">
        <f>IF($C820="","",IF(H820="","OK",IF(H820&gt;EMPLOYES!P64,"⚠ Avance &gt; salaire",IF(H820&gt;EMPLOYES!P64*PARAMETRES!$C$218,"⚠ Avance élevée","OK"))))</f>
        <v/>
      </c>
      <c r="J820" s="45" t="n"/>
      <c r="K820" s="46" t="n"/>
      <c r="L820" s="46" t="n"/>
      <c r="M820" s="41">
        <f>IF($C820="","",SUMPRODUCT((PARAMETRES!$B$38:$B$157=PARAMETRES!$C$29)*(PARAMETRES!$C$38:$C$157=4)*(IF(EMPLOYES!M64="5j",PARAMETRES!$I$38:$I$157,PARAMETRES!$H$38:$H$157))))</f>
        <v/>
      </c>
      <c r="N820" s="41">
        <f>IF($C820="","",SUMPRODUCT((O820:AS820="P")+(O820:AS820="F")+(O820:AS820="C")+0.5*(O820:AS820="D"),(1-((O768:AS768=6)*(EMPLOYES!M64="5j")))))</f>
        <v/>
      </c>
      <c r="O820" s="46" t="n"/>
      <c r="P820" s="46" t="n"/>
      <c r="Q820" s="46" t="n"/>
      <c r="R820" s="46" t="n"/>
      <c r="S820" s="46" t="n"/>
      <c r="T820" s="46" t="n"/>
      <c r="U820" s="46" t="n"/>
      <c r="V820" s="46" t="n"/>
      <c r="W820" s="46" t="n"/>
      <c r="X820" s="46" t="n"/>
      <c r="Y820" s="46" t="n"/>
      <c r="Z820" s="46" t="n"/>
      <c r="AA820" s="46" t="n"/>
      <c r="AB820" s="46" t="n"/>
      <c r="AC820" s="46" t="n"/>
      <c r="AD820" s="46" t="n"/>
      <c r="AE820" s="46" t="n"/>
      <c r="AF820" s="46" t="n"/>
      <c r="AG820" s="46" t="n"/>
      <c r="AH820" s="46" t="n"/>
      <c r="AI820" s="46" t="n"/>
      <c r="AJ820" s="46" t="n"/>
      <c r="AK820" s="46" t="n"/>
      <c r="AL820" s="46" t="n"/>
      <c r="AM820" s="46" t="n"/>
      <c r="AN820" s="46" t="n"/>
      <c r="AO820" s="46" t="n"/>
      <c r="AP820" s="46" t="n"/>
      <c r="AQ820" s="46" t="n"/>
      <c r="AR820" s="46" t="n"/>
      <c r="AS820" s="46" t="n"/>
      <c r="AV820" s="36">
        <f>IF($C820="","",EMPLOYES!M64)</f>
        <v/>
      </c>
      <c r="AW820" s="36">
        <f>IF($C820="",0,SUMPRODUCT(--(O820:AS820="C")))</f>
        <v/>
      </c>
      <c r="AX820" s="36">
        <f>IF($C820="",0,SUMPRODUCT(--(O820:AS820="R")))</f>
        <v/>
      </c>
      <c r="AY820" s="44" t="n"/>
    </row>
    <row r="821" hidden="1" outlineLevel="1" ht="15" customHeight="1" s="15">
      <c r="B821" s="41" t="n">
        <v>4</v>
      </c>
      <c r="C821" s="42">
        <f>IF(EMPLOYES!C65="","",EMPLOYES!C65)</f>
        <v/>
      </c>
      <c r="D821" s="43">
        <f>IF(EMPLOYES!C65="","",EMPLOYES!D65)</f>
        <v/>
      </c>
      <c r="E821" s="44" t="n"/>
      <c r="F821" s="42" t="n"/>
      <c r="G821" s="41">
        <f>IF($C821="",0,MAX(0,$M821-$N821))</f>
        <v/>
      </c>
      <c r="H821" s="45" t="n"/>
      <c r="I821" s="41">
        <f>IF($C821="","",IF(H821="","OK",IF(H821&gt;EMPLOYES!P65,"⚠ Avance &gt; salaire",IF(H821&gt;EMPLOYES!P65*PARAMETRES!$C$218,"⚠ Avance élevée","OK"))))</f>
        <v/>
      </c>
      <c r="J821" s="45" t="n"/>
      <c r="K821" s="46" t="n"/>
      <c r="L821" s="46" t="n"/>
      <c r="M821" s="41">
        <f>IF($C821="","",SUMPRODUCT((PARAMETRES!$B$38:$B$157=PARAMETRES!$C$29)*(PARAMETRES!$C$38:$C$157=4)*(IF(EMPLOYES!M65="5j",PARAMETRES!$I$38:$I$157,PARAMETRES!$H$38:$H$157))))</f>
        <v/>
      </c>
      <c r="N821" s="41">
        <f>IF($C821="","",SUMPRODUCT((O821:AS821="P")+(O821:AS821="F")+(O821:AS821="C")+0.5*(O821:AS821="D"),(1-((O768:AS768=6)*(EMPLOYES!M65="5j")))))</f>
        <v/>
      </c>
      <c r="O821" s="46" t="n"/>
      <c r="P821" s="46" t="n"/>
      <c r="Q821" s="46" t="n"/>
      <c r="R821" s="46" t="n"/>
      <c r="S821" s="46" t="n"/>
      <c r="T821" s="46" t="n"/>
      <c r="U821" s="46" t="n"/>
      <c r="V821" s="46" t="n"/>
      <c r="W821" s="46" t="n"/>
      <c r="X821" s="46" t="n"/>
      <c r="Y821" s="46" t="n"/>
      <c r="Z821" s="46" t="n"/>
      <c r="AA821" s="46" t="n"/>
      <c r="AB821" s="46" t="n"/>
      <c r="AC821" s="46" t="n"/>
      <c r="AD821" s="46" t="n"/>
      <c r="AE821" s="46" t="n"/>
      <c r="AF821" s="46" t="n"/>
      <c r="AG821" s="46" t="n"/>
      <c r="AH821" s="46" t="n"/>
      <c r="AI821" s="46" t="n"/>
      <c r="AJ821" s="46" t="n"/>
      <c r="AK821" s="46" t="n"/>
      <c r="AL821" s="46" t="n"/>
      <c r="AM821" s="46" t="n"/>
      <c r="AN821" s="46" t="n"/>
      <c r="AO821" s="46" t="n"/>
      <c r="AP821" s="46" t="n"/>
      <c r="AQ821" s="46" t="n"/>
      <c r="AR821" s="46" t="n"/>
      <c r="AS821" s="46" t="n"/>
      <c r="AV821" s="36">
        <f>IF($C821="","",EMPLOYES!M65)</f>
        <v/>
      </c>
      <c r="AW821" s="36">
        <f>IF($C821="",0,SUMPRODUCT(--(O821:AS821="C")))</f>
        <v/>
      </c>
      <c r="AX821" s="36">
        <f>IF($C821="",0,SUMPRODUCT(--(O821:AS821="R")))</f>
        <v/>
      </c>
      <c r="AY821" s="44" t="n"/>
    </row>
    <row r="822" hidden="1" outlineLevel="1" ht="15" customHeight="1" s="15">
      <c r="B822" s="41" t="n">
        <v>4</v>
      </c>
      <c r="C822" s="42">
        <f>IF(EMPLOYES!C66="","",EMPLOYES!C66)</f>
        <v/>
      </c>
      <c r="D822" s="43">
        <f>IF(EMPLOYES!C66="","",EMPLOYES!D66)</f>
        <v/>
      </c>
      <c r="E822" s="44" t="n"/>
      <c r="F822" s="42" t="n"/>
      <c r="G822" s="41">
        <f>IF($C822="",0,MAX(0,$M822-$N822))</f>
        <v/>
      </c>
      <c r="H822" s="45" t="n"/>
      <c r="I822" s="41">
        <f>IF($C822="","",IF(H822="","OK",IF(H822&gt;EMPLOYES!P66,"⚠ Avance &gt; salaire",IF(H822&gt;EMPLOYES!P66*PARAMETRES!$C$218,"⚠ Avance élevée","OK"))))</f>
        <v/>
      </c>
      <c r="J822" s="45" t="n"/>
      <c r="K822" s="46" t="n"/>
      <c r="L822" s="46" t="n"/>
      <c r="M822" s="41">
        <f>IF($C822="","",SUMPRODUCT((PARAMETRES!$B$38:$B$157=PARAMETRES!$C$29)*(PARAMETRES!$C$38:$C$157=4)*(IF(EMPLOYES!M66="5j",PARAMETRES!$I$38:$I$157,PARAMETRES!$H$38:$H$157))))</f>
        <v/>
      </c>
      <c r="N822" s="41">
        <f>IF($C822="","",SUMPRODUCT((O822:AS822="P")+(O822:AS822="F")+(O822:AS822="C")+0.5*(O822:AS822="D"),(1-((O768:AS768=6)*(EMPLOYES!M66="5j")))))</f>
        <v/>
      </c>
      <c r="O822" s="46" t="n"/>
      <c r="P822" s="46" t="n"/>
      <c r="Q822" s="46" t="n"/>
      <c r="R822" s="46" t="n"/>
      <c r="S822" s="46" t="n"/>
      <c r="T822" s="46" t="n"/>
      <c r="U822" s="46" t="n"/>
      <c r="V822" s="46" t="n"/>
      <c r="W822" s="46" t="n"/>
      <c r="X822" s="46" t="n"/>
      <c r="Y822" s="46" t="n"/>
      <c r="Z822" s="46" t="n"/>
      <c r="AA822" s="46" t="n"/>
      <c r="AB822" s="46" t="n"/>
      <c r="AC822" s="46" t="n"/>
      <c r="AD822" s="46" t="n"/>
      <c r="AE822" s="46" t="n"/>
      <c r="AF822" s="46" t="n"/>
      <c r="AG822" s="46" t="n"/>
      <c r="AH822" s="46" t="n"/>
      <c r="AI822" s="46" t="n"/>
      <c r="AJ822" s="46" t="n"/>
      <c r="AK822" s="46" t="n"/>
      <c r="AL822" s="46" t="n"/>
      <c r="AM822" s="46" t="n"/>
      <c r="AN822" s="46" t="n"/>
      <c r="AO822" s="46" t="n"/>
      <c r="AP822" s="46" t="n"/>
      <c r="AQ822" s="46" t="n"/>
      <c r="AR822" s="46" t="n"/>
      <c r="AS822" s="46" t="n"/>
      <c r="AV822" s="36">
        <f>IF($C822="","",EMPLOYES!M66)</f>
        <v/>
      </c>
      <c r="AW822" s="36">
        <f>IF($C822="",0,SUMPRODUCT(--(O822:AS822="C")))</f>
        <v/>
      </c>
      <c r="AX822" s="36">
        <f>IF($C822="",0,SUMPRODUCT(--(O822:AS822="R")))</f>
        <v/>
      </c>
      <c r="AY822" s="44" t="n"/>
    </row>
    <row r="823" hidden="1" outlineLevel="1" ht="15" customHeight="1" s="15">
      <c r="B823" s="41" t="n">
        <v>4</v>
      </c>
      <c r="C823" s="42">
        <f>IF(EMPLOYES!C67="","",EMPLOYES!C67)</f>
        <v/>
      </c>
      <c r="D823" s="43">
        <f>IF(EMPLOYES!C67="","",EMPLOYES!D67)</f>
        <v/>
      </c>
      <c r="E823" s="44" t="n"/>
      <c r="F823" s="42" t="n"/>
      <c r="G823" s="41">
        <f>IF($C823="",0,MAX(0,$M823-$N823))</f>
        <v/>
      </c>
      <c r="H823" s="45" t="n"/>
      <c r="I823" s="41">
        <f>IF($C823="","",IF(H823="","OK",IF(H823&gt;EMPLOYES!P67,"⚠ Avance &gt; salaire",IF(H823&gt;EMPLOYES!P67*PARAMETRES!$C$218,"⚠ Avance élevée","OK"))))</f>
        <v/>
      </c>
      <c r="J823" s="45" t="n"/>
      <c r="K823" s="46" t="n"/>
      <c r="L823" s="46" t="n"/>
      <c r="M823" s="41">
        <f>IF($C823="","",SUMPRODUCT((PARAMETRES!$B$38:$B$157=PARAMETRES!$C$29)*(PARAMETRES!$C$38:$C$157=4)*(IF(EMPLOYES!M67="5j",PARAMETRES!$I$38:$I$157,PARAMETRES!$H$38:$H$157))))</f>
        <v/>
      </c>
      <c r="N823" s="41">
        <f>IF($C823="","",SUMPRODUCT((O823:AS823="P")+(O823:AS823="F")+(O823:AS823="C")+0.5*(O823:AS823="D"),(1-((O768:AS768=6)*(EMPLOYES!M67="5j")))))</f>
        <v/>
      </c>
      <c r="O823" s="46" t="n"/>
      <c r="P823" s="46" t="n"/>
      <c r="Q823" s="46" t="n"/>
      <c r="R823" s="46" t="n"/>
      <c r="S823" s="46" t="n"/>
      <c r="T823" s="46" t="n"/>
      <c r="U823" s="46" t="n"/>
      <c r="V823" s="46" t="n"/>
      <c r="W823" s="46" t="n"/>
      <c r="X823" s="46" t="n"/>
      <c r="Y823" s="46" t="n"/>
      <c r="Z823" s="46" t="n"/>
      <c r="AA823" s="46" t="n"/>
      <c r="AB823" s="46" t="n"/>
      <c r="AC823" s="46" t="n"/>
      <c r="AD823" s="46" t="n"/>
      <c r="AE823" s="46" t="n"/>
      <c r="AF823" s="46" t="n"/>
      <c r="AG823" s="46" t="n"/>
      <c r="AH823" s="46" t="n"/>
      <c r="AI823" s="46" t="n"/>
      <c r="AJ823" s="46" t="n"/>
      <c r="AK823" s="46" t="n"/>
      <c r="AL823" s="46" t="n"/>
      <c r="AM823" s="46" t="n"/>
      <c r="AN823" s="46" t="n"/>
      <c r="AO823" s="46" t="n"/>
      <c r="AP823" s="46" t="n"/>
      <c r="AQ823" s="46" t="n"/>
      <c r="AR823" s="46" t="n"/>
      <c r="AS823" s="46" t="n"/>
      <c r="AV823" s="36">
        <f>IF($C823="","",EMPLOYES!M67)</f>
        <v/>
      </c>
      <c r="AW823" s="36">
        <f>IF($C823="",0,SUMPRODUCT(--(O823:AS823="C")))</f>
        <v/>
      </c>
      <c r="AX823" s="36">
        <f>IF($C823="",0,SUMPRODUCT(--(O823:AS823="R")))</f>
        <v/>
      </c>
      <c r="AY823" s="44" t="n"/>
    </row>
    <row r="824" hidden="1" outlineLevel="1" ht="15" customHeight="1" s="15">
      <c r="B824" s="41" t="n">
        <v>4</v>
      </c>
      <c r="C824" s="42">
        <f>IF(EMPLOYES!C68="","",EMPLOYES!C68)</f>
        <v/>
      </c>
      <c r="D824" s="43">
        <f>IF(EMPLOYES!C68="","",EMPLOYES!D68)</f>
        <v/>
      </c>
      <c r="E824" s="44" t="n"/>
      <c r="F824" s="42" t="n"/>
      <c r="G824" s="41">
        <f>IF($C824="",0,MAX(0,$M824-$N824))</f>
        <v/>
      </c>
      <c r="H824" s="45" t="n"/>
      <c r="I824" s="41">
        <f>IF($C824="","",IF(H824="","OK",IF(H824&gt;EMPLOYES!P68,"⚠ Avance &gt; salaire",IF(H824&gt;EMPLOYES!P68*PARAMETRES!$C$218,"⚠ Avance élevée","OK"))))</f>
        <v/>
      </c>
      <c r="J824" s="45" t="n"/>
      <c r="K824" s="46" t="n"/>
      <c r="L824" s="46" t="n"/>
      <c r="M824" s="41">
        <f>IF($C824="","",SUMPRODUCT((PARAMETRES!$B$38:$B$157=PARAMETRES!$C$29)*(PARAMETRES!$C$38:$C$157=4)*(IF(EMPLOYES!M68="5j",PARAMETRES!$I$38:$I$157,PARAMETRES!$H$38:$H$157))))</f>
        <v/>
      </c>
      <c r="N824" s="41">
        <f>IF($C824="","",SUMPRODUCT((O824:AS824="P")+(O824:AS824="F")+(O824:AS824="C")+0.5*(O824:AS824="D"),(1-((O768:AS768=6)*(EMPLOYES!M68="5j")))))</f>
        <v/>
      </c>
      <c r="O824" s="46" t="n"/>
      <c r="P824" s="46" t="n"/>
      <c r="Q824" s="46" t="n"/>
      <c r="R824" s="46" t="n"/>
      <c r="S824" s="46" t="n"/>
      <c r="T824" s="46" t="n"/>
      <c r="U824" s="46" t="n"/>
      <c r="V824" s="46" t="n"/>
      <c r="W824" s="46" t="n"/>
      <c r="X824" s="46" t="n"/>
      <c r="Y824" s="46" t="n"/>
      <c r="Z824" s="46" t="n"/>
      <c r="AA824" s="46" t="n"/>
      <c r="AB824" s="46" t="n"/>
      <c r="AC824" s="46" t="n"/>
      <c r="AD824" s="46" t="n"/>
      <c r="AE824" s="46" t="n"/>
      <c r="AF824" s="46" t="n"/>
      <c r="AG824" s="46" t="n"/>
      <c r="AH824" s="46" t="n"/>
      <c r="AI824" s="46" t="n"/>
      <c r="AJ824" s="46" t="n"/>
      <c r="AK824" s="46" t="n"/>
      <c r="AL824" s="46" t="n"/>
      <c r="AM824" s="46" t="n"/>
      <c r="AN824" s="46" t="n"/>
      <c r="AO824" s="46" t="n"/>
      <c r="AP824" s="46" t="n"/>
      <c r="AQ824" s="46" t="n"/>
      <c r="AR824" s="46" t="n"/>
      <c r="AS824" s="46" t="n"/>
      <c r="AV824" s="36">
        <f>IF($C824="","",EMPLOYES!M68)</f>
        <v/>
      </c>
      <c r="AW824" s="36">
        <f>IF($C824="",0,SUMPRODUCT(--(O824:AS824="C")))</f>
        <v/>
      </c>
      <c r="AX824" s="36">
        <f>IF($C824="",0,SUMPRODUCT(--(O824:AS824="R")))</f>
        <v/>
      </c>
      <c r="AY824" s="44" t="n"/>
    </row>
    <row r="825" hidden="1" outlineLevel="1" ht="15" customHeight="1" s="15">
      <c r="B825" s="41" t="n">
        <v>4</v>
      </c>
      <c r="C825" s="42">
        <f>IF(EMPLOYES!C69="","",EMPLOYES!C69)</f>
        <v/>
      </c>
      <c r="D825" s="43">
        <f>IF(EMPLOYES!C69="","",EMPLOYES!D69)</f>
        <v/>
      </c>
      <c r="E825" s="44" t="n"/>
      <c r="F825" s="42" t="n"/>
      <c r="G825" s="41">
        <f>IF($C825="",0,MAX(0,$M825-$N825))</f>
        <v/>
      </c>
      <c r="H825" s="45" t="n"/>
      <c r="I825" s="41">
        <f>IF($C825="","",IF(H825="","OK",IF(H825&gt;EMPLOYES!P69,"⚠ Avance &gt; salaire",IF(H825&gt;EMPLOYES!P69*PARAMETRES!$C$218,"⚠ Avance élevée","OK"))))</f>
        <v/>
      </c>
      <c r="J825" s="45" t="n"/>
      <c r="K825" s="46" t="n"/>
      <c r="L825" s="46" t="n"/>
      <c r="M825" s="41">
        <f>IF($C825="","",SUMPRODUCT((PARAMETRES!$B$38:$B$157=PARAMETRES!$C$29)*(PARAMETRES!$C$38:$C$157=4)*(IF(EMPLOYES!M69="5j",PARAMETRES!$I$38:$I$157,PARAMETRES!$H$38:$H$157))))</f>
        <v/>
      </c>
      <c r="N825" s="41">
        <f>IF($C825="","",SUMPRODUCT((O825:AS825="P")+(O825:AS825="F")+(O825:AS825="C")+0.5*(O825:AS825="D"),(1-((O768:AS768=6)*(EMPLOYES!M69="5j")))))</f>
        <v/>
      </c>
      <c r="O825" s="46" t="n"/>
      <c r="P825" s="46" t="n"/>
      <c r="Q825" s="46" t="n"/>
      <c r="R825" s="46" t="n"/>
      <c r="S825" s="46" t="n"/>
      <c r="T825" s="46" t="n"/>
      <c r="U825" s="46" t="n"/>
      <c r="V825" s="46" t="n"/>
      <c r="W825" s="46" t="n"/>
      <c r="X825" s="46" t="n"/>
      <c r="Y825" s="46" t="n"/>
      <c r="Z825" s="46" t="n"/>
      <c r="AA825" s="46" t="n"/>
      <c r="AB825" s="46" t="n"/>
      <c r="AC825" s="46" t="n"/>
      <c r="AD825" s="46" t="n"/>
      <c r="AE825" s="46" t="n"/>
      <c r="AF825" s="46" t="n"/>
      <c r="AG825" s="46" t="n"/>
      <c r="AH825" s="46" t="n"/>
      <c r="AI825" s="46" t="n"/>
      <c r="AJ825" s="46" t="n"/>
      <c r="AK825" s="46" t="n"/>
      <c r="AL825" s="46" t="n"/>
      <c r="AM825" s="46" t="n"/>
      <c r="AN825" s="46" t="n"/>
      <c r="AO825" s="46" t="n"/>
      <c r="AP825" s="46" t="n"/>
      <c r="AQ825" s="46" t="n"/>
      <c r="AR825" s="46" t="n"/>
      <c r="AS825" s="46" t="n"/>
      <c r="AV825" s="36">
        <f>IF($C825="","",EMPLOYES!M69)</f>
        <v/>
      </c>
      <c r="AW825" s="36">
        <f>IF($C825="",0,SUMPRODUCT(--(O825:AS825="C")))</f>
        <v/>
      </c>
      <c r="AX825" s="36">
        <f>IF($C825="",0,SUMPRODUCT(--(O825:AS825="R")))</f>
        <v/>
      </c>
      <c r="AY825" s="44" t="n"/>
    </row>
    <row r="826" hidden="1" outlineLevel="1" ht="15" customHeight="1" s="15">
      <c r="B826" s="41" t="n">
        <v>4</v>
      </c>
      <c r="C826" s="42">
        <f>IF(EMPLOYES!C70="","",EMPLOYES!C70)</f>
        <v/>
      </c>
      <c r="D826" s="43">
        <f>IF(EMPLOYES!C70="","",EMPLOYES!D70)</f>
        <v/>
      </c>
      <c r="E826" s="44" t="n"/>
      <c r="F826" s="42" t="n"/>
      <c r="G826" s="41">
        <f>IF($C826="",0,MAX(0,$M826-$N826))</f>
        <v/>
      </c>
      <c r="H826" s="45" t="n"/>
      <c r="I826" s="41">
        <f>IF($C826="","",IF(H826="","OK",IF(H826&gt;EMPLOYES!P70,"⚠ Avance &gt; salaire",IF(H826&gt;EMPLOYES!P70*PARAMETRES!$C$218,"⚠ Avance élevée","OK"))))</f>
        <v/>
      </c>
      <c r="J826" s="45" t="n"/>
      <c r="K826" s="46" t="n"/>
      <c r="L826" s="46" t="n"/>
      <c r="M826" s="41">
        <f>IF($C826="","",SUMPRODUCT((PARAMETRES!$B$38:$B$157=PARAMETRES!$C$29)*(PARAMETRES!$C$38:$C$157=4)*(IF(EMPLOYES!M70="5j",PARAMETRES!$I$38:$I$157,PARAMETRES!$H$38:$H$157))))</f>
        <v/>
      </c>
      <c r="N826" s="41">
        <f>IF($C826="","",SUMPRODUCT((O826:AS826="P")+(O826:AS826="F")+(O826:AS826="C")+0.5*(O826:AS826="D"),(1-((O768:AS768=6)*(EMPLOYES!M70="5j")))))</f>
        <v/>
      </c>
      <c r="O826" s="46" t="n"/>
      <c r="P826" s="46" t="n"/>
      <c r="Q826" s="46" t="n"/>
      <c r="R826" s="46" t="n"/>
      <c r="S826" s="46" t="n"/>
      <c r="T826" s="46" t="n"/>
      <c r="U826" s="46" t="n"/>
      <c r="V826" s="46" t="n"/>
      <c r="W826" s="46" t="n"/>
      <c r="X826" s="46" t="n"/>
      <c r="Y826" s="46" t="n"/>
      <c r="Z826" s="46" t="n"/>
      <c r="AA826" s="46" t="n"/>
      <c r="AB826" s="46" t="n"/>
      <c r="AC826" s="46" t="n"/>
      <c r="AD826" s="46" t="n"/>
      <c r="AE826" s="46" t="n"/>
      <c r="AF826" s="46" t="n"/>
      <c r="AG826" s="46" t="n"/>
      <c r="AH826" s="46" t="n"/>
      <c r="AI826" s="46" t="n"/>
      <c r="AJ826" s="46" t="n"/>
      <c r="AK826" s="46" t="n"/>
      <c r="AL826" s="46" t="n"/>
      <c r="AM826" s="46" t="n"/>
      <c r="AN826" s="46" t="n"/>
      <c r="AO826" s="46" t="n"/>
      <c r="AP826" s="46" t="n"/>
      <c r="AQ826" s="46" t="n"/>
      <c r="AR826" s="46" t="n"/>
      <c r="AS826" s="46" t="n"/>
      <c r="AV826" s="36">
        <f>IF($C826="","",EMPLOYES!M70)</f>
        <v/>
      </c>
      <c r="AW826" s="36">
        <f>IF($C826="",0,SUMPRODUCT(--(O826:AS826="C")))</f>
        <v/>
      </c>
      <c r="AX826" s="36">
        <f>IF($C826="",0,SUMPRODUCT(--(O826:AS826="R")))</f>
        <v/>
      </c>
      <c r="AY826" s="44" t="n"/>
    </row>
    <row r="827" hidden="1" outlineLevel="1" ht="15" customHeight="1" s="15">
      <c r="B827" s="41" t="n">
        <v>4</v>
      </c>
      <c r="C827" s="42">
        <f>IF(EMPLOYES!C71="","",EMPLOYES!C71)</f>
        <v/>
      </c>
      <c r="D827" s="43">
        <f>IF(EMPLOYES!C71="","",EMPLOYES!D71)</f>
        <v/>
      </c>
      <c r="E827" s="44" t="n"/>
      <c r="F827" s="42" t="n"/>
      <c r="G827" s="41">
        <f>IF($C827="",0,MAX(0,$M827-$N827))</f>
        <v/>
      </c>
      <c r="H827" s="45" t="n"/>
      <c r="I827" s="41">
        <f>IF($C827="","",IF(H827="","OK",IF(H827&gt;EMPLOYES!P71,"⚠ Avance &gt; salaire",IF(H827&gt;EMPLOYES!P71*PARAMETRES!$C$218,"⚠ Avance élevée","OK"))))</f>
        <v/>
      </c>
      <c r="J827" s="45" t="n"/>
      <c r="K827" s="46" t="n"/>
      <c r="L827" s="46" t="n"/>
      <c r="M827" s="41">
        <f>IF($C827="","",SUMPRODUCT((PARAMETRES!$B$38:$B$157=PARAMETRES!$C$29)*(PARAMETRES!$C$38:$C$157=4)*(IF(EMPLOYES!M71="5j",PARAMETRES!$I$38:$I$157,PARAMETRES!$H$38:$H$157))))</f>
        <v/>
      </c>
      <c r="N827" s="41">
        <f>IF($C827="","",SUMPRODUCT((O827:AS827="P")+(O827:AS827="F")+(O827:AS827="C")+0.5*(O827:AS827="D"),(1-((O768:AS768=6)*(EMPLOYES!M71="5j")))))</f>
        <v/>
      </c>
      <c r="O827" s="46" t="n"/>
      <c r="P827" s="46" t="n"/>
      <c r="Q827" s="46" t="n"/>
      <c r="R827" s="46" t="n"/>
      <c r="S827" s="46" t="n"/>
      <c r="T827" s="46" t="n"/>
      <c r="U827" s="46" t="n"/>
      <c r="V827" s="46" t="n"/>
      <c r="W827" s="46" t="n"/>
      <c r="X827" s="46" t="n"/>
      <c r="Y827" s="46" t="n"/>
      <c r="Z827" s="46" t="n"/>
      <c r="AA827" s="46" t="n"/>
      <c r="AB827" s="46" t="n"/>
      <c r="AC827" s="46" t="n"/>
      <c r="AD827" s="46" t="n"/>
      <c r="AE827" s="46" t="n"/>
      <c r="AF827" s="46" t="n"/>
      <c r="AG827" s="46" t="n"/>
      <c r="AH827" s="46" t="n"/>
      <c r="AI827" s="46" t="n"/>
      <c r="AJ827" s="46" t="n"/>
      <c r="AK827" s="46" t="n"/>
      <c r="AL827" s="46" t="n"/>
      <c r="AM827" s="46" t="n"/>
      <c r="AN827" s="46" t="n"/>
      <c r="AO827" s="46" t="n"/>
      <c r="AP827" s="46" t="n"/>
      <c r="AQ827" s="46" t="n"/>
      <c r="AR827" s="46" t="n"/>
      <c r="AS827" s="46" t="n"/>
      <c r="AV827" s="36">
        <f>IF($C827="","",EMPLOYES!M71)</f>
        <v/>
      </c>
      <c r="AW827" s="36">
        <f>IF($C827="",0,SUMPRODUCT(--(O827:AS827="C")))</f>
        <v/>
      </c>
      <c r="AX827" s="36">
        <f>IF($C827="",0,SUMPRODUCT(--(O827:AS827="R")))</f>
        <v/>
      </c>
      <c r="AY827" s="44" t="n"/>
    </row>
    <row r="828" hidden="1" outlineLevel="1" ht="15" customHeight="1" s="15">
      <c r="B828" s="41" t="n">
        <v>4</v>
      </c>
      <c r="C828" s="42">
        <f>IF(EMPLOYES!C72="","",EMPLOYES!C72)</f>
        <v/>
      </c>
      <c r="D828" s="43">
        <f>IF(EMPLOYES!C72="","",EMPLOYES!D72)</f>
        <v/>
      </c>
      <c r="E828" s="44" t="n"/>
      <c r="F828" s="42" t="n"/>
      <c r="G828" s="41">
        <f>IF($C828="",0,MAX(0,$M828-$N828))</f>
        <v/>
      </c>
      <c r="H828" s="45" t="n"/>
      <c r="I828" s="41">
        <f>IF($C828="","",IF(H828="","OK",IF(H828&gt;EMPLOYES!P72,"⚠ Avance &gt; salaire",IF(H828&gt;EMPLOYES!P72*PARAMETRES!$C$218,"⚠ Avance élevée","OK"))))</f>
        <v/>
      </c>
      <c r="J828" s="45" t="n"/>
      <c r="K828" s="46" t="n"/>
      <c r="L828" s="46" t="n"/>
      <c r="M828" s="41">
        <f>IF($C828="","",SUMPRODUCT((PARAMETRES!$B$38:$B$157=PARAMETRES!$C$29)*(PARAMETRES!$C$38:$C$157=4)*(IF(EMPLOYES!M72="5j",PARAMETRES!$I$38:$I$157,PARAMETRES!$H$38:$H$157))))</f>
        <v/>
      </c>
      <c r="N828" s="41">
        <f>IF($C828="","",SUMPRODUCT((O828:AS828="P")+(O828:AS828="F")+(O828:AS828="C")+0.5*(O828:AS828="D"),(1-((O768:AS768=6)*(EMPLOYES!M72="5j")))))</f>
        <v/>
      </c>
      <c r="O828" s="46" t="n"/>
      <c r="P828" s="46" t="n"/>
      <c r="Q828" s="46" t="n"/>
      <c r="R828" s="46" t="n"/>
      <c r="S828" s="46" t="n"/>
      <c r="T828" s="46" t="n"/>
      <c r="U828" s="46" t="n"/>
      <c r="V828" s="46" t="n"/>
      <c r="W828" s="46" t="n"/>
      <c r="X828" s="46" t="n"/>
      <c r="Y828" s="46" t="n"/>
      <c r="Z828" s="46" t="n"/>
      <c r="AA828" s="46" t="n"/>
      <c r="AB828" s="46" t="n"/>
      <c r="AC828" s="46" t="n"/>
      <c r="AD828" s="46" t="n"/>
      <c r="AE828" s="46" t="n"/>
      <c r="AF828" s="46" t="n"/>
      <c r="AG828" s="46" t="n"/>
      <c r="AH828" s="46" t="n"/>
      <c r="AI828" s="46" t="n"/>
      <c r="AJ828" s="46" t="n"/>
      <c r="AK828" s="46" t="n"/>
      <c r="AL828" s="46" t="n"/>
      <c r="AM828" s="46" t="n"/>
      <c r="AN828" s="46" t="n"/>
      <c r="AO828" s="46" t="n"/>
      <c r="AP828" s="46" t="n"/>
      <c r="AQ828" s="46" t="n"/>
      <c r="AR828" s="46" t="n"/>
      <c r="AS828" s="46" t="n"/>
      <c r="AV828" s="36">
        <f>IF($C828="","",EMPLOYES!M72)</f>
        <v/>
      </c>
      <c r="AW828" s="36">
        <f>IF($C828="",0,SUMPRODUCT(--(O828:AS828="C")))</f>
        <v/>
      </c>
      <c r="AX828" s="36">
        <f>IF($C828="",0,SUMPRODUCT(--(O828:AS828="R")))</f>
        <v/>
      </c>
      <c r="AY828" s="44" t="n"/>
    </row>
    <row r="829" hidden="1" outlineLevel="1" ht="15" customHeight="1" s="15">
      <c r="B829" s="41" t="n">
        <v>4</v>
      </c>
      <c r="C829" s="42">
        <f>IF(EMPLOYES!C73="","",EMPLOYES!C73)</f>
        <v/>
      </c>
      <c r="D829" s="43">
        <f>IF(EMPLOYES!C73="","",EMPLOYES!D73)</f>
        <v/>
      </c>
      <c r="E829" s="44" t="n"/>
      <c r="F829" s="42" t="n"/>
      <c r="G829" s="41">
        <f>IF($C829="",0,MAX(0,$M829-$N829))</f>
        <v/>
      </c>
      <c r="H829" s="45" t="n"/>
      <c r="I829" s="41">
        <f>IF($C829="","",IF(H829="","OK",IF(H829&gt;EMPLOYES!P73,"⚠ Avance &gt; salaire",IF(H829&gt;EMPLOYES!P73*PARAMETRES!$C$218,"⚠ Avance élevée","OK"))))</f>
        <v/>
      </c>
      <c r="J829" s="45" t="n"/>
      <c r="K829" s="46" t="n"/>
      <c r="L829" s="46" t="n"/>
      <c r="M829" s="41">
        <f>IF($C829="","",SUMPRODUCT((PARAMETRES!$B$38:$B$157=PARAMETRES!$C$29)*(PARAMETRES!$C$38:$C$157=4)*(IF(EMPLOYES!M73="5j",PARAMETRES!$I$38:$I$157,PARAMETRES!$H$38:$H$157))))</f>
        <v/>
      </c>
      <c r="N829" s="41">
        <f>IF($C829="","",SUMPRODUCT((O829:AS829="P")+(O829:AS829="F")+(O829:AS829="C")+0.5*(O829:AS829="D"),(1-((O768:AS768=6)*(EMPLOYES!M73="5j")))))</f>
        <v/>
      </c>
      <c r="O829" s="46" t="n"/>
      <c r="P829" s="46" t="n"/>
      <c r="Q829" s="46" t="n"/>
      <c r="R829" s="46" t="n"/>
      <c r="S829" s="46" t="n"/>
      <c r="T829" s="46" t="n"/>
      <c r="U829" s="46" t="n"/>
      <c r="V829" s="46" t="n"/>
      <c r="W829" s="46" t="n"/>
      <c r="X829" s="46" t="n"/>
      <c r="Y829" s="46" t="n"/>
      <c r="Z829" s="46" t="n"/>
      <c r="AA829" s="46" t="n"/>
      <c r="AB829" s="46" t="n"/>
      <c r="AC829" s="46" t="n"/>
      <c r="AD829" s="46" t="n"/>
      <c r="AE829" s="46" t="n"/>
      <c r="AF829" s="46" t="n"/>
      <c r="AG829" s="46" t="n"/>
      <c r="AH829" s="46" t="n"/>
      <c r="AI829" s="46" t="n"/>
      <c r="AJ829" s="46" t="n"/>
      <c r="AK829" s="46" t="n"/>
      <c r="AL829" s="46" t="n"/>
      <c r="AM829" s="46" t="n"/>
      <c r="AN829" s="46" t="n"/>
      <c r="AO829" s="46" t="n"/>
      <c r="AP829" s="46" t="n"/>
      <c r="AQ829" s="46" t="n"/>
      <c r="AR829" s="46" t="n"/>
      <c r="AS829" s="46" t="n"/>
      <c r="AV829" s="36">
        <f>IF($C829="","",EMPLOYES!M73)</f>
        <v/>
      </c>
      <c r="AW829" s="36">
        <f>IF($C829="",0,SUMPRODUCT(--(O829:AS829="C")))</f>
        <v/>
      </c>
      <c r="AX829" s="36">
        <f>IF($C829="",0,SUMPRODUCT(--(O829:AS829="R")))</f>
        <v/>
      </c>
      <c r="AY829" s="44" t="n"/>
    </row>
    <row r="830" hidden="1" outlineLevel="1" ht="15" customHeight="1" s="15">
      <c r="B830" s="41" t="n">
        <v>4</v>
      </c>
      <c r="C830" s="42">
        <f>IF(EMPLOYES!C74="","",EMPLOYES!C74)</f>
        <v/>
      </c>
      <c r="D830" s="43">
        <f>IF(EMPLOYES!C74="","",EMPLOYES!D74)</f>
        <v/>
      </c>
      <c r="E830" s="44" t="n"/>
      <c r="F830" s="42" t="n"/>
      <c r="G830" s="41">
        <f>IF($C830="",0,MAX(0,$M830-$N830))</f>
        <v/>
      </c>
      <c r="H830" s="45" t="n"/>
      <c r="I830" s="41">
        <f>IF($C830="","",IF(H830="","OK",IF(H830&gt;EMPLOYES!P74,"⚠ Avance &gt; salaire",IF(H830&gt;EMPLOYES!P74*PARAMETRES!$C$218,"⚠ Avance élevée","OK"))))</f>
        <v/>
      </c>
      <c r="J830" s="45" t="n"/>
      <c r="K830" s="46" t="n"/>
      <c r="L830" s="46" t="n"/>
      <c r="M830" s="41">
        <f>IF($C830="","",SUMPRODUCT((PARAMETRES!$B$38:$B$157=PARAMETRES!$C$29)*(PARAMETRES!$C$38:$C$157=4)*(IF(EMPLOYES!M74="5j",PARAMETRES!$I$38:$I$157,PARAMETRES!$H$38:$H$157))))</f>
        <v/>
      </c>
      <c r="N830" s="41">
        <f>IF($C830="","",SUMPRODUCT((O830:AS830="P")+(O830:AS830="F")+(O830:AS830="C")+0.5*(O830:AS830="D"),(1-((O768:AS768=6)*(EMPLOYES!M74="5j")))))</f>
        <v/>
      </c>
      <c r="O830" s="46" t="n"/>
      <c r="P830" s="46" t="n"/>
      <c r="Q830" s="46" t="n"/>
      <c r="R830" s="46" t="n"/>
      <c r="S830" s="46" t="n"/>
      <c r="T830" s="46" t="n"/>
      <c r="U830" s="46" t="n"/>
      <c r="V830" s="46" t="n"/>
      <c r="W830" s="46" t="n"/>
      <c r="X830" s="46" t="n"/>
      <c r="Y830" s="46" t="n"/>
      <c r="Z830" s="46" t="n"/>
      <c r="AA830" s="46" t="n"/>
      <c r="AB830" s="46" t="n"/>
      <c r="AC830" s="46" t="n"/>
      <c r="AD830" s="46" t="n"/>
      <c r="AE830" s="46" t="n"/>
      <c r="AF830" s="46" t="n"/>
      <c r="AG830" s="46" t="n"/>
      <c r="AH830" s="46" t="n"/>
      <c r="AI830" s="46" t="n"/>
      <c r="AJ830" s="46" t="n"/>
      <c r="AK830" s="46" t="n"/>
      <c r="AL830" s="46" t="n"/>
      <c r="AM830" s="46" t="n"/>
      <c r="AN830" s="46" t="n"/>
      <c r="AO830" s="46" t="n"/>
      <c r="AP830" s="46" t="n"/>
      <c r="AQ830" s="46" t="n"/>
      <c r="AR830" s="46" t="n"/>
      <c r="AS830" s="46" t="n"/>
      <c r="AV830" s="36">
        <f>IF($C830="","",EMPLOYES!M74)</f>
        <v/>
      </c>
      <c r="AW830" s="36">
        <f>IF($C830="",0,SUMPRODUCT(--(O830:AS830="C")))</f>
        <v/>
      </c>
      <c r="AX830" s="36">
        <f>IF($C830="",0,SUMPRODUCT(--(O830:AS830="R")))</f>
        <v/>
      </c>
      <c r="AY830" s="44" t="n"/>
    </row>
    <row r="831" hidden="1" ht="15" customHeight="1" s="15">
      <c r="B831" s="36" t="inlineStr">
        <is>
          <t>Jour sem. (réf. grisage)</t>
        </is>
      </c>
      <c r="O831" s="37">
        <f>IF(1&gt;DAY(EOMONTH(DATE(PARAMETRES!$C$29,4,1),0)),"",WEEKDAY(DATE(PARAMETRES!$C$29,4,1),2))</f>
        <v/>
      </c>
      <c r="P831" s="37">
        <f>IF(2&gt;DAY(EOMONTH(DATE(PARAMETRES!$C$29,4,1),0)),"",WEEKDAY(DATE(PARAMETRES!$C$29,4,2),2))</f>
        <v/>
      </c>
      <c r="Q831" s="37">
        <f>IF(3&gt;DAY(EOMONTH(DATE(PARAMETRES!$C$29,4,1),0)),"",WEEKDAY(DATE(PARAMETRES!$C$29,4,3),2))</f>
        <v/>
      </c>
      <c r="R831" s="37">
        <f>IF(4&gt;DAY(EOMONTH(DATE(PARAMETRES!$C$29,4,1),0)),"",WEEKDAY(DATE(PARAMETRES!$C$29,4,4),2))</f>
        <v/>
      </c>
      <c r="S831" s="37">
        <f>IF(5&gt;DAY(EOMONTH(DATE(PARAMETRES!$C$29,4,1),0)),"",WEEKDAY(DATE(PARAMETRES!$C$29,4,5),2))</f>
        <v/>
      </c>
      <c r="T831" s="37">
        <f>IF(6&gt;DAY(EOMONTH(DATE(PARAMETRES!$C$29,4,1),0)),"",WEEKDAY(DATE(PARAMETRES!$C$29,4,6),2))</f>
        <v/>
      </c>
      <c r="U831" s="37">
        <f>IF(7&gt;DAY(EOMONTH(DATE(PARAMETRES!$C$29,4,1),0)),"",WEEKDAY(DATE(PARAMETRES!$C$29,4,7),2))</f>
        <v/>
      </c>
      <c r="V831" s="37">
        <f>IF(8&gt;DAY(EOMONTH(DATE(PARAMETRES!$C$29,4,1),0)),"",WEEKDAY(DATE(PARAMETRES!$C$29,4,8),2))</f>
        <v/>
      </c>
      <c r="W831" s="37">
        <f>IF(9&gt;DAY(EOMONTH(DATE(PARAMETRES!$C$29,4,1),0)),"",WEEKDAY(DATE(PARAMETRES!$C$29,4,9),2))</f>
        <v/>
      </c>
      <c r="X831" s="37">
        <f>IF(10&gt;DAY(EOMONTH(DATE(PARAMETRES!$C$29,4,1),0)),"",WEEKDAY(DATE(PARAMETRES!$C$29,4,10),2))</f>
        <v/>
      </c>
      <c r="Y831" s="37">
        <f>IF(11&gt;DAY(EOMONTH(DATE(PARAMETRES!$C$29,4,1),0)),"",WEEKDAY(DATE(PARAMETRES!$C$29,4,11),2))</f>
        <v/>
      </c>
      <c r="Z831" s="37">
        <f>IF(12&gt;DAY(EOMONTH(DATE(PARAMETRES!$C$29,4,1),0)),"",WEEKDAY(DATE(PARAMETRES!$C$29,4,12),2))</f>
        <v/>
      </c>
      <c r="AA831" s="37">
        <f>IF(13&gt;DAY(EOMONTH(DATE(PARAMETRES!$C$29,4,1),0)),"",WEEKDAY(DATE(PARAMETRES!$C$29,4,13),2))</f>
        <v/>
      </c>
      <c r="AB831" s="37">
        <f>IF(14&gt;DAY(EOMONTH(DATE(PARAMETRES!$C$29,4,1),0)),"",WEEKDAY(DATE(PARAMETRES!$C$29,4,14),2))</f>
        <v/>
      </c>
      <c r="AC831" s="37">
        <f>IF(15&gt;DAY(EOMONTH(DATE(PARAMETRES!$C$29,4,1),0)),"",WEEKDAY(DATE(PARAMETRES!$C$29,4,15),2))</f>
        <v/>
      </c>
      <c r="AD831" s="37">
        <f>IF(16&gt;DAY(EOMONTH(DATE(PARAMETRES!$C$29,4,1),0)),"",WEEKDAY(DATE(PARAMETRES!$C$29,4,16),2))</f>
        <v/>
      </c>
      <c r="AE831" s="37">
        <f>IF(17&gt;DAY(EOMONTH(DATE(PARAMETRES!$C$29,4,1),0)),"",WEEKDAY(DATE(PARAMETRES!$C$29,4,17),2))</f>
        <v/>
      </c>
      <c r="AF831" s="37">
        <f>IF(18&gt;DAY(EOMONTH(DATE(PARAMETRES!$C$29,4,1),0)),"",WEEKDAY(DATE(PARAMETRES!$C$29,4,18),2))</f>
        <v/>
      </c>
      <c r="AG831" s="37">
        <f>IF(19&gt;DAY(EOMONTH(DATE(PARAMETRES!$C$29,4,1),0)),"",WEEKDAY(DATE(PARAMETRES!$C$29,4,19),2))</f>
        <v/>
      </c>
      <c r="AH831" s="37">
        <f>IF(20&gt;DAY(EOMONTH(DATE(PARAMETRES!$C$29,4,1),0)),"",WEEKDAY(DATE(PARAMETRES!$C$29,4,20),2))</f>
        <v/>
      </c>
      <c r="AI831" s="37">
        <f>IF(21&gt;DAY(EOMONTH(DATE(PARAMETRES!$C$29,4,1),0)),"",WEEKDAY(DATE(PARAMETRES!$C$29,4,21),2))</f>
        <v/>
      </c>
      <c r="AJ831" s="37">
        <f>IF(22&gt;DAY(EOMONTH(DATE(PARAMETRES!$C$29,4,1),0)),"",WEEKDAY(DATE(PARAMETRES!$C$29,4,22),2))</f>
        <v/>
      </c>
      <c r="AK831" s="37">
        <f>IF(23&gt;DAY(EOMONTH(DATE(PARAMETRES!$C$29,4,1),0)),"",WEEKDAY(DATE(PARAMETRES!$C$29,4,23),2))</f>
        <v/>
      </c>
      <c r="AL831" s="37">
        <f>IF(24&gt;DAY(EOMONTH(DATE(PARAMETRES!$C$29,4,1),0)),"",WEEKDAY(DATE(PARAMETRES!$C$29,4,24),2))</f>
        <v/>
      </c>
      <c r="AM831" s="37">
        <f>IF(25&gt;DAY(EOMONTH(DATE(PARAMETRES!$C$29,4,1),0)),"",WEEKDAY(DATE(PARAMETRES!$C$29,4,25),2))</f>
        <v/>
      </c>
      <c r="AN831" s="37">
        <f>IF(26&gt;DAY(EOMONTH(DATE(PARAMETRES!$C$29,4,1),0)),"",WEEKDAY(DATE(PARAMETRES!$C$29,4,26),2))</f>
        <v/>
      </c>
      <c r="AO831" s="37">
        <f>IF(27&gt;DAY(EOMONTH(DATE(PARAMETRES!$C$29,4,1),0)),"",WEEKDAY(DATE(PARAMETRES!$C$29,4,27),2))</f>
        <v/>
      </c>
      <c r="AP831" s="37">
        <f>IF(28&gt;DAY(EOMONTH(DATE(PARAMETRES!$C$29,4,1),0)),"",WEEKDAY(DATE(PARAMETRES!$C$29,4,28),2))</f>
        <v/>
      </c>
      <c r="AQ831" s="37">
        <f>IF(29&gt;DAY(EOMONTH(DATE(PARAMETRES!$C$29,4,1),0)),"",WEEKDAY(DATE(PARAMETRES!$C$29,4,29),2))</f>
        <v/>
      </c>
      <c r="AR831" s="37">
        <f>IF(30&gt;DAY(EOMONTH(DATE(PARAMETRES!$C$29,4,1),0)),"",WEEKDAY(DATE(PARAMETRES!$C$29,4,30),2))</f>
        <v/>
      </c>
      <c r="AS831" s="37">
        <f>IF(31&gt;DAY(EOMONTH(DATE(PARAMETRES!$C$29,4,1),0)),"",WEEKDAY(DATE(PARAMETRES!$C$29,4,31),2))</f>
        <v/>
      </c>
    </row>
    <row r="832" hidden="1" outlineLevel="1" ht="15" customHeight="1" s="15">
      <c r="AT832" s="36">
        <f>IF(OR(O768="",O768=7),"","P")</f>
        <v/>
      </c>
      <c r="AU832" s="36">
        <f>IF(OR(O768="",O768&gt;=6),"","P")</f>
        <v/>
      </c>
    </row>
    <row r="833" hidden="1" outlineLevel="1" ht="15" customHeight="1" s="15">
      <c r="AT833" s="36">
        <f>IF(OR(O768="",O768=7),"","D")</f>
        <v/>
      </c>
      <c r="AU833" s="36">
        <f>IF(OR(O768="",O768&gt;=6),"","D")</f>
        <v/>
      </c>
    </row>
    <row r="834" hidden="1" outlineLevel="1" ht="15" customHeight="1" s="15">
      <c r="AT834" s="36">
        <f>IF(OR(O768="",O768=7),"","A")</f>
        <v/>
      </c>
      <c r="AU834" s="36">
        <f>IF(OR(O768="",O768&gt;=6),"","A")</f>
        <v/>
      </c>
    </row>
    <row r="835" hidden="1" outlineLevel="1" ht="15" customHeight="1" s="15">
      <c r="AT835" s="36">
        <f>IF(OR(O768="",O768=7),"","F")</f>
        <v/>
      </c>
      <c r="AU835" s="36">
        <f>IF(OR(O768="",O768&gt;=6),"","F")</f>
        <v/>
      </c>
    </row>
    <row r="836" hidden="1" outlineLevel="1" ht="15" customHeight="1" s="15">
      <c r="AT836" s="36">
        <f>IF(OR(O768="",O768=7),"","C")</f>
        <v/>
      </c>
      <c r="AU836" s="36">
        <f>IF(OR(O768="",O768&gt;=6),"","C")</f>
        <v/>
      </c>
    </row>
    <row r="837" hidden="1" outlineLevel="1" ht="15" customHeight="1" s="15">
      <c r="AT837" s="36">
        <f>IF(AND(O768&lt;&gt;"",O768=7),"R","")</f>
        <v/>
      </c>
      <c r="AU837" s="36">
        <f>IF(AND(O768&lt;&gt;"",O768&gt;=6),"R","")</f>
        <v/>
      </c>
    </row>
    <row r="838" hidden="1" outlineLevel="1" ht="15" customHeight="1" s="15">
      <c r="AT838" s="36">
        <f>IF(OR(P768="",P768=7),"","P")</f>
        <v/>
      </c>
      <c r="AU838" s="36">
        <f>IF(OR(P768="",P768&gt;=6),"","P")</f>
        <v/>
      </c>
    </row>
    <row r="839" hidden="1" outlineLevel="1" ht="15" customHeight="1" s="15">
      <c r="AT839" s="36">
        <f>IF(OR(P768="",P768=7),"","D")</f>
        <v/>
      </c>
      <c r="AU839" s="36">
        <f>IF(OR(P768="",P768&gt;=6),"","D")</f>
        <v/>
      </c>
    </row>
    <row r="840" hidden="1" outlineLevel="1" ht="15" customHeight="1" s="15">
      <c r="AT840" s="36">
        <f>IF(OR(P768="",P768=7),"","A")</f>
        <v/>
      </c>
      <c r="AU840" s="36">
        <f>IF(OR(P768="",P768&gt;=6),"","A")</f>
        <v/>
      </c>
    </row>
    <row r="841" hidden="1" outlineLevel="1" ht="15" customHeight="1" s="15">
      <c r="AT841" s="36">
        <f>IF(OR(P768="",P768=7),"","F")</f>
        <v/>
      </c>
      <c r="AU841" s="36">
        <f>IF(OR(P768="",P768&gt;=6),"","F")</f>
        <v/>
      </c>
    </row>
    <row r="842" hidden="1" outlineLevel="1" ht="15" customHeight="1" s="15">
      <c r="AT842" s="36">
        <f>IF(OR(P768="",P768=7),"","C")</f>
        <v/>
      </c>
      <c r="AU842" s="36">
        <f>IF(OR(P768="",P768&gt;=6),"","C")</f>
        <v/>
      </c>
    </row>
    <row r="843" hidden="1" outlineLevel="1" ht="15" customHeight="1" s="15">
      <c r="AT843" s="36">
        <f>IF(AND(P768&lt;&gt;"",P768=7),"R","")</f>
        <v/>
      </c>
      <c r="AU843" s="36">
        <f>IF(AND(P768&lt;&gt;"",P768&gt;=6),"R","")</f>
        <v/>
      </c>
    </row>
    <row r="844" hidden="1" outlineLevel="1" ht="15" customHeight="1" s="15">
      <c r="AT844" s="36">
        <f>IF(OR(Q768="",Q768=7),"","P")</f>
        <v/>
      </c>
      <c r="AU844" s="36">
        <f>IF(OR(Q768="",Q768&gt;=6),"","P")</f>
        <v/>
      </c>
    </row>
    <row r="845" hidden="1" outlineLevel="1" ht="15" customHeight="1" s="15">
      <c r="AT845" s="36">
        <f>IF(OR(Q768="",Q768=7),"","D")</f>
        <v/>
      </c>
      <c r="AU845" s="36">
        <f>IF(OR(Q768="",Q768&gt;=6),"","D")</f>
        <v/>
      </c>
    </row>
    <row r="846" hidden="1" outlineLevel="1" ht="15" customHeight="1" s="15">
      <c r="AT846" s="36">
        <f>IF(OR(Q768="",Q768=7),"","A")</f>
        <v/>
      </c>
      <c r="AU846" s="36">
        <f>IF(OR(Q768="",Q768&gt;=6),"","A")</f>
        <v/>
      </c>
    </row>
    <row r="847" hidden="1" outlineLevel="1" ht="15" customHeight="1" s="15">
      <c r="AT847" s="36">
        <f>IF(OR(Q768="",Q768=7),"","F")</f>
        <v/>
      </c>
      <c r="AU847" s="36">
        <f>IF(OR(Q768="",Q768&gt;=6),"","F")</f>
        <v/>
      </c>
    </row>
    <row r="848" hidden="1" outlineLevel="1" ht="15" customHeight="1" s="15">
      <c r="AT848" s="36">
        <f>IF(OR(Q768="",Q768=7),"","C")</f>
        <v/>
      </c>
      <c r="AU848" s="36">
        <f>IF(OR(Q768="",Q768&gt;=6),"","C")</f>
        <v/>
      </c>
    </row>
    <row r="849" hidden="1" outlineLevel="1" ht="15" customHeight="1" s="15">
      <c r="AT849" s="36">
        <f>IF(AND(Q768&lt;&gt;"",Q768=7),"R","")</f>
        <v/>
      </c>
      <c r="AU849" s="36">
        <f>IF(AND(Q768&lt;&gt;"",Q768&gt;=6),"R","")</f>
        <v/>
      </c>
    </row>
    <row r="850" hidden="1" outlineLevel="1" ht="15" customHeight="1" s="15">
      <c r="AT850" s="36">
        <f>IF(OR(R768="",R768=7),"","P")</f>
        <v/>
      </c>
      <c r="AU850" s="36">
        <f>IF(OR(R768="",R768&gt;=6),"","P")</f>
        <v/>
      </c>
    </row>
    <row r="851" hidden="1" outlineLevel="1" ht="15" customHeight="1" s="15">
      <c r="AT851" s="36">
        <f>IF(OR(R768="",R768=7),"","D")</f>
        <v/>
      </c>
      <c r="AU851" s="36">
        <f>IF(OR(R768="",R768&gt;=6),"","D")</f>
        <v/>
      </c>
    </row>
    <row r="852" hidden="1" outlineLevel="1" ht="15" customHeight="1" s="15">
      <c r="AT852" s="36">
        <f>IF(OR(R768="",R768=7),"","A")</f>
        <v/>
      </c>
      <c r="AU852" s="36">
        <f>IF(OR(R768="",R768&gt;=6),"","A")</f>
        <v/>
      </c>
    </row>
    <row r="853" hidden="1" outlineLevel="1" ht="15" customHeight="1" s="15">
      <c r="AT853" s="36">
        <f>IF(OR(R768="",R768=7),"","F")</f>
        <v/>
      </c>
      <c r="AU853" s="36">
        <f>IF(OR(R768="",R768&gt;=6),"","F")</f>
        <v/>
      </c>
    </row>
    <row r="854" hidden="1" outlineLevel="1" ht="15" customHeight="1" s="15">
      <c r="AT854" s="36">
        <f>IF(OR(R768="",R768=7),"","C")</f>
        <v/>
      </c>
      <c r="AU854" s="36">
        <f>IF(OR(R768="",R768&gt;=6),"","C")</f>
        <v/>
      </c>
    </row>
    <row r="855" hidden="1" outlineLevel="1" ht="15" customHeight="1" s="15">
      <c r="AT855" s="36">
        <f>IF(AND(R768&lt;&gt;"",R768=7),"R","")</f>
        <v/>
      </c>
      <c r="AU855" s="36">
        <f>IF(AND(R768&lt;&gt;"",R768&gt;=6),"R","")</f>
        <v/>
      </c>
    </row>
    <row r="856" hidden="1" outlineLevel="1" ht="15" customHeight="1" s="15">
      <c r="AT856" s="36">
        <f>IF(OR(S768="",S768=7),"","P")</f>
        <v/>
      </c>
      <c r="AU856" s="36">
        <f>IF(OR(S768="",S768&gt;=6),"","P")</f>
        <v/>
      </c>
    </row>
    <row r="857" hidden="1" outlineLevel="1" ht="15" customHeight="1" s="15">
      <c r="AT857" s="36">
        <f>IF(OR(S768="",S768=7),"","D")</f>
        <v/>
      </c>
      <c r="AU857" s="36">
        <f>IF(OR(S768="",S768&gt;=6),"","D")</f>
        <v/>
      </c>
    </row>
    <row r="858" hidden="1" outlineLevel="1" ht="15" customHeight="1" s="15">
      <c r="AT858" s="36">
        <f>IF(OR(S768="",S768=7),"","A")</f>
        <v/>
      </c>
      <c r="AU858" s="36">
        <f>IF(OR(S768="",S768&gt;=6),"","A")</f>
        <v/>
      </c>
    </row>
    <row r="859" hidden="1" outlineLevel="1" ht="15" customHeight="1" s="15">
      <c r="AT859" s="36">
        <f>IF(OR(S768="",S768=7),"","F")</f>
        <v/>
      </c>
      <c r="AU859" s="36">
        <f>IF(OR(S768="",S768&gt;=6),"","F")</f>
        <v/>
      </c>
    </row>
    <row r="860" hidden="1" outlineLevel="1" ht="15" customHeight="1" s="15">
      <c r="AT860" s="36">
        <f>IF(OR(S768="",S768=7),"","C")</f>
        <v/>
      </c>
      <c r="AU860" s="36">
        <f>IF(OR(S768="",S768&gt;=6),"","C")</f>
        <v/>
      </c>
    </row>
    <row r="861" hidden="1" outlineLevel="1" ht="15" customHeight="1" s="15">
      <c r="AT861" s="36">
        <f>IF(AND(S768&lt;&gt;"",S768=7),"R","")</f>
        <v/>
      </c>
      <c r="AU861" s="36">
        <f>IF(AND(S768&lt;&gt;"",S768&gt;=6),"R","")</f>
        <v/>
      </c>
    </row>
    <row r="862" hidden="1" outlineLevel="1" ht="15" customHeight="1" s="15">
      <c r="AT862" s="36">
        <f>IF(OR(T768="",T768=7),"","P")</f>
        <v/>
      </c>
      <c r="AU862" s="36">
        <f>IF(OR(T768="",T768&gt;=6),"","P")</f>
        <v/>
      </c>
    </row>
    <row r="863" hidden="1" outlineLevel="1" ht="15" customHeight="1" s="15">
      <c r="AT863" s="36">
        <f>IF(OR(T768="",T768=7),"","D")</f>
        <v/>
      </c>
      <c r="AU863" s="36">
        <f>IF(OR(T768="",T768&gt;=6),"","D")</f>
        <v/>
      </c>
    </row>
    <row r="864" hidden="1" outlineLevel="1" ht="15" customHeight="1" s="15">
      <c r="AT864" s="36">
        <f>IF(OR(T768="",T768=7),"","A")</f>
        <v/>
      </c>
      <c r="AU864" s="36">
        <f>IF(OR(T768="",T768&gt;=6),"","A")</f>
        <v/>
      </c>
    </row>
    <row r="865" hidden="1" outlineLevel="1" ht="15" customHeight="1" s="15">
      <c r="AT865" s="36">
        <f>IF(OR(T768="",T768=7),"","F")</f>
        <v/>
      </c>
      <c r="AU865" s="36">
        <f>IF(OR(T768="",T768&gt;=6),"","F")</f>
        <v/>
      </c>
    </row>
    <row r="866" hidden="1" outlineLevel="1" ht="15" customHeight="1" s="15">
      <c r="AT866" s="36">
        <f>IF(OR(T768="",T768=7),"","C")</f>
        <v/>
      </c>
      <c r="AU866" s="36">
        <f>IF(OR(T768="",T768&gt;=6),"","C")</f>
        <v/>
      </c>
    </row>
    <row r="867" hidden="1" outlineLevel="1" ht="15" customHeight="1" s="15">
      <c r="AT867" s="36">
        <f>IF(AND(T768&lt;&gt;"",T768=7),"R","")</f>
        <v/>
      </c>
      <c r="AU867" s="36">
        <f>IF(AND(T768&lt;&gt;"",T768&gt;=6),"R","")</f>
        <v/>
      </c>
    </row>
    <row r="868" hidden="1" outlineLevel="1" ht="15" customHeight="1" s="15">
      <c r="AT868" s="36">
        <f>IF(OR(U768="",U768=7),"","P")</f>
        <v/>
      </c>
      <c r="AU868" s="36">
        <f>IF(OR(U768="",U768&gt;=6),"","P")</f>
        <v/>
      </c>
    </row>
    <row r="869" hidden="1" outlineLevel="1" ht="15" customHeight="1" s="15">
      <c r="AT869" s="36">
        <f>IF(OR(U768="",U768=7),"","D")</f>
        <v/>
      </c>
      <c r="AU869" s="36">
        <f>IF(OR(U768="",U768&gt;=6),"","D")</f>
        <v/>
      </c>
    </row>
    <row r="870" hidden="1" outlineLevel="1" ht="15" customHeight="1" s="15">
      <c r="AT870" s="36">
        <f>IF(OR(U768="",U768=7),"","A")</f>
        <v/>
      </c>
      <c r="AU870" s="36">
        <f>IF(OR(U768="",U768&gt;=6),"","A")</f>
        <v/>
      </c>
    </row>
    <row r="871" hidden="1" outlineLevel="1" ht="15" customHeight="1" s="15">
      <c r="AT871" s="36">
        <f>IF(OR(U768="",U768=7),"","F")</f>
        <v/>
      </c>
      <c r="AU871" s="36">
        <f>IF(OR(U768="",U768&gt;=6),"","F")</f>
        <v/>
      </c>
    </row>
    <row r="872" hidden="1" outlineLevel="1" ht="15" customHeight="1" s="15">
      <c r="AT872" s="36">
        <f>IF(OR(U768="",U768=7),"","C")</f>
        <v/>
      </c>
      <c r="AU872" s="36">
        <f>IF(OR(U768="",U768&gt;=6),"","C")</f>
        <v/>
      </c>
    </row>
    <row r="873" hidden="1" outlineLevel="1" ht="15" customHeight="1" s="15">
      <c r="AT873" s="36">
        <f>IF(AND(U768&lt;&gt;"",U768=7),"R","")</f>
        <v/>
      </c>
      <c r="AU873" s="36">
        <f>IF(AND(U768&lt;&gt;"",U768&gt;=6),"R","")</f>
        <v/>
      </c>
    </row>
    <row r="874" hidden="1" outlineLevel="1" ht="15" customHeight="1" s="15">
      <c r="AT874" s="36">
        <f>IF(OR(V768="",V768=7),"","P")</f>
        <v/>
      </c>
      <c r="AU874" s="36">
        <f>IF(OR(V768="",V768&gt;=6),"","P")</f>
        <v/>
      </c>
    </row>
    <row r="875" hidden="1" outlineLevel="1" ht="15" customHeight="1" s="15">
      <c r="AT875" s="36">
        <f>IF(OR(V768="",V768=7),"","D")</f>
        <v/>
      </c>
      <c r="AU875" s="36">
        <f>IF(OR(V768="",V768&gt;=6),"","D")</f>
        <v/>
      </c>
    </row>
    <row r="876" hidden="1" outlineLevel="1" ht="15" customHeight="1" s="15">
      <c r="AT876" s="36">
        <f>IF(OR(V768="",V768=7),"","A")</f>
        <v/>
      </c>
      <c r="AU876" s="36">
        <f>IF(OR(V768="",V768&gt;=6),"","A")</f>
        <v/>
      </c>
    </row>
    <row r="877" hidden="1" outlineLevel="1" ht="15" customHeight="1" s="15">
      <c r="AT877" s="36">
        <f>IF(OR(V768="",V768=7),"","F")</f>
        <v/>
      </c>
      <c r="AU877" s="36">
        <f>IF(OR(V768="",V768&gt;=6),"","F")</f>
        <v/>
      </c>
    </row>
    <row r="878" hidden="1" outlineLevel="1" ht="15" customHeight="1" s="15">
      <c r="AT878" s="36">
        <f>IF(OR(V768="",V768=7),"","C")</f>
        <v/>
      </c>
      <c r="AU878" s="36">
        <f>IF(OR(V768="",V768&gt;=6),"","C")</f>
        <v/>
      </c>
    </row>
    <row r="879" hidden="1" outlineLevel="1" ht="15" customHeight="1" s="15">
      <c r="AT879" s="36">
        <f>IF(AND(V768&lt;&gt;"",V768=7),"R","")</f>
        <v/>
      </c>
      <c r="AU879" s="36">
        <f>IF(AND(V768&lt;&gt;"",V768&gt;=6),"R","")</f>
        <v/>
      </c>
    </row>
    <row r="880" hidden="1" outlineLevel="1" ht="15" customHeight="1" s="15">
      <c r="AT880" s="36">
        <f>IF(OR(W768="",W768=7),"","P")</f>
        <v/>
      </c>
      <c r="AU880" s="36">
        <f>IF(OR(W768="",W768&gt;=6),"","P")</f>
        <v/>
      </c>
    </row>
    <row r="881" hidden="1" outlineLevel="1" ht="15" customHeight="1" s="15">
      <c r="AT881" s="36">
        <f>IF(OR(W768="",W768=7),"","D")</f>
        <v/>
      </c>
      <c r="AU881" s="36">
        <f>IF(OR(W768="",W768&gt;=6),"","D")</f>
        <v/>
      </c>
    </row>
    <row r="882" hidden="1" outlineLevel="1" ht="15" customHeight="1" s="15">
      <c r="AT882" s="36">
        <f>IF(OR(W768="",W768=7),"","A")</f>
        <v/>
      </c>
      <c r="AU882" s="36">
        <f>IF(OR(W768="",W768&gt;=6),"","A")</f>
        <v/>
      </c>
    </row>
    <row r="883" hidden="1" outlineLevel="1" ht="15" customHeight="1" s="15">
      <c r="AT883" s="36">
        <f>IF(OR(W768="",W768=7),"","F")</f>
        <v/>
      </c>
      <c r="AU883" s="36">
        <f>IF(OR(W768="",W768&gt;=6),"","F")</f>
        <v/>
      </c>
    </row>
    <row r="884" hidden="1" outlineLevel="1" ht="15" customHeight="1" s="15">
      <c r="AT884" s="36">
        <f>IF(OR(W768="",W768=7),"","C")</f>
        <v/>
      </c>
      <c r="AU884" s="36">
        <f>IF(OR(W768="",W768&gt;=6),"","C")</f>
        <v/>
      </c>
    </row>
    <row r="885" hidden="1" outlineLevel="1" ht="15" customHeight="1" s="15">
      <c r="AT885" s="36">
        <f>IF(AND(W768&lt;&gt;"",W768=7),"R","")</f>
        <v/>
      </c>
      <c r="AU885" s="36">
        <f>IF(AND(W768&lt;&gt;"",W768&gt;=6),"R","")</f>
        <v/>
      </c>
    </row>
    <row r="886" hidden="1" outlineLevel="1" ht="15" customHeight="1" s="15">
      <c r="AT886" s="36">
        <f>IF(OR(X768="",X768=7),"","P")</f>
        <v/>
      </c>
      <c r="AU886" s="36">
        <f>IF(OR(X768="",X768&gt;=6),"","P")</f>
        <v/>
      </c>
    </row>
    <row r="887" hidden="1" outlineLevel="1" ht="15" customHeight="1" s="15">
      <c r="AT887" s="36">
        <f>IF(OR(X768="",X768=7),"","D")</f>
        <v/>
      </c>
      <c r="AU887" s="36">
        <f>IF(OR(X768="",X768&gt;=6),"","D")</f>
        <v/>
      </c>
    </row>
    <row r="888" hidden="1" outlineLevel="1" ht="15" customHeight="1" s="15">
      <c r="AT888" s="36">
        <f>IF(OR(X768="",X768=7),"","A")</f>
        <v/>
      </c>
      <c r="AU888" s="36">
        <f>IF(OR(X768="",X768&gt;=6),"","A")</f>
        <v/>
      </c>
    </row>
    <row r="889" hidden="1" outlineLevel="1" ht="15" customHeight="1" s="15">
      <c r="AT889" s="36">
        <f>IF(OR(X768="",X768=7),"","F")</f>
        <v/>
      </c>
      <c r="AU889" s="36">
        <f>IF(OR(X768="",X768&gt;=6),"","F")</f>
        <v/>
      </c>
    </row>
    <row r="890" hidden="1" outlineLevel="1" ht="15" customHeight="1" s="15">
      <c r="AT890" s="36">
        <f>IF(OR(X768="",X768=7),"","C")</f>
        <v/>
      </c>
      <c r="AU890" s="36">
        <f>IF(OR(X768="",X768&gt;=6),"","C")</f>
        <v/>
      </c>
    </row>
    <row r="891" hidden="1" outlineLevel="1" ht="15" customHeight="1" s="15">
      <c r="AT891" s="36">
        <f>IF(AND(X768&lt;&gt;"",X768=7),"R","")</f>
        <v/>
      </c>
      <c r="AU891" s="36">
        <f>IF(AND(X768&lt;&gt;"",X768&gt;=6),"R","")</f>
        <v/>
      </c>
    </row>
    <row r="892" hidden="1" outlineLevel="1" ht="15" customHeight="1" s="15">
      <c r="AT892" s="36">
        <f>IF(OR(Y768="",Y768=7),"","P")</f>
        <v/>
      </c>
      <c r="AU892" s="36">
        <f>IF(OR(Y768="",Y768&gt;=6),"","P")</f>
        <v/>
      </c>
    </row>
    <row r="893" hidden="1" outlineLevel="1" ht="15" customHeight="1" s="15">
      <c r="AT893" s="36">
        <f>IF(OR(Y768="",Y768=7),"","D")</f>
        <v/>
      </c>
      <c r="AU893" s="36">
        <f>IF(OR(Y768="",Y768&gt;=6),"","D")</f>
        <v/>
      </c>
    </row>
    <row r="894" hidden="1" outlineLevel="1" ht="15" customHeight="1" s="15">
      <c r="AT894" s="36">
        <f>IF(OR(Y768="",Y768=7),"","A")</f>
        <v/>
      </c>
      <c r="AU894" s="36">
        <f>IF(OR(Y768="",Y768&gt;=6),"","A")</f>
        <v/>
      </c>
    </row>
    <row r="895" hidden="1" outlineLevel="1" ht="15" customHeight="1" s="15">
      <c r="AT895" s="36">
        <f>IF(OR(Y768="",Y768=7),"","F")</f>
        <v/>
      </c>
      <c r="AU895" s="36">
        <f>IF(OR(Y768="",Y768&gt;=6),"","F")</f>
        <v/>
      </c>
    </row>
    <row r="896" hidden="1" outlineLevel="1" ht="15" customHeight="1" s="15">
      <c r="AT896" s="36">
        <f>IF(OR(Y768="",Y768=7),"","C")</f>
        <v/>
      </c>
      <c r="AU896" s="36">
        <f>IF(OR(Y768="",Y768&gt;=6),"","C")</f>
        <v/>
      </c>
    </row>
    <row r="897" hidden="1" outlineLevel="1" ht="15" customHeight="1" s="15">
      <c r="AT897" s="36">
        <f>IF(AND(Y768&lt;&gt;"",Y768=7),"R","")</f>
        <v/>
      </c>
      <c r="AU897" s="36">
        <f>IF(AND(Y768&lt;&gt;"",Y768&gt;=6),"R","")</f>
        <v/>
      </c>
    </row>
    <row r="898" hidden="1" outlineLevel="1" ht="15" customHeight="1" s="15">
      <c r="AT898" s="36">
        <f>IF(OR(Z768="",Z768=7),"","P")</f>
        <v/>
      </c>
      <c r="AU898" s="36">
        <f>IF(OR(Z768="",Z768&gt;=6),"","P")</f>
        <v/>
      </c>
    </row>
    <row r="899" hidden="1" outlineLevel="1" ht="15" customHeight="1" s="15">
      <c r="AT899" s="36">
        <f>IF(OR(Z768="",Z768=7),"","D")</f>
        <v/>
      </c>
      <c r="AU899" s="36">
        <f>IF(OR(Z768="",Z768&gt;=6),"","D")</f>
        <v/>
      </c>
    </row>
    <row r="900" hidden="1" outlineLevel="1" ht="15" customHeight="1" s="15">
      <c r="AT900" s="36">
        <f>IF(OR(Z768="",Z768=7),"","A")</f>
        <v/>
      </c>
      <c r="AU900" s="36">
        <f>IF(OR(Z768="",Z768&gt;=6),"","A")</f>
        <v/>
      </c>
    </row>
    <row r="901" hidden="1" outlineLevel="1" ht="15" customHeight="1" s="15">
      <c r="AT901" s="36">
        <f>IF(OR(Z768="",Z768=7),"","F")</f>
        <v/>
      </c>
      <c r="AU901" s="36">
        <f>IF(OR(Z768="",Z768&gt;=6),"","F")</f>
        <v/>
      </c>
    </row>
    <row r="902" hidden="1" outlineLevel="1" ht="15" customHeight="1" s="15">
      <c r="AT902" s="36">
        <f>IF(OR(Z768="",Z768=7),"","C")</f>
        <v/>
      </c>
      <c r="AU902" s="36">
        <f>IF(OR(Z768="",Z768&gt;=6),"","C")</f>
        <v/>
      </c>
    </row>
    <row r="903" hidden="1" outlineLevel="1" ht="15" customHeight="1" s="15">
      <c r="AT903" s="36">
        <f>IF(AND(Z768&lt;&gt;"",Z768=7),"R","")</f>
        <v/>
      </c>
      <c r="AU903" s="36">
        <f>IF(AND(Z768&lt;&gt;"",Z768&gt;=6),"R","")</f>
        <v/>
      </c>
    </row>
    <row r="904" hidden="1" outlineLevel="1" ht="15" customHeight="1" s="15">
      <c r="AT904" s="36">
        <f>IF(OR(AA768="",AA768=7),"","P")</f>
        <v/>
      </c>
      <c r="AU904" s="36">
        <f>IF(OR(AA768="",AA768&gt;=6),"","P")</f>
        <v/>
      </c>
    </row>
    <row r="905" hidden="1" outlineLevel="1" ht="15" customHeight="1" s="15">
      <c r="AT905" s="36">
        <f>IF(OR(AA768="",AA768=7),"","D")</f>
        <v/>
      </c>
      <c r="AU905" s="36">
        <f>IF(OR(AA768="",AA768&gt;=6),"","D")</f>
        <v/>
      </c>
    </row>
    <row r="906" hidden="1" outlineLevel="1" ht="15" customHeight="1" s="15">
      <c r="AT906" s="36">
        <f>IF(OR(AA768="",AA768=7),"","A")</f>
        <v/>
      </c>
      <c r="AU906" s="36">
        <f>IF(OR(AA768="",AA768&gt;=6),"","A")</f>
        <v/>
      </c>
    </row>
    <row r="907" hidden="1" outlineLevel="1" ht="15" customHeight="1" s="15">
      <c r="AT907" s="36">
        <f>IF(OR(AA768="",AA768=7),"","F")</f>
        <v/>
      </c>
      <c r="AU907" s="36">
        <f>IF(OR(AA768="",AA768&gt;=6),"","F")</f>
        <v/>
      </c>
    </row>
    <row r="908" hidden="1" outlineLevel="1" ht="15" customHeight="1" s="15">
      <c r="AT908" s="36">
        <f>IF(OR(AA768="",AA768=7),"","C")</f>
        <v/>
      </c>
      <c r="AU908" s="36">
        <f>IF(OR(AA768="",AA768&gt;=6),"","C")</f>
        <v/>
      </c>
    </row>
    <row r="909" hidden="1" outlineLevel="1" ht="15" customHeight="1" s="15">
      <c r="AT909" s="36">
        <f>IF(AND(AA768&lt;&gt;"",AA768=7),"R","")</f>
        <v/>
      </c>
      <c r="AU909" s="36">
        <f>IF(AND(AA768&lt;&gt;"",AA768&gt;=6),"R","")</f>
        <v/>
      </c>
    </row>
    <row r="910" hidden="1" outlineLevel="1" ht="15" customHeight="1" s="15">
      <c r="AT910" s="36">
        <f>IF(OR(AB768="",AB768=7),"","P")</f>
        <v/>
      </c>
      <c r="AU910" s="36">
        <f>IF(OR(AB768="",AB768&gt;=6),"","P")</f>
        <v/>
      </c>
    </row>
    <row r="911" hidden="1" outlineLevel="1" ht="15" customHeight="1" s="15">
      <c r="AT911" s="36">
        <f>IF(OR(AB768="",AB768=7),"","D")</f>
        <v/>
      </c>
      <c r="AU911" s="36">
        <f>IF(OR(AB768="",AB768&gt;=6),"","D")</f>
        <v/>
      </c>
    </row>
    <row r="912" hidden="1" outlineLevel="1" ht="15" customHeight="1" s="15">
      <c r="AT912" s="36">
        <f>IF(OR(AB768="",AB768=7),"","A")</f>
        <v/>
      </c>
      <c r="AU912" s="36">
        <f>IF(OR(AB768="",AB768&gt;=6),"","A")</f>
        <v/>
      </c>
    </row>
    <row r="913" hidden="1" outlineLevel="1" ht="15" customHeight="1" s="15">
      <c r="AT913" s="36">
        <f>IF(OR(AB768="",AB768=7),"","F")</f>
        <v/>
      </c>
      <c r="AU913" s="36">
        <f>IF(OR(AB768="",AB768&gt;=6),"","F")</f>
        <v/>
      </c>
    </row>
    <row r="914" hidden="1" outlineLevel="1" ht="15" customHeight="1" s="15">
      <c r="AT914" s="36">
        <f>IF(OR(AB768="",AB768=7),"","C")</f>
        <v/>
      </c>
      <c r="AU914" s="36">
        <f>IF(OR(AB768="",AB768&gt;=6),"","C")</f>
        <v/>
      </c>
    </row>
    <row r="915" hidden="1" outlineLevel="1" ht="15" customHeight="1" s="15">
      <c r="AT915" s="36">
        <f>IF(AND(AB768&lt;&gt;"",AB768=7),"R","")</f>
        <v/>
      </c>
      <c r="AU915" s="36">
        <f>IF(AND(AB768&lt;&gt;"",AB768&gt;=6),"R","")</f>
        <v/>
      </c>
    </row>
    <row r="916" hidden="1" outlineLevel="1" ht="15" customHeight="1" s="15">
      <c r="AT916" s="36">
        <f>IF(OR(AC768="",AC768=7),"","P")</f>
        <v/>
      </c>
      <c r="AU916" s="36">
        <f>IF(OR(AC768="",AC768&gt;=6),"","P")</f>
        <v/>
      </c>
    </row>
    <row r="917" hidden="1" outlineLevel="1" ht="15" customHeight="1" s="15">
      <c r="AT917" s="36">
        <f>IF(OR(AC768="",AC768=7),"","D")</f>
        <v/>
      </c>
      <c r="AU917" s="36">
        <f>IF(OR(AC768="",AC768&gt;=6),"","D")</f>
        <v/>
      </c>
    </row>
    <row r="918" hidden="1" outlineLevel="1" ht="15" customHeight="1" s="15">
      <c r="AT918" s="36">
        <f>IF(OR(AC768="",AC768=7),"","A")</f>
        <v/>
      </c>
      <c r="AU918" s="36">
        <f>IF(OR(AC768="",AC768&gt;=6),"","A")</f>
        <v/>
      </c>
    </row>
    <row r="919" hidden="1" outlineLevel="1" ht="15" customHeight="1" s="15">
      <c r="AT919" s="36">
        <f>IF(OR(AC768="",AC768=7),"","F")</f>
        <v/>
      </c>
      <c r="AU919" s="36">
        <f>IF(OR(AC768="",AC768&gt;=6),"","F")</f>
        <v/>
      </c>
    </row>
    <row r="920" hidden="1" outlineLevel="1" ht="15" customHeight="1" s="15">
      <c r="AT920" s="36">
        <f>IF(OR(AC768="",AC768=7),"","C")</f>
        <v/>
      </c>
      <c r="AU920" s="36">
        <f>IF(OR(AC768="",AC768&gt;=6),"","C")</f>
        <v/>
      </c>
    </row>
    <row r="921" hidden="1" outlineLevel="1" ht="15" customHeight="1" s="15">
      <c r="AT921" s="36">
        <f>IF(AND(AC768&lt;&gt;"",AC768=7),"R","")</f>
        <v/>
      </c>
      <c r="AU921" s="36">
        <f>IF(AND(AC768&lt;&gt;"",AC768&gt;=6),"R","")</f>
        <v/>
      </c>
    </row>
    <row r="922" hidden="1" outlineLevel="1" ht="15" customHeight="1" s="15">
      <c r="AT922" s="36">
        <f>IF(OR(AD768="",AD768=7),"","P")</f>
        <v/>
      </c>
      <c r="AU922" s="36">
        <f>IF(OR(AD768="",AD768&gt;=6),"","P")</f>
        <v/>
      </c>
    </row>
    <row r="923" hidden="1" outlineLevel="1" ht="15" customHeight="1" s="15">
      <c r="AT923" s="36">
        <f>IF(OR(AD768="",AD768=7),"","D")</f>
        <v/>
      </c>
      <c r="AU923" s="36">
        <f>IF(OR(AD768="",AD768&gt;=6),"","D")</f>
        <v/>
      </c>
    </row>
    <row r="924" hidden="1" outlineLevel="1" ht="15" customHeight="1" s="15">
      <c r="AT924" s="36">
        <f>IF(OR(AD768="",AD768=7),"","A")</f>
        <v/>
      </c>
      <c r="AU924" s="36">
        <f>IF(OR(AD768="",AD768&gt;=6),"","A")</f>
        <v/>
      </c>
    </row>
    <row r="925" hidden="1" outlineLevel="1" ht="15" customHeight="1" s="15">
      <c r="AT925" s="36">
        <f>IF(OR(AD768="",AD768=7),"","F")</f>
        <v/>
      </c>
      <c r="AU925" s="36">
        <f>IF(OR(AD768="",AD768&gt;=6),"","F")</f>
        <v/>
      </c>
    </row>
    <row r="926" hidden="1" outlineLevel="1" ht="15" customHeight="1" s="15">
      <c r="AT926" s="36">
        <f>IF(OR(AD768="",AD768=7),"","C")</f>
        <v/>
      </c>
      <c r="AU926" s="36">
        <f>IF(OR(AD768="",AD768&gt;=6),"","C")</f>
        <v/>
      </c>
    </row>
    <row r="927" hidden="1" outlineLevel="1" ht="15" customHeight="1" s="15">
      <c r="AT927" s="36">
        <f>IF(AND(AD768&lt;&gt;"",AD768=7),"R","")</f>
        <v/>
      </c>
      <c r="AU927" s="36">
        <f>IF(AND(AD768&lt;&gt;"",AD768&gt;=6),"R","")</f>
        <v/>
      </c>
    </row>
    <row r="928" hidden="1" outlineLevel="1" ht="15" customHeight="1" s="15">
      <c r="AT928" s="36">
        <f>IF(OR(AE768="",AE768=7),"","P")</f>
        <v/>
      </c>
      <c r="AU928" s="36">
        <f>IF(OR(AE768="",AE768&gt;=6),"","P")</f>
        <v/>
      </c>
    </row>
    <row r="929" hidden="1" outlineLevel="1" ht="15" customHeight="1" s="15">
      <c r="AT929" s="36">
        <f>IF(OR(AE768="",AE768=7),"","D")</f>
        <v/>
      </c>
      <c r="AU929" s="36">
        <f>IF(OR(AE768="",AE768&gt;=6),"","D")</f>
        <v/>
      </c>
    </row>
    <row r="930" hidden="1" outlineLevel="1" ht="15" customHeight="1" s="15">
      <c r="AT930" s="36">
        <f>IF(OR(AE768="",AE768=7),"","A")</f>
        <v/>
      </c>
      <c r="AU930" s="36">
        <f>IF(OR(AE768="",AE768&gt;=6),"","A")</f>
        <v/>
      </c>
    </row>
    <row r="931" hidden="1" outlineLevel="1" ht="15" customHeight="1" s="15">
      <c r="AT931" s="36">
        <f>IF(OR(AE768="",AE768=7),"","F")</f>
        <v/>
      </c>
      <c r="AU931" s="36">
        <f>IF(OR(AE768="",AE768&gt;=6),"","F")</f>
        <v/>
      </c>
    </row>
    <row r="932" hidden="1" outlineLevel="1" ht="15" customHeight="1" s="15">
      <c r="AT932" s="36">
        <f>IF(OR(AE768="",AE768=7),"","C")</f>
        <v/>
      </c>
      <c r="AU932" s="36">
        <f>IF(OR(AE768="",AE768&gt;=6),"","C")</f>
        <v/>
      </c>
    </row>
    <row r="933" hidden="1" outlineLevel="1" ht="15" customHeight="1" s="15">
      <c r="AT933" s="36">
        <f>IF(AND(AE768&lt;&gt;"",AE768=7),"R","")</f>
        <v/>
      </c>
      <c r="AU933" s="36">
        <f>IF(AND(AE768&lt;&gt;"",AE768&gt;=6),"R","")</f>
        <v/>
      </c>
    </row>
    <row r="934" hidden="1" outlineLevel="1" ht="15" customHeight="1" s="15">
      <c r="AT934" s="36">
        <f>IF(OR(AF768="",AF768=7),"","P")</f>
        <v/>
      </c>
      <c r="AU934" s="36">
        <f>IF(OR(AF768="",AF768&gt;=6),"","P")</f>
        <v/>
      </c>
    </row>
    <row r="935" hidden="1" outlineLevel="1" ht="15" customHeight="1" s="15">
      <c r="AT935" s="36">
        <f>IF(OR(AF768="",AF768=7),"","D")</f>
        <v/>
      </c>
      <c r="AU935" s="36">
        <f>IF(OR(AF768="",AF768&gt;=6),"","D")</f>
        <v/>
      </c>
    </row>
    <row r="936" hidden="1" outlineLevel="1" ht="15" customHeight="1" s="15">
      <c r="AT936" s="36">
        <f>IF(OR(AF768="",AF768=7),"","A")</f>
        <v/>
      </c>
      <c r="AU936" s="36">
        <f>IF(OR(AF768="",AF768&gt;=6),"","A")</f>
        <v/>
      </c>
    </row>
    <row r="937" hidden="1" outlineLevel="1" ht="15" customHeight="1" s="15">
      <c r="AT937" s="36">
        <f>IF(OR(AF768="",AF768=7),"","F")</f>
        <v/>
      </c>
      <c r="AU937" s="36">
        <f>IF(OR(AF768="",AF768&gt;=6),"","F")</f>
        <v/>
      </c>
    </row>
    <row r="938" hidden="1" outlineLevel="1" ht="15" customHeight="1" s="15">
      <c r="AT938" s="36">
        <f>IF(OR(AF768="",AF768=7),"","C")</f>
        <v/>
      </c>
      <c r="AU938" s="36">
        <f>IF(OR(AF768="",AF768&gt;=6),"","C")</f>
        <v/>
      </c>
    </row>
    <row r="939" hidden="1" outlineLevel="1" ht="15" customHeight="1" s="15">
      <c r="AT939" s="36">
        <f>IF(AND(AF768&lt;&gt;"",AF768=7),"R","")</f>
        <v/>
      </c>
      <c r="AU939" s="36">
        <f>IF(AND(AF768&lt;&gt;"",AF768&gt;=6),"R","")</f>
        <v/>
      </c>
    </row>
    <row r="940" hidden="1" outlineLevel="1" ht="15" customHeight="1" s="15">
      <c r="AT940" s="36">
        <f>IF(OR(AG768="",AG768=7),"","P")</f>
        <v/>
      </c>
      <c r="AU940" s="36">
        <f>IF(OR(AG768="",AG768&gt;=6),"","P")</f>
        <v/>
      </c>
    </row>
    <row r="941" hidden="1" outlineLevel="1" ht="15" customHeight="1" s="15">
      <c r="AT941" s="36">
        <f>IF(OR(AG768="",AG768=7),"","D")</f>
        <v/>
      </c>
      <c r="AU941" s="36">
        <f>IF(OR(AG768="",AG768&gt;=6),"","D")</f>
        <v/>
      </c>
    </row>
    <row r="942" hidden="1" outlineLevel="1" ht="15" customHeight="1" s="15">
      <c r="AT942" s="36">
        <f>IF(OR(AG768="",AG768=7),"","A")</f>
        <v/>
      </c>
      <c r="AU942" s="36">
        <f>IF(OR(AG768="",AG768&gt;=6),"","A")</f>
        <v/>
      </c>
    </row>
    <row r="943" hidden="1" outlineLevel="1" ht="15" customHeight="1" s="15">
      <c r="AT943" s="36">
        <f>IF(OR(AG768="",AG768=7),"","F")</f>
        <v/>
      </c>
      <c r="AU943" s="36">
        <f>IF(OR(AG768="",AG768&gt;=6),"","F")</f>
        <v/>
      </c>
    </row>
    <row r="944" hidden="1" outlineLevel="1" ht="15" customHeight="1" s="15">
      <c r="AT944" s="36">
        <f>IF(OR(AG768="",AG768=7),"","C")</f>
        <v/>
      </c>
      <c r="AU944" s="36">
        <f>IF(OR(AG768="",AG768&gt;=6),"","C")</f>
        <v/>
      </c>
    </row>
    <row r="945" hidden="1" outlineLevel="1" ht="15" customHeight="1" s="15">
      <c r="AT945" s="36">
        <f>IF(AND(AG768&lt;&gt;"",AG768=7),"R","")</f>
        <v/>
      </c>
      <c r="AU945" s="36">
        <f>IF(AND(AG768&lt;&gt;"",AG768&gt;=6),"R","")</f>
        <v/>
      </c>
    </row>
    <row r="946" hidden="1" outlineLevel="1" ht="15" customHeight="1" s="15">
      <c r="AT946" s="36">
        <f>IF(OR(AH768="",AH768=7),"","P")</f>
        <v/>
      </c>
      <c r="AU946" s="36">
        <f>IF(OR(AH768="",AH768&gt;=6),"","P")</f>
        <v/>
      </c>
    </row>
    <row r="947" hidden="1" outlineLevel="1" ht="15" customHeight="1" s="15">
      <c r="AT947" s="36">
        <f>IF(OR(AH768="",AH768=7),"","D")</f>
        <v/>
      </c>
      <c r="AU947" s="36">
        <f>IF(OR(AH768="",AH768&gt;=6),"","D")</f>
        <v/>
      </c>
    </row>
    <row r="948" hidden="1" outlineLevel="1" ht="15" customHeight="1" s="15">
      <c r="AT948" s="36">
        <f>IF(OR(AH768="",AH768=7),"","A")</f>
        <v/>
      </c>
      <c r="AU948" s="36">
        <f>IF(OR(AH768="",AH768&gt;=6),"","A")</f>
        <v/>
      </c>
    </row>
    <row r="949" hidden="1" outlineLevel="1" ht="15" customHeight="1" s="15">
      <c r="AT949" s="36">
        <f>IF(OR(AH768="",AH768=7),"","F")</f>
        <v/>
      </c>
      <c r="AU949" s="36">
        <f>IF(OR(AH768="",AH768&gt;=6),"","F")</f>
        <v/>
      </c>
    </row>
    <row r="950" hidden="1" outlineLevel="1" ht="15" customHeight="1" s="15">
      <c r="AT950" s="36">
        <f>IF(OR(AH768="",AH768=7),"","C")</f>
        <v/>
      </c>
      <c r="AU950" s="36">
        <f>IF(OR(AH768="",AH768&gt;=6),"","C")</f>
        <v/>
      </c>
    </row>
    <row r="951" hidden="1" outlineLevel="1" ht="15" customHeight="1" s="15">
      <c r="AT951" s="36">
        <f>IF(AND(AH768&lt;&gt;"",AH768=7),"R","")</f>
        <v/>
      </c>
      <c r="AU951" s="36">
        <f>IF(AND(AH768&lt;&gt;"",AH768&gt;=6),"R","")</f>
        <v/>
      </c>
    </row>
    <row r="952" hidden="1" outlineLevel="1" ht="15" customHeight="1" s="15">
      <c r="AT952" s="36">
        <f>IF(OR(AI768="",AI768=7),"","P")</f>
        <v/>
      </c>
      <c r="AU952" s="36">
        <f>IF(OR(AI768="",AI768&gt;=6),"","P")</f>
        <v/>
      </c>
    </row>
    <row r="953" hidden="1" outlineLevel="1" ht="15" customHeight="1" s="15">
      <c r="AT953" s="36">
        <f>IF(OR(AI768="",AI768=7),"","D")</f>
        <v/>
      </c>
      <c r="AU953" s="36">
        <f>IF(OR(AI768="",AI768&gt;=6),"","D")</f>
        <v/>
      </c>
    </row>
    <row r="954" hidden="1" outlineLevel="1" ht="15" customHeight="1" s="15">
      <c r="AT954" s="36">
        <f>IF(OR(AI768="",AI768=7),"","A")</f>
        <v/>
      </c>
      <c r="AU954" s="36">
        <f>IF(OR(AI768="",AI768&gt;=6),"","A")</f>
        <v/>
      </c>
    </row>
    <row r="955" hidden="1" outlineLevel="1" ht="15" customHeight="1" s="15">
      <c r="AT955" s="36">
        <f>IF(OR(AI768="",AI768=7),"","F")</f>
        <v/>
      </c>
      <c r="AU955" s="36">
        <f>IF(OR(AI768="",AI768&gt;=6),"","F")</f>
        <v/>
      </c>
    </row>
    <row r="956" hidden="1" outlineLevel="1" ht="15" customHeight="1" s="15">
      <c r="AT956" s="36">
        <f>IF(OR(AI768="",AI768=7),"","C")</f>
        <v/>
      </c>
      <c r="AU956" s="36">
        <f>IF(OR(AI768="",AI768&gt;=6),"","C")</f>
        <v/>
      </c>
    </row>
    <row r="957" hidden="1" outlineLevel="1" ht="15" customHeight="1" s="15">
      <c r="AT957" s="36">
        <f>IF(AND(AI768&lt;&gt;"",AI768=7),"R","")</f>
        <v/>
      </c>
      <c r="AU957" s="36">
        <f>IF(AND(AI768&lt;&gt;"",AI768&gt;=6),"R","")</f>
        <v/>
      </c>
    </row>
    <row r="958" hidden="1" outlineLevel="1" ht="15" customHeight="1" s="15">
      <c r="AT958" s="36">
        <f>IF(OR(AJ768="",AJ768=7),"","P")</f>
        <v/>
      </c>
      <c r="AU958" s="36">
        <f>IF(OR(AJ768="",AJ768&gt;=6),"","P")</f>
        <v/>
      </c>
    </row>
    <row r="959" hidden="1" outlineLevel="1" ht="15" customHeight="1" s="15">
      <c r="AT959" s="36">
        <f>IF(OR(AJ768="",AJ768=7),"","D")</f>
        <v/>
      </c>
      <c r="AU959" s="36">
        <f>IF(OR(AJ768="",AJ768&gt;=6),"","D")</f>
        <v/>
      </c>
    </row>
    <row r="960" hidden="1" outlineLevel="1" ht="15" customHeight="1" s="15">
      <c r="AT960" s="36">
        <f>IF(OR(AJ768="",AJ768=7),"","A")</f>
        <v/>
      </c>
      <c r="AU960" s="36">
        <f>IF(OR(AJ768="",AJ768&gt;=6),"","A")</f>
        <v/>
      </c>
    </row>
    <row r="961" hidden="1" outlineLevel="1" ht="15" customHeight="1" s="15">
      <c r="AT961" s="36">
        <f>IF(OR(AJ768="",AJ768=7),"","F")</f>
        <v/>
      </c>
      <c r="AU961" s="36">
        <f>IF(OR(AJ768="",AJ768&gt;=6),"","F")</f>
        <v/>
      </c>
    </row>
    <row r="962" hidden="1" outlineLevel="1" ht="15" customHeight="1" s="15">
      <c r="AT962" s="36">
        <f>IF(OR(AJ768="",AJ768=7),"","C")</f>
        <v/>
      </c>
      <c r="AU962" s="36">
        <f>IF(OR(AJ768="",AJ768&gt;=6),"","C")</f>
        <v/>
      </c>
    </row>
    <row r="963" hidden="1" outlineLevel="1" ht="15" customHeight="1" s="15">
      <c r="AT963" s="36">
        <f>IF(AND(AJ768&lt;&gt;"",AJ768=7),"R","")</f>
        <v/>
      </c>
      <c r="AU963" s="36">
        <f>IF(AND(AJ768&lt;&gt;"",AJ768&gt;=6),"R","")</f>
        <v/>
      </c>
    </row>
    <row r="964" hidden="1" outlineLevel="1" ht="15" customHeight="1" s="15">
      <c r="AT964" s="36">
        <f>IF(OR(AK768="",AK768=7),"","P")</f>
        <v/>
      </c>
      <c r="AU964" s="36">
        <f>IF(OR(AK768="",AK768&gt;=6),"","P")</f>
        <v/>
      </c>
    </row>
    <row r="965" hidden="1" outlineLevel="1" ht="15" customHeight="1" s="15">
      <c r="AT965" s="36">
        <f>IF(OR(AK768="",AK768=7),"","D")</f>
        <v/>
      </c>
      <c r="AU965" s="36">
        <f>IF(OR(AK768="",AK768&gt;=6),"","D")</f>
        <v/>
      </c>
    </row>
    <row r="966" hidden="1" outlineLevel="1" ht="15" customHeight="1" s="15">
      <c r="AT966" s="36">
        <f>IF(OR(AK768="",AK768=7),"","A")</f>
        <v/>
      </c>
      <c r="AU966" s="36">
        <f>IF(OR(AK768="",AK768&gt;=6),"","A")</f>
        <v/>
      </c>
    </row>
    <row r="967" hidden="1" outlineLevel="1" ht="15" customHeight="1" s="15">
      <c r="AT967" s="36">
        <f>IF(OR(AK768="",AK768=7),"","F")</f>
        <v/>
      </c>
      <c r="AU967" s="36">
        <f>IF(OR(AK768="",AK768&gt;=6),"","F")</f>
        <v/>
      </c>
    </row>
    <row r="968" hidden="1" outlineLevel="1" ht="15" customHeight="1" s="15">
      <c r="AT968" s="36">
        <f>IF(OR(AK768="",AK768=7),"","C")</f>
        <v/>
      </c>
      <c r="AU968" s="36">
        <f>IF(OR(AK768="",AK768&gt;=6),"","C")</f>
        <v/>
      </c>
    </row>
    <row r="969" hidden="1" outlineLevel="1" ht="15" customHeight="1" s="15">
      <c r="AT969" s="36">
        <f>IF(AND(AK768&lt;&gt;"",AK768=7),"R","")</f>
        <v/>
      </c>
      <c r="AU969" s="36">
        <f>IF(AND(AK768&lt;&gt;"",AK768&gt;=6),"R","")</f>
        <v/>
      </c>
    </row>
    <row r="970" hidden="1" outlineLevel="1" ht="15" customHeight="1" s="15">
      <c r="AT970" s="36">
        <f>IF(OR(AL768="",AL768=7),"","P")</f>
        <v/>
      </c>
      <c r="AU970" s="36">
        <f>IF(OR(AL768="",AL768&gt;=6),"","P")</f>
        <v/>
      </c>
    </row>
    <row r="971" hidden="1" outlineLevel="1" ht="15" customHeight="1" s="15">
      <c r="AT971" s="36">
        <f>IF(OR(AL768="",AL768=7),"","D")</f>
        <v/>
      </c>
      <c r="AU971" s="36">
        <f>IF(OR(AL768="",AL768&gt;=6),"","D")</f>
        <v/>
      </c>
    </row>
    <row r="972" hidden="1" outlineLevel="1" ht="15" customHeight="1" s="15">
      <c r="AT972" s="36">
        <f>IF(OR(AL768="",AL768=7),"","A")</f>
        <v/>
      </c>
      <c r="AU972" s="36">
        <f>IF(OR(AL768="",AL768&gt;=6),"","A")</f>
        <v/>
      </c>
    </row>
    <row r="973" hidden="1" outlineLevel="1" ht="15" customHeight="1" s="15">
      <c r="AT973" s="36">
        <f>IF(OR(AL768="",AL768=7),"","F")</f>
        <v/>
      </c>
      <c r="AU973" s="36">
        <f>IF(OR(AL768="",AL768&gt;=6),"","F")</f>
        <v/>
      </c>
    </row>
    <row r="974" hidden="1" outlineLevel="1" ht="15" customHeight="1" s="15">
      <c r="AT974" s="36">
        <f>IF(OR(AL768="",AL768=7),"","C")</f>
        <v/>
      </c>
      <c r="AU974" s="36">
        <f>IF(OR(AL768="",AL768&gt;=6),"","C")</f>
        <v/>
      </c>
    </row>
    <row r="975" hidden="1" outlineLevel="1" ht="15" customHeight="1" s="15">
      <c r="AT975" s="36">
        <f>IF(AND(AL768&lt;&gt;"",AL768=7),"R","")</f>
        <v/>
      </c>
      <c r="AU975" s="36">
        <f>IF(AND(AL768&lt;&gt;"",AL768&gt;=6),"R","")</f>
        <v/>
      </c>
    </row>
    <row r="976" hidden="1" outlineLevel="1" ht="15" customHeight="1" s="15">
      <c r="AT976" s="36">
        <f>IF(OR(AM768="",AM768=7),"","P")</f>
        <v/>
      </c>
      <c r="AU976" s="36">
        <f>IF(OR(AM768="",AM768&gt;=6),"","P")</f>
        <v/>
      </c>
    </row>
    <row r="977" hidden="1" outlineLevel="1" ht="15" customHeight="1" s="15">
      <c r="AT977" s="36">
        <f>IF(OR(AM768="",AM768=7),"","D")</f>
        <v/>
      </c>
      <c r="AU977" s="36">
        <f>IF(OR(AM768="",AM768&gt;=6),"","D")</f>
        <v/>
      </c>
    </row>
    <row r="978" hidden="1" outlineLevel="1" ht="15" customHeight="1" s="15">
      <c r="AT978" s="36">
        <f>IF(OR(AM768="",AM768=7),"","A")</f>
        <v/>
      </c>
      <c r="AU978" s="36">
        <f>IF(OR(AM768="",AM768&gt;=6),"","A")</f>
        <v/>
      </c>
    </row>
    <row r="979" hidden="1" outlineLevel="1" ht="15" customHeight="1" s="15">
      <c r="AT979" s="36">
        <f>IF(OR(AM768="",AM768=7),"","F")</f>
        <v/>
      </c>
      <c r="AU979" s="36">
        <f>IF(OR(AM768="",AM768&gt;=6),"","F")</f>
        <v/>
      </c>
    </row>
    <row r="980" hidden="1" outlineLevel="1" ht="15" customHeight="1" s="15">
      <c r="AT980" s="36">
        <f>IF(OR(AM768="",AM768=7),"","C")</f>
        <v/>
      </c>
      <c r="AU980" s="36">
        <f>IF(OR(AM768="",AM768&gt;=6),"","C")</f>
        <v/>
      </c>
    </row>
    <row r="981" hidden="1" outlineLevel="1" ht="15" customHeight="1" s="15">
      <c r="AT981" s="36">
        <f>IF(AND(AM768&lt;&gt;"",AM768=7),"R","")</f>
        <v/>
      </c>
      <c r="AU981" s="36">
        <f>IF(AND(AM768&lt;&gt;"",AM768&gt;=6),"R","")</f>
        <v/>
      </c>
    </row>
    <row r="982" hidden="1" outlineLevel="1" ht="15" customHeight="1" s="15">
      <c r="AT982" s="36">
        <f>IF(OR(AN768="",AN768=7),"","P")</f>
        <v/>
      </c>
      <c r="AU982" s="36">
        <f>IF(OR(AN768="",AN768&gt;=6),"","P")</f>
        <v/>
      </c>
    </row>
    <row r="983" hidden="1" outlineLevel="1" ht="15" customHeight="1" s="15">
      <c r="AT983" s="36">
        <f>IF(OR(AN768="",AN768=7),"","D")</f>
        <v/>
      </c>
      <c r="AU983" s="36">
        <f>IF(OR(AN768="",AN768&gt;=6),"","D")</f>
        <v/>
      </c>
    </row>
    <row r="984" hidden="1" outlineLevel="1" ht="15" customHeight="1" s="15">
      <c r="AT984" s="36">
        <f>IF(OR(AN768="",AN768=7),"","A")</f>
        <v/>
      </c>
      <c r="AU984" s="36">
        <f>IF(OR(AN768="",AN768&gt;=6),"","A")</f>
        <v/>
      </c>
    </row>
    <row r="985" hidden="1" outlineLevel="1" ht="15" customHeight="1" s="15">
      <c r="AT985" s="36">
        <f>IF(OR(AN768="",AN768=7),"","F")</f>
        <v/>
      </c>
      <c r="AU985" s="36">
        <f>IF(OR(AN768="",AN768&gt;=6),"","F")</f>
        <v/>
      </c>
    </row>
    <row r="986" hidden="1" outlineLevel="1" ht="15" customHeight="1" s="15">
      <c r="AT986" s="36">
        <f>IF(OR(AN768="",AN768=7),"","C")</f>
        <v/>
      </c>
      <c r="AU986" s="36">
        <f>IF(OR(AN768="",AN768&gt;=6),"","C")</f>
        <v/>
      </c>
    </row>
    <row r="987" hidden="1" outlineLevel="1" ht="15" customHeight="1" s="15">
      <c r="AT987" s="36">
        <f>IF(AND(AN768&lt;&gt;"",AN768=7),"R","")</f>
        <v/>
      </c>
      <c r="AU987" s="36">
        <f>IF(AND(AN768&lt;&gt;"",AN768&gt;=6),"R","")</f>
        <v/>
      </c>
    </row>
    <row r="988" hidden="1" outlineLevel="1" ht="15" customHeight="1" s="15">
      <c r="AT988" s="36">
        <f>IF(OR(AO768="",AO768=7),"","P")</f>
        <v/>
      </c>
      <c r="AU988" s="36">
        <f>IF(OR(AO768="",AO768&gt;=6),"","P")</f>
        <v/>
      </c>
    </row>
    <row r="989" hidden="1" outlineLevel="1" ht="15" customHeight="1" s="15">
      <c r="AT989" s="36">
        <f>IF(OR(AO768="",AO768=7),"","D")</f>
        <v/>
      </c>
      <c r="AU989" s="36">
        <f>IF(OR(AO768="",AO768&gt;=6),"","D")</f>
        <v/>
      </c>
    </row>
    <row r="990" hidden="1" outlineLevel="1" ht="15" customHeight="1" s="15">
      <c r="AT990" s="36">
        <f>IF(OR(AO768="",AO768=7),"","A")</f>
        <v/>
      </c>
      <c r="AU990" s="36">
        <f>IF(OR(AO768="",AO768&gt;=6),"","A")</f>
        <v/>
      </c>
    </row>
    <row r="991" hidden="1" outlineLevel="1" ht="15" customHeight="1" s="15">
      <c r="AT991" s="36">
        <f>IF(OR(AO768="",AO768=7),"","F")</f>
        <v/>
      </c>
      <c r="AU991" s="36">
        <f>IF(OR(AO768="",AO768&gt;=6),"","F")</f>
        <v/>
      </c>
    </row>
    <row r="992" hidden="1" outlineLevel="1" ht="15" customHeight="1" s="15">
      <c r="AT992" s="36">
        <f>IF(OR(AO768="",AO768=7),"","C")</f>
        <v/>
      </c>
      <c r="AU992" s="36">
        <f>IF(OR(AO768="",AO768&gt;=6),"","C")</f>
        <v/>
      </c>
    </row>
    <row r="993" hidden="1" outlineLevel="1" ht="15" customHeight="1" s="15">
      <c r="AT993" s="36">
        <f>IF(AND(AO768&lt;&gt;"",AO768=7),"R","")</f>
        <v/>
      </c>
      <c r="AU993" s="36">
        <f>IF(AND(AO768&lt;&gt;"",AO768&gt;=6),"R","")</f>
        <v/>
      </c>
    </row>
    <row r="994" hidden="1" outlineLevel="1" ht="15" customHeight="1" s="15">
      <c r="AT994" s="36">
        <f>IF(OR(AP768="",AP768=7),"","P")</f>
        <v/>
      </c>
      <c r="AU994" s="36">
        <f>IF(OR(AP768="",AP768&gt;=6),"","P")</f>
        <v/>
      </c>
    </row>
    <row r="995" hidden="1" outlineLevel="1" ht="15" customHeight="1" s="15">
      <c r="AT995" s="36">
        <f>IF(OR(AP768="",AP768=7),"","D")</f>
        <v/>
      </c>
      <c r="AU995" s="36">
        <f>IF(OR(AP768="",AP768&gt;=6),"","D")</f>
        <v/>
      </c>
    </row>
    <row r="996" hidden="1" outlineLevel="1" ht="15" customHeight="1" s="15">
      <c r="AT996" s="36">
        <f>IF(OR(AP768="",AP768=7),"","A")</f>
        <v/>
      </c>
      <c r="AU996" s="36">
        <f>IF(OR(AP768="",AP768&gt;=6),"","A")</f>
        <v/>
      </c>
    </row>
    <row r="997" hidden="1" outlineLevel="1" ht="15" customHeight="1" s="15">
      <c r="AT997" s="36">
        <f>IF(OR(AP768="",AP768=7),"","F")</f>
        <v/>
      </c>
      <c r="AU997" s="36">
        <f>IF(OR(AP768="",AP768&gt;=6),"","F")</f>
        <v/>
      </c>
    </row>
    <row r="998" hidden="1" outlineLevel="1" ht="15" customHeight="1" s="15">
      <c r="AT998" s="36">
        <f>IF(OR(AP768="",AP768=7),"","C")</f>
        <v/>
      </c>
      <c r="AU998" s="36">
        <f>IF(OR(AP768="",AP768&gt;=6),"","C")</f>
        <v/>
      </c>
    </row>
    <row r="999" hidden="1" outlineLevel="1" ht="15" customHeight="1" s="15">
      <c r="AT999" s="36">
        <f>IF(AND(AP768&lt;&gt;"",AP768=7),"R","")</f>
        <v/>
      </c>
      <c r="AU999" s="36">
        <f>IF(AND(AP768&lt;&gt;"",AP768&gt;=6),"R","")</f>
        <v/>
      </c>
    </row>
    <row r="1000" hidden="1" outlineLevel="1" ht="15" customHeight="1" s="15">
      <c r="AT1000" s="36">
        <f>IF(OR(AQ768="",AQ768=7),"","P")</f>
        <v/>
      </c>
      <c r="AU1000" s="36">
        <f>IF(OR(AQ768="",AQ768&gt;=6),"","P")</f>
        <v/>
      </c>
    </row>
    <row r="1001" hidden="1" outlineLevel="1" ht="15" customHeight="1" s="15">
      <c r="AT1001" s="36">
        <f>IF(OR(AQ768="",AQ768=7),"","D")</f>
        <v/>
      </c>
      <c r="AU1001" s="36">
        <f>IF(OR(AQ768="",AQ768&gt;=6),"","D")</f>
        <v/>
      </c>
    </row>
    <row r="1002" hidden="1" outlineLevel="1" ht="15" customHeight="1" s="15">
      <c r="AT1002" s="36">
        <f>IF(OR(AQ768="",AQ768=7),"","A")</f>
        <v/>
      </c>
      <c r="AU1002" s="36">
        <f>IF(OR(AQ768="",AQ768&gt;=6),"","A")</f>
        <v/>
      </c>
    </row>
    <row r="1003" hidden="1" outlineLevel="1" ht="15" customHeight="1" s="15">
      <c r="AT1003" s="36">
        <f>IF(OR(AQ768="",AQ768=7),"","F")</f>
        <v/>
      </c>
      <c r="AU1003" s="36">
        <f>IF(OR(AQ768="",AQ768&gt;=6),"","F")</f>
        <v/>
      </c>
    </row>
    <row r="1004" hidden="1" outlineLevel="1" ht="15" customHeight="1" s="15">
      <c r="AT1004" s="36">
        <f>IF(OR(AQ768="",AQ768=7),"","C")</f>
        <v/>
      </c>
      <c r="AU1004" s="36">
        <f>IF(OR(AQ768="",AQ768&gt;=6),"","C")</f>
        <v/>
      </c>
    </row>
    <row r="1005" hidden="1" outlineLevel="1" ht="15" customHeight="1" s="15">
      <c r="AT1005" s="36">
        <f>IF(AND(AQ768&lt;&gt;"",AQ768=7),"R","")</f>
        <v/>
      </c>
      <c r="AU1005" s="36">
        <f>IF(AND(AQ768&lt;&gt;"",AQ768&gt;=6),"R","")</f>
        <v/>
      </c>
    </row>
    <row r="1006" hidden="1" outlineLevel="1" ht="15" customHeight="1" s="15">
      <c r="AT1006" s="36">
        <f>IF(OR(AR768="",AR768=7),"","P")</f>
        <v/>
      </c>
      <c r="AU1006" s="36">
        <f>IF(OR(AR768="",AR768&gt;=6),"","P")</f>
        <v/>
      </c>
    </row>
    <row r="1007" hidden="1" outlineLevel="1" ht="15" customHeight="1" s="15">
      <c r="AT1007" s="36">
        <f>IF(OR(AR768="",AR768=7),"","D")</f>
        <v/>
      </c>
      <c r="AU1007" s="36">
        <f>IF(OR(AR768="",AR768&gt;=6),"","D")</f>
        <v/>
      </c>
    </row>
    <row r="1008" hidden="1" outlineLevel="1" ht="15" customHeight="1" s="15">
      <c r="AT1008" s="36">
        <f>IF(OR(AR768="",AR768=7),"","A")</f>
        <v/>
      </c>
      <c r="AU1008" s="36">
        <f>IF(OR(AR768="",AR768&gt;=6),"","A")</f>
        <v/>
      </c>
    </row>
    <row r="1009" hidden="1" outlineLevel="1" ht="15" customHeight="1" s="15">
      <c r="AT1009" s="36">
        <f>IF(OR(AR768="",AR768=7),"","F")</f>
        <v/>
      </c>
      <c r="AU1009" s="36">
        <f>IF(OR(AR768="",AR768&gt;=6),"","F")</f>
        <v/>
      </c>
    </row>
    <row r="1010" hidden="1" outlineLevel="1" ht="15" customHeight="1" s="15">
      <c r="AT1010" s="36">
        <f>IF(OR(AR768="",AR768=7),"","C")</f>
        <v/>
      </c>
      <c r="AU1010" s="36">
        <f>IF(OR(AR768="",AR768&gt;=6),"","C")</f>
        <v/>
      </c>
    </row>
    <row r="1011" hidden="1" outlineLevel="1" ht="15" customHeight="1" s="15">
      <c r="AT1011" s="36">
        <f>IF(AND(AR768&lt;&gt;"",AR768=7),"R","")</f>
        <v/>
      </c>
      <c r="AU1011" s="36">
        <f>IF(AND(AR768&lt;&gt;"",AR768&gt;=6),"R","")</f>
        <v/>
      </c>
    </row>
    <row r="1012" hidden="1" outlineLevel="1" ht="15" customHeight="1" s="15">
      <c r="AT1012" s="36">
        <f>IF(OR(AS768="",AS768=7),"","P")</f>
        <v/>
      </c>
      <c r="AU1012" s="36">
        <f>IF(OR(AS768="",AS768&gt;=6),"","P")</f>
        <v/>
      </c>
    </row>
    <row r="1013" hidden="1" outlineLevel="1" ht="15" customHeight="1" s="15">
      <c r="AT1013" s="36">
        <f>IF(OR(AS768="",AS768=7),"","D")</f>
        <v/>
      </c>
      <c r="AU1013" s="36">
        <f>IF(OR(AS768="",AS768&gt;=6),"","D")</f>
        <v/>
      </c>
    </row>
    <row r="1014" hidden="1" outlineLevel="1" ht="15" customHeight="1" s="15">
      <c r="AT1014" s="36">
        <f>IF(OR(AS768="",AS768=7),"","A")</f>
        <v/>
      </c>
      <c r="AU1014" s="36">
        <f>IF(OR(AS768="",AS768&gt;=6),"","A")</f>
        <v/>
      </c>
    </row>
    <row r="1015" hidden="1" outlineLevel="1" ht="15" customHeight="1" s="15">
      <c r="AT1015" s="36">
        <f>IF(OR(AS768="",AS768=7),"","F")</f>
        <v/>
      </c>
      <c r="AU1015" s="36">
        <f>IF(OR(AS768="",AS768&gt;=6),"","F")</f>
        <v/>
      </c>
    </row>
    <row r="1016" hidden="1" outlineLevel="1" ht="15" customHeight="1" s="15">
      <c r="AT1016" s="36">
        <f>IF(OR(AS768="",AS768=7),"","C")</f>
        <v/>
      </c>
      <c r="AU1016" s="36">
        <f>IF(OR(AS768="",AS768&gt;=6),"","C")</f>
        <v/>
      </c>
    </row>
    <row r="1017" hidden="1" outlineLevel="1" ht="15" customHeight="1" s="15">
      <c r="AT1017" s="36">
        <f>IF(AND(AS768&lt;&gt;"",AS768=7),"R","")</f>
        <v/>
      </c>
      <c r="AU1017" s="36">
        <f>IF(AND(AS768&lt;&gt;"",AS768&gt;=6),"R","")</f>
        <v/>
      </c>
    </row>
    <row r="1018" ht="21.75" customHeight="1" s="15">
      <c r="B1018" s="6" t="inlineStr">
        <is>
          <t>ℹ  Grille de pointage Avril — P/D/A/F/C/R, jours prévus/réels/absence calculés (jours ouvrables réels, WEEKDAY). R ne se propose que le jour de repos (repos exceptionnellement travaillé, +majoration). Listes techniques et ligne de calendrier repliées par défaut.</t>
        </is>
      </c>
    </row>
    <row r="1020" ht="19.5" customHeight="1" s="15">
      <c r="B1020" s="71">
        <f>"  MAI " &amp; PARAMETRES!$C$29</f>
        <v/>
      </c>
    </row>
    <row r="1021" hidden="1" ht="15" customHeight="1" s="15">
      <c r="B1021" s="36" t="inlineStr">
        <is>
          <t>Jour sem. (technique)</t>
        </is>
      </c>
      <c r="O1021" s="37">
        <f>IF(1&gt;DAY(EOMONTH(DATE(PARAMETRES!$C$29,5,1),0)),"",WEEKDAY(DATE(PARAMETRES!$C$29,5,1),2))</f>
        <v/>
      </c>
      <c r="P1021" s="37">
        <f>IF(2&gt;DAY(EOMONTH(DATE(PARAMETRES!$C$29,5,1),0)),"",WEEKDAY(DATE(PARAMETRES!$C$29,5,2),2))</f>
        <v/>
      </c>
      <c r="Q1021" s="37">
        <f>IF(3&gt;DAY(EOMONTH(DATE(PARAMETRES!$C$29,5,1),0)),"",WEEKDAY(DATE(PARAMETRES!$C$29,5,3),2))</f>
        <v/>
      </c>
      <c r="R1021" s="37">
        <f>IF(4&gt;DAY(EOMONTH(DATE(PARAMETRES!$C$29,5,1),0)),"",WEEKDAY(DATE(PARAMETRES!$C$29,5,4),2))</f>
        <v/>
      </c>
      <c r="S1021" s="37">
        <f>IF(5&gt;DAY(EOMONTH(DATE(PARAMETRES!$C$29,5,1),0)),"",WEEKDAY(DATE(PARAMETRES!$C$29,5,5),2))</f>
        <v/>
      </c>
      <c r="T1021" s="37">
        <f>IF(6&gt;DAY(EOMONTH(DATE(PARAMETRES!$C$29,5,1),0)),"",WEEKDAY(DATE(PARAMETRES!$C$29,5,6),2))</f>
        <v/>
      </c>
      <c r="U1021" s="37">
        <f>IF(7&gt;DAY(EOMONTH(DATE(PARAMETRES!$C$29,5,1),0)),"",WEEKDAY(DATE(PARAMETRES!$C$29,5,7),2))</f>
        <v/>
      </c>
      <c r="V1021" s="37">
        <f>IF(8&gt;DAY(EOMONTH(DATE(PARAMETRES!$C$29,5,1),0)),"",WEEKDAY(DATE(PARAMETRES!$C$29,5,8),2))</f>
        <v/>
      </c>
      <c r="W1021" s="37">
        <f>IF(9&gt;DAY(EOMONTH(DATE(PARAMETRES!$C$29,5,1),0)),"",WEEKDAY(DATE(PARAMETRES!$C$29,5,9),2))</f>
        <v/>
      </c>
      <c r="X1021" s="37">
        <f>IF(10&gt;DAY(EOMONTH(DATE(PARAMETRES!$C$29,5,1),0)),"",WEEKDAY(DATE(PARAMETRES!$C$29,5,10),2))</f>
        <v/>
      </c>
      <c r="Y1021" s="37">
        <f>IF(11&gt;DAY(EOMONTH(DATE(PARAMETRES!$C$29,5,1),0)),"",WEEKDAY(DATE(PARAMETRES!$C$29,5,11),2))</f>
        <v/>
      </c>
      <c r="Z1021" s="37">
        <f>IF(12&gt;DAY(EOMONTH(DATE(PARAMETRES!$C$29,5,1),0)),"",WEEKDAY(DATE(PARAMETRES!$C$29,5,12),2))</f>
        <v/>
      </c>
      <c r="AA1021" s="37">
        <f>IF(13&gt;DAY(EOMONTH(DATE(PARAMETRES!$C$29,5,1),0)),"",WEEKDAY(DATE(PARAMETRES!$C$29,5,13),2))</f>
        <v/>
      </c>
      <c r="AB1021" s="37">
        <f>IF(14&gt;DAY(EOMONTH(DATE(PARAMETRES!$C$29,5,1),0)),"",WEEKDAY(DATE(PARAMETRES!$C$29,5,14),2))</f>
        <v/>
      </c>
      <c r="AC1021" s="37">
        <f>IF(15&gt;DAY(EOMONTH(DATE(PARAMETRES!$C$29,5,1),0)),"",WEEKDAY(DATE(PARAMETRES!$C$29,5,15),2))</f>
        <v/>
      </c>
      <c r="AD1021" s="37">
        <f>IF(16&gt;DAY(EOMONTH(DATE(PARAMETRES!$C$29,5,1),0)),"",WEEKDAY(DATE(PARAMETRES!$C$29,5,16),2))</f>
        <v/>
      </c>
      <c r="AE1021" s="37">
        <f>IF(17&gt;DAY(EOMONTH(DATE(PARAMETRES!$C$29,5,1),0)),"",WEEKDAY(DATE(PARAMETRES!$C$29,5,17),2))</f>
        <v/>
      </c>
      <c r="AF1021" s="37">
        <f>IF(18&gt;DAY(EOMONTH(DATE(PARAMETRES!$C$29,5,1),0)),"",WEEKDAY(DATE(PARAMETRES!$C$29,5,18),2))</f>
        <v/>
      </c>
      <c r="AG1021" s="37">
        <f>IF(19&gt;DAY(EOMONTH(DATE(PARAMETRES!$C$29,5,1),0)),"",WEEKDAY(DATE(PARAMETRES!$C$29,5,19),2))</f>
        <v/>
      </c>
      <c r="AH1021" s="37">
        <f>IF(20&gt;DAY(EOMONTH(DATE(PARAMETRES!$C$29,5,1),0)),"",WEEKDAY(DATE(PARAMETRES!$C$29,5,20),2))</f>
        <v/>
      </c>
      <c r="AI1021" s="37">
        <f>IF(21&gt;DAY(EOMONTH(DATE(PARAMETRES!$C$29,5,1),0)),"",WEEKDAY(DATE(PARAMETRES!$C$29,5,21),2))</f>
        <v/>
      </c>
      <c r="AJ1021" s="37">
        <f>IF(22&gt;DAY(EOMONTH(DATE(PARAMETRES!$C$29,5,1),0)),"",WEEKDAY(DATE(PARAMETRES!$C$29,5,22),2))</f>
        <v/>
      </c>
      <c r="AK1021" s="37">
        <f>IF(23&gt;DAY(EOMONTH(DATE(PARAMETRES!$C$29,5,1),0)),"",WEEKDAY(DATE(PARAMETRES!$C$29,5,23),2))</f>
        <v/>
      </c>
      <c r="AL1021" s="37">
        <f>IF(24&gt;DAY(EOMONTH(DATE(PARAMETRES!$C$29,5,1),0)),"",WEEKDAY(DATE(PARAMETRES!$C$29,5,24),2))</f>
        <v/>
      </c>
      <c r="AM1021" s="37">
        <f>IF(25&gt;DAY(EOMONTH(DATE(PARAMETRES!$C$29,5,1),0)),"",WEEKDAY(DATE(PARAMETRES!$C$29,5,25),2))</f>
        <v/>
      </c>
      <c r="AN1021" s="37">
        <f>IF(26&gt;DAY(EOMONTH(DATE(PARAMETRES!$C$29,5,1),0)),"",WEEKDAY(DATE(PARAMETRES!$C$29,5,26),2))</f>
        <v/>
      </c>
      <c r="AO1021" s="37">
        <f>IF(27&gt;DAY(EOMONTH(DATE(PARAMETRES!$C$29,5,1),0)),"",WEEKDAY(DATE(PARAMETRES!$C$29,5,27),2))</f>
        <v/>
      </c>
      <c r="AP1021" s="37">
        <f>IF(28&gt;DAY(EOMONTH(DATE(PARAMETRES!$C$29,5,1),0)),"",WEEKDAY(DATE(PARAMETRES!$C$29,5,28),2))</f>
        <v/>
      </c>
      <c r="AQ1021" s="37">
        <f>IF(29&gt;DAY(EOMONTH(DATE(PARAMETRES!$C$29,5,1),0)),"",WEEKDAY(DATE(PARAMETRES!$C$29,5,29),2))</f>
        <v/>
      </c>
      <c r="AR1021" s="37">
        <f>IF(30&gt;DAY(EOMONTH(DATE(PARAMETRES!$C$29,5,1),0)),"",WEEKDAY(DATE(PARAMETRES!$C$29,5,30),2))</f>
        <v/>
      </c>
      <c r="AS1021" s="37">
        <f>IF(31&gt;DAY(EOMONTH(DATE(PARAMETRES!$C$29,5,1),0)),"",WEEKDAY(DATE(PARAMETRES!$C$29,5,31),2))</f>
        <v/>
      </c>
    </row>
    <row r="1022" ht="15" customHeight="1" s="15">
      <c r="B1022" s="38" t="inlineStr">
        <is>
          <t>Jour</t>
        </is>
      </c>
      <c r="O1022" s="39">
        <f>IF(O1021="","",CHOOSE(O1021,"L","M","M","J","V","S","D"))</f>
        <v/>
      </c>
      <c r="P1022" s="39">
        <f>IF(P1021="","",CHOOSE(P1021,"L","M","M","J","V","S","D"))</f>
        <v/>
      </c>
      <c r="Q1022" s="39">
        <f>IF(Q1021="","",CHOOSE(Q1021,"L","M","M","J","V","S","D"))</f>
        <v/>
      </c>
      <c r="R1022" s="39">
        <f>IF(R1021="","",CHOOSE(R1021,"L","M","M","J","V","S","D"))</f>
        <v/>
      </c>
      <c r="S1022" s="39">
        <f>IF(S1021="","",CHOOSE(S1021,"L","M","M","J","V","S","D"))</f>
        <v/>
      </c>
      <c r="T1022" s="39">
        <f>IF(T1021="","",CHOOSE(T1021,"L","M","M","J","V","S","D"))</f>
        <v/>
      </c>
      <c r="U1022" s="39">
        <f>IF(U1021="","",CHOOSE(U1021,"L","M","M","J","V","S","D"))</f>
        <v/>
      </c>
      <c r="V1022" s="39">
        <f>IF(V1021="","",CHOOSE(V1021,"L","M","M","J","V","S","D"))</f>
        <v/>
      </c>
      <c r="W1022" s="39">
        <f>IF(W1021="","",CHOOSE(W1021,"L","M","M","J","V","S","D"))</f>
        <v/>
      </c>
      <c r="X1022" s="39">
        <f>IF(X1021="","",CHOOSE(X1021,"L","M","M","J","V","S","D"))</f>
        <v/>
      </c>
      <c r="Y1022" s="39">
        <f>IF(Y1021="","",CHOOSE(Y1021,"L","M","M","J","V","S","D"))</f>
        <v/>
      </c>
      <c r="Z1022" s="39">
        <f>IF(Z1021="","",CHOOSE(Z1021,"L","M","M","J","V","S","D"))</f>
        <v/>
      </c>
      <c r="AA1022" s="39">
        <f>IF(AA1021="","",CHOOSE(AA1021,"L","M","M","J","V","S","D"))</f>
        <v/>
      </c>
      <c r="AB1022" s="39">
        <f>IF(AB1021="","",CHOOSE(AB1021,"L","M","M","J","V","S","D"))</f>
        <v/>
      </c>
      <c r="AC1022" s="39">
        <f>IF(AC1021="","",CHOOSE(AC1021,"L","M","M","J","V","S","D"))</f>
        <v/>
      </c>
      <c r="AD1022" s="39">
        <f>IF(AD1021="","",CHOOSE(AD1021,"L","M","M","J","V","S","D"))</f>
        <v/>
      </c>
      <c r="AE1022" s="39">
        <f>IF(AE1021="","",CHOOSE(AE1021,"L","M","M","J","V","S","D"))</f>
        <v/>
      </c>
      <c r="AF1022" s="39">
        <f>IF(AF1021="","",CHOOSE(AF1021,"L","M","M","J","V","S","D"))</f>
        <v/>
      </c>
      <c r="AG1022" s="39">
        <f>IF(AG1021="","",CHOOSE(AG1021,"L","M","M","J","V","S","D"))</f>
        <v/>
      </c>
      <c r="AH1022" s="39">
        <f>IF(AH1021="","",CHOOSE(AH1021,"L","M","M","J","V","S","D"))</f>
        <v/>
      </c>
      <c r="AI1022" s="39">
        <f>IF(AI1021="","",CHOOSE(AI1021,"L","M","M","J","V","S","D"))</f>
        <v/>
      </c>
      <c r="AJ1022" s="39">
        <f>IF(AJ1021="","",CHOOSE(AJ1021,"L","M","M","J","V","S","D"))</f>
        <v/>
      </c>
      <c r="AK1022" s="39">
        <f>IF(AK1021="","",CHOOSE(AK1021,"L","M","M","J","V","S","D"))</f>
        <v/>
      </c>
      <c r="AL1022" s="39">
        <f>IF(AL1021="","",CHOOSE(AL1021,"L","M","M","J","V","S","D"))</f>
        <v/>
      </c>
      <c r="AM1022" s="39">
        <f>IF(AM1021="","",CHOOSE(AM1021,"L","M","M","J","V","S","D"))</f>
        <v/>
      </c>
      <c r="AN1022" s="39">
        <f>IF(AN1021="","",CHOOSE(AN1021,"L","M","M","J","V","S","D"))</f>
        <v/>
      </c>
      <c r="AO1022" s="39">
        <f>IF(AO1021="","",CHOOSE(AO1021,"L","M","M","J","V","S","D"))</f>
        <v/>
      </c>
      <c r="AP1022" s="39">
        <f>IF(AP1021="","",CHOOSE(AP1021,"L","M","M","J","V","S","D"))</f>
        <v/>
      </c>
      <c r="AQ1022" s="39">
        <f>IF(AQ1021="","",CHOOSE(AQ1021,"L","M","M","J","V","S","D"))</f>
        <v/>
      </c>
      <c r="AR1022" s="39">
        <f>IF(AR1021="","",CHOOSE(AR1021,"L","M","M","J","V","S","D"))</f>
        <v/>
      </c>
      <c r="AS1022" s="39">
        <f>IF(AS1021="","",CHOOSE(AS1021,"L","M","M","J","V","S","D"))</f>
        <v/>
      </c>
    </row>
    <row r="1023" ht="24" customHeight="1" s="15">
      <c r="B1023" s="40" t="inlineStr">
        <is>
          <t>Mois</t>
        </is>
      </c>
      <c r="C1023" s="40" t="inlineStr">
        <is>
          <t>Matricule</t>
        </is>
      </c>
      <c r="D1023" s="40" t="inlineStr">
        <is>
          <t>Nom complet</t>
        </is>
      </c>
      <c r="E1023" s="40" t="inlineStr">
        <is>
          <t>Heures
sup.</t>
        </is>
      </c>
      <c r="F1023" s="40" t="inlineStr">
        <is>
          <t>Primes
(CDF)</t>
        </is>
      </c>
      <c r="G1023" s="40" t="inlineStr">
        <is>
          <t>Jours
abs.</t>
        </is>
      </c>
      <c r="H1023" s="40" t="inlineStr">
        <is>
          <t>Avance
(CDF)</t>
        </is>
      </c>
      <c r="I1023" s="40" t="inlineStr">
        <is>
          <t>Contrôle
auto.</t>
        </is>
      </c>
      <c r="J1023" s="40" t="inlineStr">
        <is>
          <t>Retenues
(CDF)</t>
        </is>
      </c>
      <c r="K1023" s="40" t="inlineStr">
        <is>
          <t>Motif</t>
        </is>
      </c>
      <c r="L1023" s="40" t="inlineStr">
        <is>
          <t>Observ.</t>
        </is>
      </c>
      <c r="M1023" s="40" t="inlineStr">
        <is>
          <t>Jours
prévus</t>
        </is>
      </c>
      <c r="N1023" s="40" t="inlineStr">
        <is>
          <t>Jours
réels</t>
        </is>
      </c>
      <c r="O1023" s="40" t="n">
        <v>1</v>
      </c>
      <c r="P1023" s="40" t="n">
        <v>2</v>
      </c>
      <c r="Q1023" s="40" t="n">
        <v>3</v>
      </c>
      <c r="R1023" s="40" t="n">
        <v>4</v>
      </c>
      <c r="S1023" s="40" t="n">
        <v>5</v>
      </c>
      <c r="T1023" s="40" t="n">
        <v>6</v>
      </c>
      <c r="U1023" s="40" t="n">
        <v>7</v>
      </c>
      <c r="V1023" s="40" t="n">
        <v>8</v>
      </c>
      <c r="W1023" s="40" t="n">
        <v>9</v>
      </c>
      <c r="X1023" s="40" t="n">
        <v>10</v>
      </c>
      <c r="Y1023" s="40" t="n">
        <v>11</v>
      </c>
      <c r="Z1023" s="40" t="n">
        <v>12</v>
      </c>
      <c r="AA1023" s="40" t="n">
        <v>13</v>
      </c>
      <c r="AB1023" s="40" t="n">
        <v>14</v>
      </c>
      <c r="AC1023" s="40" t="n">
        <v>15</v>
      </c>
      <c r="AD1023" s="40" t="n">
        <v>16</v>
      </c>
      <c r="AE1023" s="40" t="n">
        <v>17</v>
      </c>
      <c r="AF1023" s="40" t="n">
        <v>18</v>
      </c>
      <c r="AG1023" s="40" t="n">
        <v>19</v>
      </c>
      <c r="AH1023" s="40" t="n">
        <v>20</v>
      </c>
      <c r="AI1023" s="40" t="n">
        <v>21</v>
      </c>
      <c r="AJ1023" s="40" t="n">
        <v>22</v>
      </c>
      <c r="AK1023" s="40" t="n">
        <v>23</v>
      </c>
      <c r="AL1023" s="40" t="n">
        <v>24</v>
      </c>
      <c r="AM1023" s="40" t="n">
        <v>25</v>
      </c>
      <c r="AN1023" s="40" t="n">
        <v>26</v>
      </c>
      <c r="AO1023" s="40" t="n">
        <v>27</v>
      </c>
      <c r="AP1023" s="40" t="n">
        <v>28</v>
      </c>
      <c r="AQ1023" s="40" t="n">
        <v>29</v>
      </c>
      <c r="AR1023" s="40" t="n">
        <v>30</v>
      </c>
      <c r="AS1023" s="40" t="n">
        <v>31</v>
      </c>
      <c r="AY1023" s="40" t="inlineStr">
        <is>
          <t>Heures
nuit</t>
        </is>
      </c>
    </row>
    <row r="1024" hidden="1" outlineLevel="1" ht="15" customHeight="1" s="15">
      <c r="B1024" s="41" t="n">
        <v>5</v>
      </c>
      <c r="C1024" s="42">
        <f>IF(EMPLOYES!C15="","",EMPLOYES!C15)</f>
        <v/>
      </c>
      <c r="D1024" s="43">
        <f>IF(EMPLOYES!C15="","",EMPLOYES!D15)</f>
        <v/>
      </c>
      <c r="E1024" s="44" t="n"/>
      <c r="F1024" s="42" t="n"/>
      <c r="G1024" s="41">
        <f>IF($C1024="",0,MAX(0,$M1024-$N1024))</f>
        <v/>
      </c>
      <c r="H1024" s="45" t="n"/>
      <c r="I1024" s="41">
        <f>IF($C1024="","",IF(H1024="","OK",IF(H1024&gt;EMPLOYES!P15,"⚠ Avance &gt; salaire",IF(H1024&gt;EMPLOYES!P15*PARAMETRES!$C$218,"⚠ Avance élevée","OK"))))</f>
        <v/>
      </c>
      <c r="J1024" s="45" t="n"/>
      <c r="K1024" s="46" t="n"/>
      <c r="L1024" s="46" t="n"/>
      <c r="M1024" s="41">
        <f>IF($C1024="","",SUMPRODUCT((PARAMETRES!$B$38:$B$157=PARAMETRES!$C$29)*(PARAMETRES!$C$38:$C$157=5)*(IF(EMPLOYES!M15="5j",PARAMETRES!$I$38:$I$157,PARAMETRES!$H$38:$H$157))))</f>
        <v/>
      </c>
      <c r="N1024" s="41">
        <f>IF($C1024="","",SUMPRODUCT((O1024:AS1024="P")+(O1024:AS1024="F")+(O1024:AS1024="C")+0.5*(O1024:AS1024="D"),(1-((O1021:AS1021=6)*(EMPLOYES!M15="5j")))))</f>
        <v/>
      </c>
      <c r="O1024" s="46" t="n"/>
      <c r="P1024" s="46" t="n"/>
      <c r="Q1024" s="46" t="n"/>
      <c r="R1024" s="46" t="n"/>
      <c r="S1024" s="46" t="n"/>
      <c r="T1024" s="46" t="n"/>
      <c r="U1024" s="46" t="n"/>
      <c r="V1024" s="46" t="n"/>
      <c r="W1024" s="46" t="n"/>
      <c r="X1024" s="46" t="n"/>
      <c r="Y1024" s="46" t="n"/>
      <c r="Z1024" s="46" t="n"/>
      <c r="AA1024" s="46" t="n"/>
      <c r="AB1024" s="46" t="n"/>
      <c r="AC1024" s="46" t="n"/>
      <c r="AD1024" s="46" t="n"/>
      <c r="AE1024" s="46" t="n"/>
      <c r="AF1024" s="46" t="n"/>
      <c r="AG1024" s="46" t="n"/>
      <c r="AH1024" s="46" t="n"/>
      <c r="AI1024" s="46" t="n"/>
      <c r="AJ1024" s="46" t="n"/>
      <c r="AK1024" s="46" t="n"/>
      <c r="AL1024" s="46" t="n"/>
      <c r="AM1024" s="46" t="n"/>
      <c r="AN1024" s="46" t="n"/>
      <c r="AO1024" s="46" t="n"/>
      <c r="AP1024" s="46" t="n"/>
      <c r="AQ1024" s="46" t="n"/>
      <c r="AR1024" s="46" t="n"/>
      <c r="AS1024" s="46" t="n"/>
      <c r="AV1024" s="36">
        <f>IF($C1024="","",EMPLOYES!M15)</f>
        <v/>
      </c>
      <c r="AW1024" s="36">
        <f>IF($C1024="",0,SUMPRODUCT(--(O1024:AS1024="C")))</f>
        <v/>
      </c>
      <c r="AX1024" s="36">
        <f>IF($C1024="",0,SUMPRODUCT(--(O1024:AS1024="R")))</f>
        <v/>
      </c>
      <c r="AY1024" s="44" t="n"/>
    </row>
    <row r="1025" hidden="1" outlineLevel="1" ht="15" customHeight="1" s="15">
      <c r="B1025" s="41" t="n">
        <v>5</v>
      </c>
      <c r="C1025" s="42">
        <f>IF(EMPLOYES!C16="","",EMPLOYES!C16)</f>
        <v/>
      </c>
      <c r="D1025" s="43">
        <f>IF(EMPLOYES!C16="","",EMPLOYES!D16)</f>
        <v/>
      </c>
      <c r="E1025" s="44" t="n"/>
      <c r="F1025" s="42" t="n"/>
      <c r="G1025" s="41">
        <f>IF($C1025="",0,MAX(0,$M1025-$N1025))</f>
        <v/>
      </c>
      <c r="H1025" s="45" t="n"/>
      <c r="I1025" s="41">
        <f>IF($C1025="","",IF(H1025="","OK",IF(H1025&gt;EMPLOYES!P16,"⚠ Avance &gt; salaire",IF(H1025&gt;EMPLOYES!P16*PARAMETRES!$C$218,"⚠ Avance élevée","OK"))))</f>
        <v/>
      </c>
      <c r="J1025" s="45" t="n"/>
      <c r="K1025" s="46" t="n"/>
      <c r="L1025" s="46" t="n"/>
      <c r="M1025" s="41">
        <f>IF($C1025="","",SUMPRODUCT((PARAMETRES!$B$38:$B$157=PARAMETRES!$C$29)*(PARAMETRES!$C$38:$C$157=5)*(IF(EMPLOYES!M16="5j",PARAMETRES!$I$38:$I$157,PARAMETRES!$H$38:$H$157))))</f>
        <v/>
      </c>
      <c r="N1025" s="41">
        <f>IF($C1025="","",SUMPRODUCT((O1025:AS1025="P")+(O1025:AS1025="F")+(O1025:AS1025="C")+0.5*(O1025:AS1025="D"),(1-((O1021:AS1021=6)*(EMPLOYES!M16="5j")))))</f>
        <v/>
      </c>
      <c r="O1025" s="46" t="n"/>
      <c r="P1025" s="46" t="n"/>
      <c r="Q1025" s="46" t="n"/>
      <c r="R1025" s="46" t="n"/>
      <c r="S1025" s="46" t="n"/>
      <c r="T1025" s="46" t="n"/>
      <c r="U1025" s="46" t="n"/>
      <c r="V1025" s="46" t="n"/>
      <c r="W1025" s="46" t="n"/>
      <c r="X1025" s="46" t="n"/>
      <c r="Y1025" s="46" t="n"/>
      <c r="Z1025" s="46" t="n"/>
      <c r="AA1025" s="46" t="n"/>
      <c r="AB1025" s="46" t="n"/>
      <c r="AC1025" s="46" t="n"/>
      <c r="AD1025" s="46" t="n"/>
      <c r="AE1025" s="46" t="n"/>
      <c r="AF1025" s="46" t="n"/>
      <c r="AG1025" s="46" t="n"/>
      <c r="AH1025" s="46" t="n"/>
      <c r="AI1025" s="46" t="n"/>
      <c r="AJ1025" s="46" t="n"/>
      <c r="AK1025" s="46" t="n"/>
      <c r="AL1025" s="46" t="n"/>
      <c r="AM1025" s="46" t="n"/>
      <c r="AN1025" s="46" t="n"/>
      <c r="AO1025" s="46" t="n"/>
      <c r="AP1025" s="46" t="n"/>
      <c r="AQ1025" s="46" t="n"/>
      <c r="AR1025" s="46" t="n"/>
      <c r="AS1025" s="46" t="n"/>
      <c r="AV1025" s="36">
        <f>IF($C1025="","",EMPLOYES!M16)</f>
        <v/>
      </c>
      <c r="AW1025" s="36">
        <f>IF($C1025="",0,SUMPRODUCT(--(O1025:AS1025="C")))</f>
        <v/>
      </c>
      <c r="AX1025" s="36">
        <f>IF($C1025="",0,SUMPRODUCT(--(O1025:AS1025="R")))</f>
        <v/>
      </c>
      <c r="AY1025" s="44" t="n"/>
    </row>
    <row r="1026" hidden="1" outlineLevel="1" ht="15" customHeight="1" s="15">
      <c r="B1026" s="41" t="n">
        <v>5</v>
      </c>
      <c r="C1026" s="42">
        <f>IF(EMPLOYES!C17="","",EMPLOYES!C17)</f>
        <v/>
      </c>
      <c r="D1026" s="43">
        <f>IF(EMPLOYES!C17="","",EMPLOYES!D17)</f>
        <v/>
      </c>
      <c r="E1026" s="44" t="n"/>
      <c r="F1026" s="42" t="n"/>
      <c r="G1026" s="41">
        <f>IF($C1026="",0,MAX(0,$M1026-$N1026))</f>
        <v/>
      </c>
      <c r="H1026" s="45" t="n"/>
      <c r="I1026" s="41">
        <f>IF($C1026="","",IF(H1026="","OK",IF(H1026&gt;EMPLOYES!P17,"⚠ Avance &gt; salaire",IF(H1026&gt;EMPLOYES!P17*PARAMETRES!$C$218,"⚠ Avance élevée","OK"))))</f>
        <v/>
      </c>
      <c r="J1026" s="45" t="n"/>
      <c r="K1026" s="46" t="n"/>
      <c r="L1026" s="46" t="n"/>
      <c r="M1026" s="41">
        <f>IF($C1026="","",SUMPRODUCT((PARAMETRES!$B$38:$B$157=PARAMETRES!$C$29)*(PARAMETRES!$C$38:$C$157=5)*(IF(EMPLOYES!M17="5j",PARAMETRES!$I$38:$I$157,PARAMETRES!$H$38:$H$157))))</f>
        <v/>
      </c>
      <c r="N1026" s="41">
        <f>IF($C1026="","",SUMPRODUCT((O1026:AS1026="P")+(O1026:AS1026="F")+(O1026:AS1026="C")+0.5*(O1026:AS1026="D"),(1-((O1021:AS1021=6)*(EMPLOYES!M17="5j")))))</f>
        <v/>
      </c>
      <c r="O1026" s="46" t="n"/>
      <c r="P1026" s="46" t="n"/>
      <c r="Q1026" s="46" t="n"/>
      <c r="R1026" s="46" t="n"/>
      <c r="S1026" s="46" t="n"/>
      <c r="T1026" s="46" t="n"/>
      <c r="U1026" s="46" t="n"/>
      <c r="V1026" s="46" t="n"/>
      <c r="W1026" s="46" t="n"/>
      <c r="X1026" s="46" t="n"/>
      <c r="Y1026" s="46" t="n"/>
      <c r="Z1026" s="46" t="n"/>
      <c r="AA1026" s="46" t="n"/>
      <c r="AB1026" s="46" t="n"/>
      <c r="AC1026" s="46" t="n"/>
      <c r="AD1026" s="46" t="n"/>
      <c r="AE1026" s="46" t="n"/>
      <c r="AF1026" s="46" t="n"/>
      <c r="AG1026" s="46" t="n"/>
      <c r="AH1026" s="46" t="n"/>
      <c r="AI1026" s="46" t="n"/>
      <c r="AJ1026" s="46" t="n"/>
      <c r="AK1026" s="46" t="n"/>
      <c r="AL1026" s="46" t="n"/>
      <c r="AM1026" s="46" t="n"/>
      <c r="AN1026" s="46" t="n"/>
      <c r="AO1026" s="46" t="n"/>
      <c r="AP1026" s="46" t="n"/>
      <c r="AQ1026" s="46" t="n"/>
      <c r="AR1026" s="46" t="n"/>
      <c r="AS1026" s="46" t="n"/>
      <c r="AV1026" s="36">
        <f>IF($C1026="","",EMPLOYES!M17)</f>
        <v/>
      </c>
      <c r="AW1026" s="36">
        <f>IF($C1026="",0,SUMPRODUCT(--(O1026:AS1026="C")))</f>
        <v/>
      </c>
      <c r="AX1026" s="36">
        <f>IF($C1026="",0,SUMPRODUCT(--(O1026:AS1026="R")))</f>
        <v/>
      </c>
      <c r="AY1026" s="44" t="n"/>
    </row>
    <row r="1027" hidden="1" outlineLevel="1" ht="15" customHeight="1" s="15">
      <c r="B1027" s="41" t="n">
        <v>5</v>
      </c>
      <c r="C1027" s="42">
        <f>IF(EMPLOYES!C18="","",EMPLOYES!C18)</f>
        <v/>
      </c>
      <c r="D1027" s="43">
        <f>IF(EMPLOYES!C18="","",EMPLOYES!D18)</f>
        <v/>
      </c>
      <c r="E1027" s="44" t="n"/>
      <c r="F1027" s="42" t="n"/>
      <c r="G1027" s="41">
        <f>IF($C1027="",0,MAX(0,$M1027-$N1027))</f>
        <v/>
      </c>
      <c r="H1027" s="45" t="n"/>
      <c r="I1027" s="41">
        <f>IF($C1027="","",IF(H1027="","OK",IF(H1027&gt;EMPLOYES!P18,"⚠ Avance &gt; salaire",IF(H1027&gt;EMPLOYES!P18*PARAMETRES!$C$218,"⚠ Avance élevée","OK"))))</f>
        <v/>
      </c>
      <c r="J1027" s="45" t="n"/>
      <c r="K1027" s="46" t="n"/>
      <c r="L1027" s="46" t="n"/>
      <c r="M1027" s="41">
        <f>IF($C1027="","",SUMPRODUCT((PARAMETRES!$B$38:$B$157=PARAMETRES!$C$29)*(PARAMETRES!$C$38:$C$157=5)*(IF(EMPLOYES!M18="5j",PARAMETRES!$I$38:$I$157,PARAMETRES!$H$38:$H$157))))</f>
        <v/>
      </c>
      <c r="N1027" s="41">
        <f>IF($C1027="","",SUMPRODUCT((O1027:AS1027="P")+(O1027:AS1027="F")+(O1027:AS1027="C")+0.5*(O1027:AS1027="D"),(1-((O1021:AS1021=6)*(EMPLOYES!M18="5j")))))</f>
        <v/>
      </c>
      <c r="O1027" s="46" t="n"/>
      <c r="P1027" s="46" t="n"/>
      <c r="Q1027" s="46" t="n"/>
      <c r="R1027" s="46" t="n"/>
      <c r="S1027" s="46" t="n"/>
      <c r="T1027" s="46" t="n"/>
      <c r="U1027" s="46" t="n"/>
      <c r="V1027" s="46" t="n"/>
      <c r="W1027" s="46" t="n"/>
      <c r="X1027" s="46" t="n"/>
      <c r="Y1027" s="46" t="n"/>
      <c r="Z1027" s="46" t="n"/>
      <c r="AA1027" s="46" t="n"/>
      <c r="AB1027" s="46" t="n"/>
      <c r="AC1027" s="46" t="n"/>
      <c r="AD1027" s="46" t="n"/>
      <c r="AE1027" s="46" t="n"/>
      <c r="AF1027" s="46" t="n"/>
      <c r="AG1027" s="46" t="n"/>
      <c r="AH1027" s="46" t="n"/>
      <c r="AI1027" s="46" t="n"/>
      <c r="AJ1027" s="46" t="n"/>
      <c r="AK1027" s="46" t="n"/>
      <c r="AL1027" s="46" t="n"/>
      <c r="AM1027" s="46" t="n"/>
      <c r="AN1027" s="46" t="n"/>
      <c r="AO1027" s="46" t="n"/>
      <c r="AP1027" s="46" t="n"/>
      <c r="AQ1027" s="46" t="n"/>
      <c r="AR1027" s="46" t="n"/>
      <c r="AS1027" s="46" t="n"/>
      <c r="AV1027" s="36">
        <f>IF($C1027="","",EMPLOYES!M18)</f>
        <v/>
      </c>
      <c r="AW1027" s="36">
        <f>IF($C1027="",0,SUMPRODUCT(--(O1027:AS1027="C")))</f>
        <v/>
      </c>
      <c r="AX1027" s="36">
        <f>IF($C1027="",0,SUMPRODUCT(--(O1027:AS1027="R")))</f>
        <v/>
      </c>
      <c r="AY1027" s="44" t="n"/>
    </row>
    <row r="1028" hidden="1" outlineLevel="1" ht="15" customHeight="1" s="15">
      <c r="B1028" s="41" t="n">
        <v>5</v>
      </c>
      <c r="C1028" s="42">
        <f>IF(EMPLOYES!C19="","",EMPLOYES!C19)</f>
        <v/>
      </c>
      <c r="D1028" s="43">
        <f>IF(EMPLOYES!C19="","",EMPLOYES!D19)</f>
        <v/>
      </c>
      <c r="E1028" s="44" t="n"/>
      <c r="F1028" s="42" t="n"/>
      <c r="G1028" s="41">
        <f>IF($C1028="",0,MAX(0,$M1028-$N1028))</f>
        <v/>
      </c>
      <c r="H1028" s="45" t="n"/>
      <c r="I1028" s="41">
        <f>IF($C1028="","",IF(H1028="","OK",IF(H1028&gt;EMPLOYES!P19,"⚠ Avance &gt; salaire",IF(H1028&gt;EMPLOYES!P19*PARAMETRES!$C$218,"⚠ Avance élevée","OK"))))</f>
        <v/>
      </c>
      <c r="J1028" s="45" t="n"/>
      <c r="K1028" s="46" t="n"/>
      <c r="L1028" s="46" t="n"/>
      <c r="M1028" s="41">
        <f>IF($C1028="","",SUMPRODUCT((PARAMETRES!$B$38:$B$157=PARAMETRES!$C$29)*(PARAMETRES!$C$38:$C$157=5)*(IF(EMPLOYES!M19="5j",PARAMETRES!$I$38:$I$157,PARAMETRES!$H$38:$H$157))))</f>
        <v/>
      </c>
      <c r="N1028" s="41">
        <f>IF($C1028="","",SUMPRODUCT((O1028:AS1028="P")+(O1028:AS1028="F")+(O1028:AS1028="C")+0.5*(O1028:AS1028="D"),(1-((O1021:AS1021=6)*(EMPLOYES!M19="5j")))))</f>
        <v/>
      </c>
      <c r="O1028" s="46" t="n"/>
      <c r="P1028" s="46" t="n"/>
      <c r="Q1028" s="46" t="n"/>
      <c r="R1028" s="46" t="n"/>
      <c r="S1028" s="46" t="n"/>
      <c r="T1028" s="46" t="n"/>
      <c r="U1028" s="46" t="n"/>
      <c r="V1028" s="46" t="n"/>
      <c r="W1028" s="46" t="n"/>
      <c r="X1028" s="46" t="n"/>
      <c r="Y1028" s="46" t="n"/>
      <c r="Z1028" s="46" t="n"/>
      <c r="AA1028" s="46" t="n"/>
      <c r="AB1028" s="46" t="n"/>
      <c r="AC1028" s="46" t="n"/>
      <c r="AD1028" s="46" t="n"/>
      <c r="AE1028" s="46" t="n"/>
      <c r="AF1028" s="46" t="n"/>
      <c r="AG1028" s="46" t="n"/>
      <c r="AH1028" s="46" t="n"/>
      <c r="AI1028" s="46" t="n"/>
      <c r="AJ1028" s="46" t="n"/>
      <c r="AK1028" s="46" t="n"/>
      <c r="AL1028" s="46" t="n"/>
      <c r="AM1028" s="46" t="n"/>
      <c r="AN1028" s="46" t="n"/>
      <c r="AO1028" s="46" t="n"/>
      <c r="AP1028" s="46" t="n"/>
      <c r="AQ1028" s="46" t="n"/>
      <c r="AR1028" s="46" t="n"/>
      <c r="AS1028" s="46" t="n"/>
      <c r="AV1028" s="36">
        <f>IF($C1028="","",EMPLOYES!M19)</f>
        <v/>
      </c>
      <c r="AW1028" s="36">
        <f>IF($C1028="",0,SUMPRODUCT(--(O1028:AS1028="C")))</f>
        <v/>
      </c>
      <c r="AX1028" s="36">
        <f>IF($C1028="",0,SUMPRODUCT(--(O1028:AS1028="R")))</f>
        <v/>
      </c>
      <c r="AY1028" s="44" t="n"/>
    </row>
    <row r="1029" hidden="1" outlineLevel="1" ht="15" customHeight="1" s="15">
      <c r="B1029" s="41" t="n">
        <v>5</v>
      </c>
      <c r="C1029" s="42">
        <f>IF(EMPLOYES!C20="","",EMPLOYES!C20)</f>
        <v/>
      </c>
      <c r="D1029" s="43">
        <f>IF(EMPLOYES!C20="","",EMPLOYES!D20)</f>
        <v/>
      </c>
      <c r="E1029" s="44" t="n"/>
      <c r="F1029" s="42" t="n"/>
      <c r="G1029" s="41">
        <f>IF($C1029="",0,MAX(0,$M1029-$N1029))</f>
        <v/>
      </c>
      <c r="H1029" s="45" t="n"/>
      <c r="I1029" s="41">
        <f>IF($C1029="","",IF(H1029="","OK",IF(H1029&gt;EMPLOYES!P20,"⚠ Avance &gt; salaire",IF(H1029&gt;EMPLOYES!P20*PARAMETRES!$C$218,"⚠ Avance élevée","OK"))))</f>
        <v/>
      </c>
      <c r="J1029" s="45" t="n"/>
      <c r="K1029" s="46" t="n"/>
      <c r="L1029" s="46" t="n"/>
      <c r="M1029" s="41">
        <f>IF($C1029="","",SUMPRODUCT((PARAMETRES!$B$38:$B$157=PARAMETRES!$C$29)*(PARAMETRES!$C$38:$C$157=5)*(IF(EMPLOYES!M20="5j",PARAMETRES!$I$38:$I$157,PARAMETRES!$H$38:$H$157))))</f>
        <v/>
      </c>
      <c r="N1029" s="41">
        <f>IF($C1029="","",SUMPRODUCT((O1029:AS1029="P")+(O1029:AS1029="F")+(O1029:AS1029="C")+0.5*(O1029:AS1029="D"),(1-((O1021:AS1021=6)*(EMPLOYES!M20="5j")))))</f>
        <v/>
      </c>
      <c r="O1029" s="46" t="n"/>
      <c r="P1029" s="46" t="n"/>
      <c r="Q1029" s="46" t="n"/>
      <c r="R1029" s="46" t="n"/>
      <c r="S1029" s="46" t="n"/>
      <c r="T1029" s="46" t="n"/>
      <c r="U1029" s="46" t="n"/>
      <c r="V1029" s="46" t="n"/>
      <c r="W1029" s="46" t="n"/>
      <c r="X1029" s="46" t="n"/>
      <c r="Y1029" s="46" t="n"/>
      <c r="Z1029" s="46" t="n"/>
      <c r="AA1029" s="46" t="n"/>
      <c r="AB1029" s="46" t="n"/>
      <c r="AC1029" s="46" t="n"/>
      <c r="AD1029" s="46" t="n"/>
      <c r="AE1029" s="46" t="n"/>
      <c r="AF1029" s="46" t="n"/>
      <c r="AG1029" s="46" t="n"/>
      <c r="AH1029" s="46" t="n"/>
      <c r="AI1029" s="46" t="n"/>
      <c r="AJ1029" s="46" t="n"/>
      <c r="AK1029" s="46" t="n"/>
      <c r="AL1029" s="46" t="n"/>
      <c r="AM1029" s="46" t="n"/>
      <c r="AN1029" s="46" t="n"/>
      <c r="AO1029" s="46" t="n"/>
      <c r="AP1029" s="46" t="n"/>
      <c r="AQ1029" s="46" t="n"/>
      <c r="AR1029" s="46" t="n"/>
      <c r="AS1029" s="46" t="n"/>
      <c r="AV1029" s="36">
        <f>IF($C1029="","",EMPLOYES!M20)</f>
        <v/>
      </c>
      <c r="AW1029" s="36">
        <f>IF($C1029="",0,SUMPRODUCT(--(O1029:AS1029="C")))</f>
        <v/>
      </c>
      <c r="AX1029" s="36">
        <f>IF($C1029="",0,SUMPRODUCT(--(O1029:AS1029="R")))</f>
        <v/>
      </c>
      <c r="AY1029" s="44" t="n"/>
    </row>
    <row r="1030" hidden="1" outlineLevel="1" ht="15" customHeight="1" s="15">
      <c r="B1030" s="41" t="n">
        <v>5</v>
      </c>
      <c r="C1030" s="42">
        <f>IF(EMPLOYES!C21="","",EMPLOYES!C21)</f>
        <v/>
      </c>
      <c r="D1030" s="43">
        <f>IF(EMPLOYES!C21="","",EMPLOYES!D21)</f>
        <v/>
      </c>
      <c r="E1030" s="44" t="n"/>
      <c r="F1030" s="42" t="n"/>
      <c r="G1030" s="41">
        <f>IF($C1030="",0,MAX(0,$M1030-$N1030))</f>
        <v/>
      </c>
      <c r="H1030" s="45" t="n"/>
      <c r="I1030" s="41">
        <f>IF($C1030="","",IF(H1030="","OK",IF(H1030&gt;EMPLOYES!P21,"⚠ Avance &gt; salaire",IF(H1030&gt;EMPLOYES!P21*PARAMETRES!$C$218,"⚠ Avance élevée","OK"))))</f>
        <v/>
      </c>
      <c r="J1030" s="45" t="n"/>
      <c r="K1030" s="46" t="n"/>
      <c r="L1030" s="46" t="n"/>
      <c r="M1030" s="41">
        <f>IF($C1030="","",SUMPRODUCT((PARAMETRES!$B$38:$B$157=PARAMETRES!$C$29)*(PARAMETRES!$C$38:$C$157=5)*(IF(EMPLOYES!M21="5j",PARAMETRES!$I$38:$I$157,PARAMETRES!$H$38:$H$157))))</f>
        <v/>
      </c>
      <c r="N1030" s="41">
        <f>IF($C1030="","",SUMPRODUCT((O1030:AS1030="P")+(O1030:AS1030="F")+(O1030:AS1030="C")+0.5*(O1030:AS1030="D"),(1-((O1021:AS1021=6)*(EMPLOYES!M21="5j")))))</f>
        <v/>
      </c>
      <c r="O1030" s="46" t="n"/>
      <c r="P1030" s="46" t="n"/>
      <c r="Q1030" s="46" t="n"/>
      <c r="R1030" s="46" t="n"/>
      <c r="S1030" s="46" t="n"/>
      <c r="T1030" s="46" t="n"/>
      <c r="U1030" s="46" t="n"/>
      <c r="V1030" s="46" t="n"/>
      <c r="W1030" s="46" t="n"/>
      <c r="X1030" s="46" t="n"/>
      <c r="Y1030" s="46" t="n"/>
      <c r="Z1030" s="46" t="n"/>
      <c r="AA1030" s="46" t="n"/>
      <c r="AB1030" s="46" t="n"/>
      <c r="AC1030" s="46" t="n"/>
      <c r="AD1030" s="46" t="n"/>
      <c r="AE1030" s="46" t="n"/>
      <c r="AF1030" s="46" t="n"/>
      <c r="AG1030" s="46" t="n"/>
      <c r="AH1030" s="46" t="n"/>
      <c r="AI1030" s="46" t="n"/>
      <c r="AJ1030" s="46" t="n"/>
      <c r="AK1030" s="46" t="n"/>
      <c r="AL1030" s="46" t="n"/>
      <c r="AM1030" s="46" t="n"/>
      <c r="AN1030" s="46" t="n"/>
      <c r="AO1030" s="46" t="n"/>
      <c r="AP1030" s="46" t="n"/>
      <c r="AQ1030" s="46" t="n"/>
      <c r="AR1030" s="46" t="n"/>
      <c r="AS1030" s="46" t="n"/>
      <c r="AV1030" s="36">
        <f>IF($C1030="","",EMPLOYES!M21)</f>
        <v/>
      </c>
      <c r="AW1030" s="36">
        <f>IF($C1030="",0,SUMPRODUCT(--(O1030:AS1030="C")))</f>
        <v/>
      </c>
      <c r="AX1030" s="36">
        <f>IF($C1030="",0,SUMPRODUCT(--(O1030:AS1030="R")))</f>
        <v/>
      </c>
      <c r="AY1030" s="44" t="n"/>
    </row>
    <row r="1031" hidden="1" outlineLevel="1" ht="15" customHeight="1" s="15">
      <c r="B1031" s="41" t="n">
        <v>5</v>
      </c>
      <c r="C1031" s="42">
        <f>IF(EMPLOYES!C22="","",EMPLOYES!C22)</f>
        <v/>
      </c>
      <c r="D1031" s="43">
        <f>IF(EMPLOYES!C22="","",EMPLOYES!D22)</f>
        <v/>
      </c>
      <c r="E1031" s="44" t="n"/>
      <c r="F1031" s="42" t="n"/>
      <c r="G1031" s="41">
        <f>IF($C1031="",0,MAX(0,$M1031-$N1031))</f>
        <v/>
      </c>
      <c r="H1031" s="45" t="n"/>
      <c r="I1031" s="41">
        <f>IF($C1031="","",IF(H1031="","OK",IF(H1031&gt;EMPLOYES!P22,"⚠ Avance &gt; salaire",IF(H1031&gt;EMPLOYES!P22*PARAMETRES!$C$218,"⚠ Avance élevée","OK"))))</f>
        <v/>
      </c>
      <c r="J1031" s="45" t="n"/>
      <c r="K1031" s="46" t="n"/>
      <c r="L1031" s="46" t="n"/>
      <c r="M1031" s="41">
        <f>IF($C1031="","",SUMPRODUCT((PARAMETRES!$B$38:$B$157=PARAMETRES!$C$29)*(PARAMETRES!$C$38:$C$157=5)*(IF(EMPLOYES!M22="5j",PARAMETRES!$I$38:$I$157,PARAMETRES!$H$38:$H$157))))</f>
        <v/>
      </c>
      <c r="N1031" s="41">
        <f>IF($C1031="","",SUMPRODUCT((O1031:AS1031="P")+(O1031:AS1031="F")+(O1031:AS1031="C")+0.5*(O1031:AS1031="D"),(1-((O1021:AS1021=6)*(EMPLOYES!M22="5j")))))</f>
        <v/>
      </c>
      <c r="O1031" s="46" t="n"/>
      <c r="P1031" s="46" t="n"/>
      <c r="Q1031" s="46" t="n"/>
      <c r="R1031" s="46" t="n"/>
      <c r="S1031" s="46" t="n"/>
      <c r="T1031" s="46" t="n"/>
      <c r="U1031" s="46" t="n"/>
      <c r="V1031" s="46" t="n"/>
      <c r="W1031" s="46" t="n"/>
      <c r="X1031" s="46" t="n"/>
      <c r="Y1031" s="46" t="n"/>
      <c r="Z1031" s="46" t="n"/>
      <c r="AA1031" s="46" t="n"/>
      <c r="AB1031" s="46" t="n"/>
      <c r="AC1031" s="46" t="n"/>
      <c r="AD1031" s="46" t="n"/>
      <c r="AE1031" s="46" t="n"/>
      <c r="AF1031" s="46" t="n"/>
      <c r="AG1031" s="46" t="n"/>
      <c r="AH1031" s="46" t="n"/>
      <c r="AI1031" s="46" t="n"/>
      <c r="AJ1031" s="46" t="n"/>
      <c r="AK1031" s="46" t="n"/>
      <c r="AL1031" s="46" t="n"/>
      <c r="AM1031" s="46" t="n"/>
      <c r="AN1031" s="46" t="n"/>
      <c r="AO1031" s="46" t="n"/>
      <c r="AP1031" s="46" t="n"/>
      <c r="AQ1031" s="46" t="n"/>
      <c r="AR1031" s="46" t="n"/>
      <c r="AS1031" s="46" t="n"/>
      <c r="AV1031" s="36">
        <f>IF($C1031="","",EMPLOYES!M22)</f>
        <v/>
      </c>
      <c r="AW1031" s="36">
        <f>IF($C1031="",0,SUMPRODUCT(--(O1031:AS1031="C")))</f>
        <v/>
      </c>
      <c r="AX1031" s="36">
        <f>IF($C1031="",0,SUMPRODUCT(--(O1031:AS1031="R")))</f>
        <v/>
      </c>
      <c r="AY1031" s="44" t="n"/>
    </row>
    <row r="1032" hidden="1" outlineLevel="1" ht="15" customHeight="1" s="15">
      <c r="B1032" s="41" t="n">
        <v>5</v>
      </c>
      <c r="C1032" s="42">
        <f>IF(EMPLOYES!C23="","",EMPLOYES!C23)</f>
        <v/>
      </c>
      <c r="D1032" s="43">
        <f>IF(EMPLOYES!C23="","",EMPLOYES!D23)</f>
        <v/>
      </c>
      <c r="E1032" s="44" t="n"/>
      <c r="F1032" s="42" t="n"/>
      <c r="G1032" s="41">
        <f>IF($C1032="",0,MAX(0,$M1032-$N1032))</f>
        <v/>
      </c>
      <c r="H1032" s="45" t="n"/>
      <c r="I1032" s="41">
        <f>IF($C1032="","",IF(H1032="","OK",IF(H1032&gt;EMPLOYES!P23,"⚠ Avance &gt; salaire",IF(H1032&gt;EMPLOYES!P23*PARAMETRES!$C$218,"⚠ Avance élevée","OK"))))</f>
        <v/>
      </c>
      <c r="J1032" s="45" t="n"/>
      <c r="K1032" s="46" t="n"/>
      <c r="L1032" s="46" t="n"/>
      <c r="M1032" s="41">
        <f>IF($C1032="","",SUMPRODUCT((PARAMETRES!$B$38:$B$157=PARAMETRES!$C$29)*(PARAMETRES!$C$38:$C$157=5)*(IF(EMPLOYES!M23="5j",PARAMETRES!$I$38:$I$157,PARAMETRES!$H$38:$H$157))))</f>
        <v/>
      </c>
      <c r="N1032" s="41">
        <f>IF($C1032="","",SUMPRODUCT((O1032:AS1032="P")+(O1032:AS1032="F")+(O1032:AS1032="C")+0.5*(O1032:AS1032="D"),(1-((O1021:AS1021=6)*(EMPLOYES!M23="5j")))))</f>
        <v/>
      </c>
      <c r="O1032" s="46" t="n"/>
      <c r="P1032" s="46" t="n"/>
      <c r="Q1032" s="46" t="n"/>
      <c r="R1032" s="46" t="n"/>
      <c r="S1032" s="46" t="n"/>
      <c r="T1032" s="46" t="n"/>
      <c r="U1032" s="46" t="n"/>
      <c r="V1032" s="46" t="n"/>
      <c r="W1032" s="46" t="n"/>
      <c r="X1032" s="46" t="n"/>
      <c r="Y1032" s="46" t="n"/>
      <c r="Z1032" s="46" t="n"/>
      <c r="AA1032" s="46" t="n"/>
      <c r="AB1032" s="46" t="n"/>
      <c r="AC1032" s="46" t="n"/>
      <c r="AD1032" s="46" t="n"/>
      <c r="AE1032" s="46" t="n"/>
      <c r="AF1032" s="46" t="n"/>
      <c r="AG1032" s="46" t="n"/>
      <c r="AH1032" s="46" t="n"/>
      <c r="AI1032" s="46" t="n"/>
      <c r="AJ1032" s="46" t="n"/>
      <c r="AK1032" s="46" t="n"/>
      <c r="AL1032" s="46" t="n"/>
      <c r="AM1032" s="46" t="n"/>
      <c r="AN1032" s="46" t="n"/>
      <c r="AO1032" s="46" t="n"/>
      <c r="AP1032" s="46" t="n"/>
      <c r="AQ1032" s="46" t="n"/>
      <c r="AR1032" s="46" t="n"/>
      <c r="AS1032" s="46" t="n"/>
      <c r="AV1032" s="36">
        <f>IF($C1032="","",EMPLOYES!M23)</f>
        <v/>
      </c>
      <c r="AW1032" s="36">
        <f>IF($C1032="",0,SUMPRODUCT(--(O1032:AS1032="C")))</f>
        <v/>
      </c>
      <c r="AX1032" s="36">
        <f>IF($C1032="",0,SUMPRODUCT(--(O1032:AS1032="R")))</f>
        <v/>
      </c>
      <c r="AY1032" s="44" t="n"/>
    </row>
    <row r="1033" hidden="1" outlineLevel="1" ht="15" customHeight="1" s="15">
      <c r="B1033" s="41" t="n">
        <v>5</v>
      </c>
      <c r="C1033" s="42">
        <f>IF(EMPLOYES!C24="","",EMPLOYES!C24)</f>
        <v/>
      </c>
      <c r="D1033" s="43">
        <f>IF(EMPLOYES!C24="","",EMPLOYES!D24)</f>
        <v/>
      </c>
      <c r="E1033" s="44" t="n"/>
      <c r="F1033" s="42" t="n"/>
      <c r="G1033" s="41">
        <f>IF($C1033="",0,MAX(0,$M1033-$N1033))</f>
        <v/>
      </c>
      <c r="H1033" s="45" t="n"/>
      <c r="I1033" s="41">
        <f>IF($C1033="","",IF(H1033="","OK",IF(H1033&gt;EMPLOYES!P24,"⚠ Avance &gt; salaire",IF(H1033&gt;EMPLOYES!P24*PARAMETRES!$C$218,"⚠ Avance élevée","OK"))))</f>
        <v/>
      </c>
      <c r="J1033" s="45" t="n"/>
      <c r="K1033" s="46" t="n"/>
      <c r="L1033" s="46" t="n"/>
      <c r="M1033" s="41">
        <f>IF($C1033="","",SUMPRODUCT((PARAMETRES!$B$38:$B$157=PARAMETRES!$C$29)*(PARAMETRES!$C$38:$C$157=5)*(IF(EMPLOYES!M24="5j",PARAMETRES!$I$38:$I$157,PARAMETRES!$H$38:$H$157))))</f>
        <v/>
      </c>
      <c r="N1033" s="41">
        <f>IF($C1033="","",SUMPRODUCT((O1033:AS1033="P")+(O1033:AS1033="F")+(O1033:AS1033="C")+0.5*(O1033:AS1033="D"),(1-((O1021:AS1021=6)*(EMPLOYES!M24="5j")))))</f>
        <v/>
      </c>
      <c r="O1033" s="46" t="n"/>
      <c r="P1033" s="46" t="n"/>
      <c r="Q1033" s="46" t="n"/>
      <c r="R1033" s="46" t="n"/>
      <c r="S1033" s="46" t="n"/>
      <c r="T1033" s="46" t="n"/>
      <c r="U1033" s="46" t="n"/>
      <c r="V1033" s="46" t="n"/>
      <c r="W1033" s="46" t="n"/>
      <c r="X1033" s="46" t="n"/>
      <c r="Y1033" s="46" t="n"/>
      <c r="Z1033" s="46" t="n"/>
      <c r="AA1033" s="46" t="n"/>
      <c r="AB1033" s="46" t="n"/>
      <c r="AC1033" s="46" t="n"/>
      <c r="AD1033" s="46" t="n"/>
      <c r="AE1033" s="46" t="n"/>
      <c r="AF1033" s="46" t="n"/>
      <c r="AG1033" s="46" t="n"/>
      <c r="AH1033" s="46" t="n"/>
      <c r="AI1033" s="46" t="n"/>
      <c r="AJ1033" s="46" t="n"/>
      <c r="AK1033" s="46" t="n"/>
      <c r="AL1033" s="46" t="n"/>
      <c r="AM1033" s="46" t="n"/>
      <c r="AN1033" s="46" t="n"/>
      <c r="AO1033" s="46" t="n"/>
      <c r="AP1033" s="46" t="n"/>
      <c r="AQ1033" s="46" t="n"/>
      <c r="AR1033" s="46" t="n"/>
      <c r="AS1033" s="46" t="n"/>
      <c r="AV1033" s="36">
        <f>IF($C1033="","",EMPLOYES!M24)</f>
        <v/>
      </c>
      <c r="AW1033" s="36">
        <f>IF($C1033="",0,SUMPRODUCT(--(O1033:AS1033="C")))</f>
        <v/>
      </c>
      <c r="AX1033" s="36">
        <f>IF($C1033="",0,SUMPRODUCT(--(O1033:AS1033="R")))</f>
        <v/>
      </c>
      <c r="AY1033" s="44" t="n"/>
    </row>
    <row r="1034" hidden="1" outlineLevel="1" ht="15" customHeight="1" s="15">
      <c r="B1034" s="41" t="n">
        <v>5</v>
      </c>
      <c r="C1034" s="42">
        <f>IF(EMPLOYES!C25="","",EMPLOYES!C25)</f>
        <v/>
      </c>
      <c r="D1034" s="43">
        <f>IF(EMPLOYES!C25="","",EMPLOYES!D25)</f>
        <v/>
      </c>
      <c r="E1034" s="44" t="n"/>
      <c r="F1034" s="42" t="n"/>
      <c r="G1034" s="41">
        <f>IF($C1034="",0,MAX(0,$M1034-$N1034))</f>
        <v/>
      </c>
      <c r="H1034" s="45" t="n"/>
      <c r="I1034" s="41">
        <f>IF($C1034="","",IF(H1034="","OK",IF(H1034&gt;EMPLOYES!P25,"⚠ Avance &gt; salaire",IF(H1034&gt;EMPLOYES!P25*PARAMETRES!$C$218,"⚠ Avance élevée","OK"))))</f>
        <v/>
      </c>
      <c r="J1034" s="45" t="n"/>
      <c r="K1034" s="46" t="n"/>
      <c r="L1034" s="46" t="n"/>
      <c r="M1034" s="41">
        <f>IF($C1034="","",SUMPRODUCT((PARAMETRES!$B$38:$B$157=PARAMETRES!$C$29)*(PARAMETRES!$C$38:$C$157=5)*(IF(EMPLOYES!M25="5j",PARAMETRES!$I$38:$I$157,PARAMETRES!$H$38:$H$157))))</f>
        <v/>
      </c>
      <c r="N1034" s="41">
        <f>IF($C1034="","",SUMPRODUCT((O1034:AS1034="P")+(O1034:AS1034="F")+(O1034:AS1034="C")+0.5*(O1034:AS1034="D"),(1-((O1021:AS1021=6)*(EMPLOYES!M25="5j")))))</f>
        <v/>
      </c>
      <c r="O1034" s="46" t="n"/>
      <c r="P1034" s="46" t="n"/>
      <c r="Q1034" s="46" t="n"/>
      <c r="R1034" s="46" t="n"/>
      <c r="S1034" s="46" t="n"/>
      <c r="T1034" s="46" t="n"/>
      <c r="U1034" s="46" t="n"/>
      <c r="V1034" s="46" t="n"/>
      <c r="W1034" s="46" t="n"/>
      <c r="X1034" s="46" t="n"/>
      <c r="Y1034" s="46" t="n"/>
      <c r="Z1034" s="46" t="n"/>
      <c r="AA1034" s="46" t="n"/>
      <c r="AB1034" s="46" t="n"/>
      <c r="AC1034" s="46" t="n"/>
      <c r="AD1034" s="46" t="n"/>
      <c r="AE1034" s="46" t="n"/>
      <c r="AF1034" s="46" t="n"/>
      <c r="AG1034" s="46" t="n"/>
      <c r="AH1034" s="46" t="n"/>
      <c r="AI1034" s="46" t="n"/>
      <c r="AJ1034" s="46" t="n"/>
      <c r="AK1034" s="46" t="n"/>
      <c r="AL1034" s="46" t="n"/>
      <c r="AM1034" s="46" t="n"/>
      <c r="AN1034" s="46" t="n"/>
      <c r="AO1034" s="46" t="n"/>
      <c r="AP1034" s="46" t="n"/>
      <c r="AQ1034" s="46" t="n"/>
      <c r="AR1034" s="46" t="n"/>
      <c r="AS1034" s="46" t="n"/>
      <c r="AV1034" s="36">
        <f>IF($C1034="","",EMPLOYES!M25)</f>
        <v/>
      </c>
      <c r="AW1034" s="36">
        <f>IF($C1034="",0,SUMPRODUCT(--(O1034:AS1034="C")))</f>
        <v/>
      </c>
      <c r="AX1034" s="36">
        <f>IF($C1034="",0,SUMPRODUCT(--(O1034:AS1034="R")))</f>
        <v/>
      </c>
      <c r="AY1034" s="44" t="n"/>
    </row>
    <row r="1035" hidden="1" outlineLevel="1" ht="15" customHeight="1" s="15">
      <c r="B1035" s="41" t="n">
        <v>5</v>
      </c>
      <c r="C1035" s="42">
        <f>IF(EMPLOYES!C26="","",EMPLOYES!C26)</f>
        <v/>
      </c>
      <c r="D1035" s="43">
        <f>IF(EMPLOYES!C26="","",EMPLOYES!D26)</f>
        <v/>
      </c>
      <c r="E1035" s="44" t="n"/>
      <c r="F1035" s="42" t="n"/>
      <c r="G1035" s="41">
        <f>IF($C1035="",0,MAX(0,$M1035-$N1035))</f>
        <v/>
      </c>
      <c r="H1035" s="45" t="n"/>
      <c r="I1035" s="41">
        <f>IF($C1035="","",IF(H1035="","OK",IF(H1035&gt;EMPLOYES!P26,"⚠ Avance &gt; salaire",IF(H1035&gt;EMPLOYES!P26*PARAMETRES!$C$218,"⚠ Avance élevée","OK"))))</f>
        <v/>
      </c>
      <c r="J1035" s="45" t="n"/>
      <c r="K1035" s="46" t="n"/>
      <c r="L1035" s="46" t="n"/>
      <c r="M1035" s="41">
        <f>IF($C1035="","",SUMPRODUCT((PARAMETRES!$B$38:$B$157=PARAMETRES!$C$29)*(PARAMETRES!$C$38:$C$157=5)*(IF(EMPLOYES!M26="5j",PARAMETRES!$I$38:$I$157,PARAMETRES!$H$38:$H$157))))</f>
        <v/>
      </c>
      <c r="N1035" s="41">
        <f>IF($C1035="","",SUMPRODUCT((O1035:AS1035="P")+(O1035:AS1035="F")+(O1035:AS1035="C")+0.5*(O1035:AS1035="D"),(1-((O1021:AS1021=6)*(EMPLOYES!M26="5j")))))</f>
        <v/>
      </c>
      <c r="O1035" s="46" t="n"/>
      <c r="P1035" s="46" t="n"/>
      <c r="Q1035" s="46" t="n"/>
      <c r="R1035" s="46" t="n"/>
      <c r="S1035" s="46" t="n"/>
      <c r="T1035" s="46" t="n"/>
      <c r="U1035" s="46" t="n"/>
      <c r="V1035" s="46" t="n"/>
      <c r="W1035" s="46" t="n"/>
      <c r="X1035" s="46" t="n"/>
      <c r="Y1035" s="46" t="n"/>
      <c r="Z1035" s="46" t="n"/>
      <c r="AA1035" s="46" t="n"/>
      <c r="AB1035" s="46" t="n"/>
      <c r="AC1035" s="46" t="n"/>
      <c r="AD1035" s="46" t="n"/>
      <c r="AE1035" s="46" t="n"/>
      <c r="AF1035" s="46" t="n"/>
      <c r="AG1035" s="46" t="n"/>
      <c r="AH1035" s="46" t="n"/>
      <c r="AI1035" s="46" t="n"/>
      <c r="AJ1035" s="46" t="n"/>
      <c r="AK1035" s="46" t="n"/>
      <c r="AL1035" s="46" t="n"/>
      <c r="AM1035" s="46" t="n"/>
      <c r="AN1035" s="46" t="n"/>
      <c r="AO1035" s="46" t="n"/>
      <c r="AP1035" s="46" t="n"/>
      <c r="AQ1035" s="46" t="n"/>
      <c r="AR1035" s="46" t="n"/>
      <c r="AS1035" s="46" t="n"/>
      <c r="AV1035" s="36">
        <f>IF($C1035="","",EMPLOYES!M26)</f>
        <v/>
      </c>
      <c r="AW1035" s="36">
        <f>IF($C1035="",0,SUMPRODUCT(--(O1035:AS1035="C")))</f>
        <v/>
      </c>
      <c r="AX1035" s="36">
        <f>IF($C1035="",0,SUMPRODUCT(--(O1035:AS1035="R")))</f>
        <v/>
      </c>
      <c r="AY1035" s="44" t="n"/>
    </row>
    <row r="1036" hidden="1" outlineLevel="1" ht="15" customHeight="1" s="15">
      <c r="B1036" s="41" t="n">
        <v>5</v>
      </c>
      <c r="C1036" s="42">
        <f>IF(EMPLOYES!C27="","",EMPLOYES!C27)</f>
        <v/>
      </c>
      <c r="D1036" s="43">
        <f>IF(EMPLOYES!C27="","",EMPLOYES!D27)</f>
        <v/>
      </c>
      <c r="E1036" s="44" t="n"/>
      <c r="F1036" s="42" t="n"/>
      <c r="G1036" s="41">
        <f>IF($C1036="",0,MAX(0,$M1036-$N1036))</f>
        <v/>
      </c>
      <c r="H1036" s="45" t="n"/>
      <c r="I1036" s="41">
        <f>IF($C1036="","",IF(H1036="","OK",IF(H1036&gt;EMPLOYES!P27,"⚠ Avance &gt; salaire",IF(H1036&gt;EMPLOYES!P27*PARAMETRES!$C$218,"⚠ Avance élevée","OK"))))</f>
        <v/>
      </c>
      <c r="J1036" s="45" t="n"/>
      <c r="K1036" s="46" t="n"/>
      <c r="L1036" s="46" t="n"/>
      <c r="M1036" s="41">
        <f>IF($C1036="","",SUMPRODUCT((PARAMETRES!$B$38:$B$157=PARAMETRES!$C$29)*(PARAMETRES!$C$38:$C$157=5)*(IF(EMPLOYES!M27="5j",PARAMETRES!$I$38:$I$157,PARAMETRES!$H$38:$H$157))))</f>
        <v/>
      </c>
      <c r="N1036" s="41">
        <f>IF($C1036="","",SUMPRODUCT((O1036:AS1036="P")+(O1036:AS1036="F")+(O1036:AS1036="C")+0.5*(O1036:AS1036="D"),(1-((O1021:AS1021=6)*(EMPLOYES!M27="5j")))))</f>
        <v/>
      </c>
      <c r="O1036" s="46" t="n"/>
      <c r="P1036" s="46" t="n"/>
      <c r="Q1036" s="46" t="n"/>
      <c r="R1036" s="46" t="n"/>
      <c r="S1036" s="46" t="n"/>
      <c r="T1036" s="46" t="n"/>
      <c r="U1036" s="46" t="n"/>
      <c r="V1036" s="46" t="n"/>
      <c r="W1036" s="46" t="n"/>
      <c r="X1036" s="46" t="n"/>
      <c r="Y1036" s="46" t="n"/>
      <c r="Z1036" s="46" t="n"/>
      <c r="AA1036" s="46" t="n"/>
      <c r="AB1036" s="46" t="n"/>
      <c r="AC1036" s="46" t="n"/>
      <c r="AD1036" s="46" t="n"/>
      <c r="AE1036" s="46" t="n"/>
      <c r="AF1036" s="46" t="n"/>
      <c r="AG1036" s="46" t="n"/>
      <c r="AH1036" s="46" t="n"/>
      <c r="AI1036" s="46" t="n"/>
      <c r="AJ1036" s="46" t="n"/>
      <c r="AK1036" s="46" t="n"/>
      <c r="AL1036" s="46" t="n"/>
      <c r="AM1036" s="46" t="n"/>
      <c r="AN1036" s="46" t="n"/>
      <c r="AO1036" s="46" t="n"/>
      <c r="AP1036" s="46" t="n"/>
      <c r="AQ1036" s="46" t="n"/>
      <c r="AR1036" s="46" t="n"/>
      <c r="AS1036" s="46" t="n"/>
      <c r="AV1036" s="36">
        <f>IF($C1036="","",EMPLOYES!M27)</f>
        <v/>
      </c>
      <c r="AW1036" s="36">
        <f>IF($C1036="",0,SUMPRODUCT(--(O1036:AS1036="C")))</f>
        <v/>
      </c>
      <c r="AX1036" s="36">
        <f>IF($C1036="",0,SUMPRODUCT(--(O1036:AS1036="R")))</f>
        <v/>
      </c>
      <c r="AY1036" s="44" t="n"/>
    </row>
    <row r="1037" hidden="1" outlineLevel="1" ht="15" customHeight="1" s="15">
      <c r="B1037" s="41" t="n">
        <v>5</v>
      </c>
      <c r="C1037" s="42">
        <f>IF(EMPLOYES!C28="","",EMPLOYES!C28)</f>
        <v/>
      </c>
      <c r="D1037" s="43">
        <f>IF(EMPLOYES!C28="","",EMPLOYES!D28)</f>
        <v/>
      </c>
      <c r="E1037" s="44" t="n"/>
      <c r="F1037" s="42" t="n"/>
      <c r="G1037" s="41">
        <f>IF($C1037="",0,MAX(0,$M1037-$N1037))</f>
        <v/>
      </c>
      <c r="H1037" s="45" t="n"/>
      <c r="I1037" s="41">
        <f>IF($C1037="","",IF(H1037="","OK",IF(H1037&gt;EMPLOYES!P28,"⚠ Avance &gt; salaire",IF(H1037&gt;EMPLOYES!P28*PARAMETRES!$C$218,"⚠ Avance élevée","OK"))))</f>
        <v/>
      </c>
      <c r="J1037" s="45" t="n"/>
      <c r="K1037" s="46" t="n"/>
      <c r="L1037" s="46" t="n"/>
      <c r="M1037" s="41">
        <f>IF($C1037="","",SUMPRODUCT((PARAMETRES!$B$38:$B$157=PARAMETRES!$C$29)*(PARAMETRES!$C$38:$C$157=5)*(IF(EMPLOYES!M28="5j",PARAMETRES!$I$38:$I$157,PARAMETRES!$H$38:$H$157))))</f>
        <v/>
      </c>
      <c r="N1037" s="41">
        <f>IF($C1037="","",SUMPRODUCT((O1037:AS1037="P")+(O1037:AS1037="F")+(O1037:AS1037="C")+0.5*(O1037:AS1037="D"),(1-((O1021:AS1021=6)*(EMPLOYES!M28="5j")))))</f>
        <v/>
      </c>
      <c r="O1037" s="46" t="n"/>
      <c r="P1037" s="46" t="n"/>
      <c r="Q1037" s="46" t="n"/>
      <c r="R1037" s="46" t="n"/>
      <c r="S1037" s="46" t="n"/>
      <c r="T1037" s="46" t="n"/>
      <c r="U1037" s="46" t="n"/>
      <c r="V1037" s="46" t="n"/>
      <c r="W1037" s="46" t="n"/>
      <c r="X1037" s="46" t="n"/>
      <c r="Y1037" s="46" t="n"/>
      <c r="Z1037" s="46" t="n"/>
      <c r="AA1037" s="46" t="n"/>
      <c r="AB1037" s="46" t="n"/>
      <c r="AC1037" s="46" t="n"/>
      <c r="AD1037" s="46" t="n"/>
      <c r="AE1037" s="46" t="n"/>
      <c r="AF1037" s="46" t="n"/>
      <c r="AG1037" s="46" t="n"/>
      <c r="AH1037" s="46" t="n"/>
      <c r="AI1037" s="46" t="n"/>
      <c r="AJ1037" s="46" t="n"/>
      <c r="AK1037" s="46" t="n"/>
      <c r="AL1037" s="46" t="n"/>
      <c r="AM1037" s="46" t="n"/>
      <c r="AN1037" s="46" t="n"/>
      <c r="AO1037" s="46" t="n"/>
      <c r="AP1037" s="46" t="n"/>
      <c r="AQ1037" s="46" t="n"/>
      <c r="AR1037" s="46" t="n"/>
      <c r="AS1037" s="46" t="n"/>
      <c r="AV1037" s="36">
        <f>IF($C1037="","",EMPLOYES!M28)</f>
        <v/>
      </c>
      <c r="AW1037" s="36">
        <f>IF($C1037="",0,SUMPRODUCT(--(O1037:AS1037="C")))</f>
        <v/>
      </c>
      <c r="AX1037" s="36">
        <f>IF($C1037="",0,SUMPRODUCT(--(O1037:AS1037="R")))</f>
        <v/>
      </c>
      <c r="AY1037" s="44" t="n"/>
    </row>
    <row r="1038" hidden="1" outlineLevel="1" ht="15" customHeight="1" s="15">
      <c r="B1038" s="41" t="n">
        <v>5</v>
      </c>
      <c r="C1038" s="42">
        <f>IF(EMPLOYES!C29="","",EMPLOYES!C29)</f>
        <v/>
      </c>
      <c r="D1038" s="43">
        <f>IF(EMPLOYES!C29="","",EMPLOYES!D29)</f>
        <v/>
      </c>
      <c r="E1038" s="44" t="n"/>
      <c r="F1038" s="42" t="n"/>
      <c r="G1038" s="41">
        <f>IF($C1038="",0,MAX(0,$M1038-$N1038))</f>
        <v/>
      </c>
      <c r="H1038" s="45" t="n"/>
      <c r="I1038" s="41">
        <f>IF($C1038="","",IF(H1038="","OK",IF(H1038&gt;EMPLOYES!P29,"⚠ Avance &gt; salaire",IF(H1038&gt;EMPLOYES!P29*PARAMETRES!$C$218,"⚠ Avance élevée","OK"))))</f>
        <v/>
      </c>
      <c r="J1038" s="45" t="n"/>
      <c r="K1038" s="46" t="n"/>
      <c r="L1038" s="46" t="n"/>
      <c r="M1038" s="41">
        <f>IF($C1038="","",SUMPRODUCT((PARAMETRES!$B$38:$B$157=PARAMETRES!$C$29)*(PARAMETRES!$C$38:$C$157=5)*(IF(EMPLOYES!M29="5j",PARAMETRES!$I$38:$I$157,PARAMETRES!$H$38:$H$157))))</f>
        <v/>
      </c>
      <c r="N1038" s="41">
        <f>IF($C1038="","",SUMPRODUCT((O1038:AS1038="P")+(O1038:AS1038="F")+(O1038:AS1038="C")+0.5*(O1038:AS1038="D"),(1-((O1021:AS1021=6)*(EMPLOYES!M29="5j")))))</f>
        <v/>
      </c>
      <c r="O1038" s="46" t="n"/>
      <c r="P1038" s="46" t="n"/>
      <c r="Q1038" s="46" t="n"/>
      <c r="R1038" s="46" t="n"/>
      <c r="S1038" s="46" t="n"/>
      <c r="T1038" s="46" t="n"/>
      <c r="U1038" s="46" t="n"/>
      <c r="V1038" s="46" t="n"/>
      <c r="W1038" s="46" t="n"/>
      <c r="X1038" s="46" t="n"/>
      <c r="Y1038" s="46" t="n"/>
      <c r="Z1038" s="46" t="n"/>
      <c r="AA1038" s="46" t="n"/>
      <c r="AB1038" s="46" t="n"/>
      <c r="AC1038" s="46" t="n"/>
      <c r="AD1038" s="46" t="n"/>
      <c r="AE1038" s="46" t="n"/>
      <c r="AF1038" s="46" t="n"/>
      <c r="AG1038" s="46" t="n"/>
      <c r="AH1038" s="46" t="n"/>
      <c r="AI1038" s="46" t="n"/>
      <c r="AJ1038" s="46" t="n"/>
      <c r="AK1038" s="46" t="n"/>
      <c r="AL1038" s="46" t="n"/>
      <c r="AM1038" s="46" t="n"/>
      <c r="AN1038" s="46" t="n"/>
      <c r="AO1038" s="46" t="n"/>
      <c r="AP1038" s="46" t="n"/>
      <c r="AQ1038" s="46" t="n"/>
      <c r="AR1038" s="46" t="n"/>
      <c r="AS1038" s="46" t="n"/>
      <c r="AV1038" s="36">
        <f>IF($C1038="","",EMPLOYES!M29)</f>
        <v/>
      </c>
      <c r="AW1038" s="36">
        <f>IF($C1038="",0,SUMPRODUCT(--(O1038:AS1038="C")))</f>
        <v/>
      </c>
      <c r="AX1038" s="36">
        <f>IF($C1038="",0,SUMPRODUCT(--(O1038:AS1038="R")))</f>
        <v/>
      </c>
      <c r="AY1038" s="44" t="n"/>
    </row>
    <row r="1039" hidden="1" outlineLevel="1" ht="15" customHeight="1" s="15">
      <c r="B1039" s="41" t="n">
        <v>5</v>
      </c>
      <c r="C1039" s="42">
        <f>IF(EMPLOYES!C30="","",EMPLOYES!C30)</f>
        <v/>
      </c>
      <c r="D1039" s="43">
        <f>IF(EMPLOYES!C30="","",EMPLOYES!D30)</f>
        <v/>
      </c>
      <c r="E1039" s="44" t="n"/>
      <c r="F1039" s="42" t="n"/>
      <c r="G1039" s="41">
        <f>IF($C1039="",0,MAX(0,$M1039-$N1039))</f>
        <v/>
      </c>
      <c r="H1039" s="45" t="n"/>
      <c r="I1039" s="41">
        <f>IF($C1039="","",IF(H1039="","OK",IF(H1039&gt;EMPLOYES!P30,"⚠ Avance &gt; salaire",IF(H1039&gt;EMPLOYES!P30*PARAMETRES!$C$218,"⚠ Avance élevée","OK"))))</f>
        <v/>
      </c>
      <c r="J1039" s="45" t="n"/>
      <c r="K1039" s="46" t="n"/>
      <c r="L1039" s="46" t="n"/>
      <c r="M1039" s="41">
        <f>IF($C1039="","",SUMPRODUCT((PARAMETRES!$B$38:$B$157=PARAMETRES!$C$29)*(PARAMETRES!$C$38:$C$157=5)*(IF(EMPLOYES!M30="5j",PARAMETRES!$I$38:$I$157,PARAMETRES!$H$38:$H$157))))</f>
        <v/>
      </c>
      <c r="N1039" s="41">
        <f>IF($C1039="","",SUMPRODUCT((O1039:AS1039="P")+(O1039:AS1039="F")+(O1039:AS1039="C")+0.5*(O1039:AS1039="D"),(1-((O1021:AS1021=6)*(EMPLOYES!M30="5j")))))</f>
        <v/>
      </c>
      <c r="O1039" s="46" t="n"/>
      <c r="P1039" s="46" t="n"/>
      <c r="Q1039" s="46" t="n"/>
      <c r="R1039" s="46" t="n"/>
      <c r="S1039" s="46" t="n"/>
      <c r="T1039" s="46" t="n"/>
      <c r="U1039" s="46" t="n"/>
      <c r="V1039" s="46" t="n"/>
      <c r="W1039" s="46" t="n"/>
      <c r="X1039" s="46" t="n"/>
      <c r="Y1039" s="46" t="n"/>
      <c r="Z1039" s="46" t="n"/>
      <c r="AA1039" s="46" t="n"/>
      <c r="AB1039" s="46" t="n"/>
      <c r="AC1039" s="46" t="n"/>
      <c r="AD1039" s="46" t="n"/>
      <c r="AE1039" s="46" t="n"/>
      <c r="AF1039" s="46" t="n"/>
      <c r="AG1039" s="46" t="n"/>
      <c r="AH1039" s="46" t="n"/>
      <c r="AI1039" s="46" t="n"/>
      <c r="AJ1039" s="46" t="n"/>
      <c r="AK1039" s="46" t="n"/>
      <c r="AL1039" s="46" t="n"/>
      <c r="AM1039" s="46" t="n"/>
      <c r="AN1039" s="46" t="n"/>
      <c r="AO1039" s="46" t="n"/>
      <c r="AP1039" s="46" t="n"/>
      <c r="AQ1039" s="46" t="n"/>
      <c r="AR1039" s="46" t="n"/>
      <c r="AS1039" s="46" t="n"/>
      <c r="AV1039" s="36">
        <f>IF($C1039="","",EMPLOYES!M30)</f>
        <v/>
      </c>
      <c r="AW1039" s="36">
        <f>IF($C1039="",0,SUMPRODUCT(--(O1039:AS1039="C")))</f>
        <v/>
      </c>
      <c r="AX1039" s="36">
        <f>IF($C1039="",0,SUMPRODUCT(--(O1039:AS1039="R")))</f>
        <v/>
      </c>
      <c r="AY1039" s="44" t="n"/>
    </row>
    <row r="1040" hidden="1" outlineLevel="1" ht="15" customHeight="1" s="15">
      <c r="B1040" s="41" t="n">
        <v>5</v>
      </c>
      <c r="C1040" s="42">
        <f>IF(EMPLOYES!C31="","",EMPLOYES!C31)</f>
        <v/>
      </c>
      <c r="D1040" s="43">
        <f>IF(EMPLOYES!C31="","",EMPLOYES!D31)</f>
        <v/>
      </c>
      <c r="E1040" s="44" t="n"/>
      <c r="F1040" s="42" t="n"/>
      <c r="G1040" s="41">
        <f>IF($C1040="",0,MAX(0,$M1040-$N1040))</f>
        <v/>
      </c>
      <c r="H1040" s="45" t="n"/>
      <c r="I1040" s="41">
        <f>IF($C1040="","",IF(H1040="","OK",IF(H1040&gt;EMPLOYES!P31,"⚠ Avance &gt; salaire",IF(H1040&gt;EMPLOYES!P31*PARAMETRES!$C$218,"⚠ Avance élevée","OK"))))</f>
        <v/>
      </c>
      <c r="J1040" s="45" t="n"/>
      <c r="K1040" s="46" t="n"/>
      <c r="L1040" s="46" t="n"/>
      <c r="M1040" s="41">
        <f>IF($C1040="","",SUMPRODUCT((PARAMETRES!$B$38:$B$157=PARAMETRES!$C$29)*(PARAMETRES!$C$38:$C$157=5)*(IF(EMPLOYES!M31="5j",PARAMETRES!$I$38:$I$157,PARAMETRES!$H$38:$H$157))))</f>
        <v/>
      </c>
      <c r="N1040" s="41">
        <f>IF($C1040="","",SUMPRODUCT((O1040:AS1040="P")+(O1040:AS1040="F")+(O1040:AS1040="C")+0.5*(O1040:AS1040="D"),(1-((O1021:AS1021=6)*(EMPLOYES!M31="5j")))))</f>
        <v/>
      </c>
      <c r="O1040" s="46" t="n"/>
      <c r="P1040" s="46" t="n"/>
      <c r="Q1040" s="46" t="n"/>
      <c r="R1040" s="46" t="n"/>
      <c r="S1040" s="46" t="n"/>
      <c r="T1040" s="46" t="n"/>
      <c r="U1040" s="46" t="n"/>
      <c r="V1040" s="46" t="n"/>
      <c r="W1040" s="46" t="n"/>
      <c r="X1040" s="46" t="n"/>
      <c r="Y1040" s="46" t="n"/>
      <c r="Z1040" s="46" t="n"/>
      <c r="AA1040" s="46" t="n"/>
      <c r="AB1040" s="46" t="n"/>
      <c r="AC1040" s="46" t="n"/>
      <c r="AD1040" s="46" t="n"/>
      <c r="AE1040" s="46" t="n"/>
      <c r="AF1040" s="46" t="n"/>
      <c r="AG1040" s="46" t="n"/>
      <c r="AH1040" s="46" t="n"/>
      <c r="AI1040" s="46" t="n"/>
      <c r="AJ1040" s="46" t="n"/>
      <c r="AK1040" s="46" t="n"/>
      <c r="AL1040" s="46" t="n"/>
      <c r="AM1040" s="46" t="n"/>
      <c r="AN1040" s="46" t="n"/>
      <c r="AO1040" s="46" t="n"/>
      <c r="AP1040" s="46" t="n"/>
      <c r="AQ1040" s="46" t="n"/>
      <c r="AR1040" s="46" t="n"/>
      <c r="AS1040" s="46" t="n"/>
      <c r="AV1040" s="36">
        <f>IF($C1040="","",EMPLOYES!M31)</f>
        <v/>
      </c>
      <c r="AW1040" s="36">
        <f>IF($C1040="",0,SUMPRODUCT(--(O1040:AS1040="C")))</f>
        <v/>
      </c>
      <c r="AX1040" s="36">
        <f>IF($C1040="",0,SUMPRODUCT(--(O1040:AS1040="R")))</f>
        <v/>
      </c>
      <c r="AY1040" s="44" t="n"/>
    </row>
    <row r="1041" hidden="1" outlineLevel="1" ht="15" customHeight="1" s="15">
      <c r="B1041" s="41" t="n">
        <v>5</v>
      </c>
      <c r="C1041" s="42">
        <f>IF(EMPLOYES!C32="","",EMPLOYES!C32)</f>
        <v/>
      </c>
      <c r="D1041" s="43">
        <f>IF(EMPLOYES!C32="","",EMPLOYES!D32)</f>
        <v/>
      </c>
      <c r="E1041" s="44" t="n"/>
      <c r="F1041" s="42" t="n"/>
      <c r="G1041" s="41">
        <f>IF($C1041="",0,MAX(0,$M1041-$N1041))</f>
        <v/>
      </c>
      <c r="H1041" s="45" t="n"/>
      <c r="I1041" s="41">
        <f>IF($C1041="","",IF(H1041="","OK",IF(H1041&gt;EMPLOYES!P32,"⚠ Avance &gt; salaire",IF(H1041&gt;EMPLOYES!P32*PARAMETRES!$C$218,"⚠ Avance élevée","OK"))))</f>
        <v/>
      </c>
      <c r="J1041" s="45" t="n"/>
      <c r="K1041" s="46" t="n"/>
      <c r="L1041" s="46" t="n"/>
      <c r="M1041" s="41">
        <f>IF($C1041="","",SUMPRODUCT((PARAMETRES!$B$38:$B$157=PARAMETRES!$C$29)*(PARAMETRES!$C$38:$C$157=5)*(IF(EMPLOYES!M32="5j",PARAMETRES!$I$38:$I$157,PARAMETRES!$H$38:$H$157))))</f>
        <v/>
      </c>
      <c r="N1041" s="41">
        <f>IF($C1041="","",SUMPRODUCT((O1041:AS1041="P")+(O1041:AS1041="F")+(O1041:AS1041="C")+0.5*(O1041:AS1041="D"),(1-((O1021:AS1021=6)*(EMPLOYES!M32="5j")))))</f>
        <v/>
      </c>
      <c r="O1041" s="46" t="n"/>
      <c r="P1041" s="46" t="n"/>
      <c r="Q1041" s="46" t="n"/>
      <c r="R1041" s="46" t="n"/>
      <c r="S1041" s="46" t="n"/>
      <c r="T1041" s="46" t="n"/>
      <c r="U1041" s="46" t="n"/>
      <c r="V1041" s="46" t="n"/>
      <c r="W1041" s="46" t="n"/>
      <c r="X1041" s="46" t="n"/>
      <c r="Y1041" s="46" t="n"/>
      <c r="Z1041" s="46" t="n"/>
      <c r="AA1041" s="46" t="n"/>
      <c r="AB1041" s="46" t="n"/>
      <c r="AC1041" s="46" t="n"/>
      <c r="AD1041" s="46" t="n"/>
      <c r="AE1041" s="46" t="n"/>
      <c r="AF1041" s="46" t="n"/>
      <c r="AG1041" s="46" t="n"/>
      <c r="AH1041" s="46" t="n"/>
      <c r="AI1041" s="46" t="n"/>
      <c r="AJ1041" s="46" t="n"/>
      <c r="AK1041" s="46" t="n"/>
      <c r="AL1041" s="46" t="n"/>
      <c r="AM1041" s="46" t="n"/>
      <c r="AN1041" s="46" t="n"/>
      <c r="AO1041" s="46" t="n"/>
      <c r="AP1041" s="46" t="n"/>
      <c r="AQ1041" s="46" t="n"/>
      <c r="AR1041" s="46" t="n"/>
      <c r="AS1041" s="46" t="n"/>
      <c r="AV1041" s="36">
        <f>IF($C1041="","",EMPLOYES!M32)</f>
        <v/>
      </c>
      <c r="AW1041" s="36">
        <f>IF($C1041="",0,SUMPRODUCT(--(O1041:AS1041="C")))</f>
        <v/>
      </c>
      <c r="AX1041" s="36">
        <f>IF($C1041="",0,SUMPRODUCT(--(O1041:AS1041="R")))</f>
        <v/>
      </c>
      <c r="AY1041" s="44" t="n"/>
    </row>
    <row r="1042" hidden="1" outlineLevel="1" ht="15" customHeight="1" s="15">
      <c r="B1042" s="41" t="n">
        <v>5</v>
      </c>
      <c r="C1042" s="42">
        <f>IF(EMPLOYES!C33="","",EMPLOYES!C33)</f>
        <v/>
      </c>
      <c r="D1042" s="43">
        <f>IF(EMPLOYES!C33="","",EMPLOYES!D33)</f>
        <v/>
      </c>
      <c r="E1042" s="44" t="n"/>
      <c r="F1042" s="42" t="n"/>
      <c r="G1042" s="41">
        <f>IF($C1042="",0,MAX(0,$M1042-$N1042))</f>
        <v/>
      </c>
      <c r="H1042" s="45" t="n"/>
      <c r="I1042" s="41">
        <f>IF($C1042="","",IF(H1042="","OK",IF(H1042&gt;EMPLOYES!P33,"⚠ Avance &gt; salaire",IF(H1042&gt;EMPLOYES!P33*PARAMETRES!$C$218,"⚠ Avance élevée","OK"))))</f>
        <v/>
      </c>
      <c r="J1042" s="45" t="n"/>
      <c r="K1042" s="46" t="n"/>
      <c r="L1042" s="46" t="n"/>
      <c r="M1042" s="41">
        <f>IF($C1042="","",SUMPRODUCT((PARAMETRES!$B$38:$B$157=PARAMETRES!$C$29)*(PARAMETRES!$C$38:$C$157=5)*(IF(EMPLOYES!M33="5j",PARAMETRES!$I$38:$I$157,PARAMETRES!$H$38:$H$157))))</f>
        <v/>
      </c>
      <c r="N1042" s="41">
        <f>IF($C1042="","",SUMPRODUCT((O1042:AS1042="P")+(O1042:AS1042="F")+(O1042:AS1042="C")+0.5*(O1042:AS1042="D"),(1-((O1021:AS1021=6)*(EMPLOYES!M33="5j")))))</f>
        <v/>
      </c>
      <c r="O1042" s="46" t="n"/>
      <c r="P1042" s="46" t="n"/>
      <c r="Q1042" s="46" t="n"/>
      <c r="R1042" s="46" t="n"/>
      <c r="S1042" s="46" t="n"/>
      <c r="T1042" s="46" t="n"/>
      <c r="U1042" s="46" t="n"/>
      <c r="V1042" s="46" t="n"/>
      <c r="W1042" s="46" t="n"/>
      <c r="X1042" s="46" t="n"/>
      <c r="Y1042" s="46" t="n"/>
      <c r="Z1042" s="46" t="n"/>
      <c r="AA1042" s="46" t="n"/>
      <c r="AB1042" s="46" t="n"/>
      <c r="AC1042" s="46" t="n"/>
      <c r="AD1042" s="46" t="n"/>
      <c r="AE1042" s="46" t="n"/>
      <c r="AF1042" s="46" t="n"/>
      <c r="AG1042" s="46" t="n"/>
      <c r="AH1042" s="46" t="n"/>
      <c r="AI1042" s="46" t="n"/>
      <c r="AJ1042" s="46" t="n"/>
      <c r="AK1042" s="46" t="n"/>
      <c r="AL1042" s="46" t="n"/>
      <c r="AM1042" s="46" t="n"/>
      <c r="AN1042" s="46" t="n"/>
      <c r="AO1042" s="46" t="n"/>
      <c r="AP1042" s="46" t="n"/>
      <c r="AQ1042" s="46" t="n"/>
      <c r="AR1042" s="46" t="n"/>
      <c r="AS1042" s="46" t="n"/>
      <c r="AV1042" s="36">
        <f>IF($C1042="","",EMPLOYES!M33)</f>
        <v/>
      </c>
      <c r="AW1042" s="36">
        <f>IF($C1042="",0,SUMPRODUCT(--(O1042:AS1042="C")))</f>
        <v/>
      </c>
      <c r="AX1042" s="36">
        <f>IF($C1042="",0,SUMPRODUCT(--(O1042:AS1042="R")))</f>
        <v/>
      </c>
      <c r="AY1042" s="44" t="n"/>
    </row>
    <row r="1043" hidden="1" outlineLevel="1" ht="15" customHeight="1" s="15">
      <c r="B1043" s="41" t="n">
        <v>5</v>
      </c>
      <c r="C1043" s="42">
        <f>IF(EMPLOYES!C34="","",EMPLOYES!C34)</f>
        <v/>
      </c>
      <c r="D1043" s="43">
        <f>IF(EMPLOYES!C34="","",EMPLOYES!D34)</f>
        <v/>
      </c>
      <c r="E1043" s="44" t="n"/>
      <c r="F1043" s="42" t="n"/>
      <c r="G1043" s="41">
        <f>IF($C1043="",0,MAX(0,$M1043-$N1043))</f>
        <v/>
      </c>
      <c r="H1043" s="45" t="n"/>
      <c r="I1043" s="41">
        <f>IF($C1043="","",IF(H1043="","OK",IF(H1043&gt;EMPLOYES!P34,"⚠ Avance &gt; salaire",IF(H1043&gt;EMPLOYES!P34*PARAMETRES!$C$218,"⚠ Avance élevée","OK"))))</f>
        <v/>
      </c>
      <c r="J1043" s="45" t="n"/>
      <c r="K1043" s="46" t="n"/>
      <c r="L1043" s="46" t="n"/>
      <c r="M1043" s="41">
        <f>IF($C1043="","",SUMPRODUCT((PARAMETRES!$B$38:$B$157=PARAMETRES!$C$29)*(PARAMETRES!$C$38:$C$157=5)*(IF(EMPLOYES!M34="5j",PARAMETRES!$I$38:$I$157,PARAMETRES!$H$38:$H$157))))</f>
        <v/>
      </c>
      <c r="N1043" s="41">
        <f>IF($C1043="","",SUMPRODUCT((O1043:AS1043="P")+(O1043:AS1043="F")+(O1043:AS1043="C")+0.5*(O1043:AS1043="D"),(1-((O1021:AS1021=6)*(EMPLOYES!M34="5j")))))</f>
        <v/>
      </c>
      <c r="O1043" s="46" t="n"/>
      <c r="P1043" s="46" t="n"/>
      <c r="Q1043" s="46" t="n"/>
      <c r="R1043" s="46" t="n"/>
      <c r="S1043" s="46" t="n"/>
      <c r="T1043" s="46" t="n"/>
      <c r="U1043" s="46" t="n"/>
      <c r="V1043" s="46" t="n"/>
      <c r="W1043" s="46" t="n"/>
      <c r="X1043" s="46" t="n"/>
      <c r="Y1043" s="46" t="n"/>
      <c r="Z1043" s="46" t="n"/>
      <c r="AA1043" s="46" t="n"/>
      <c r="AB1043" s="46" t="n"/>
      <c r="AC1043" s="46" t="n"/>
      <c r="AD1043" s="46" t="n"/>
      <c r="AE1043" s="46" t="n"/>
      <c r="AF1043" s="46" t="n"/>
      <c r="AG1043" s="46" t="n"/>
      <c r="AH1043" s="46" t="n"/>
      <c r="AI1043" s="46" t="n"/>
      <c r="AJ1043" s="46" t="n"/>
      <c r="AK1043" s="46" t="n"/>
      <c r="AL1043" s="46" t="n"/>
      <c r="AM1043" s="46" t="n"/>
      <c r="AN1043" s="46" t="n"/>
      <c r="AO1043" s="46" t="n"/>
      <c r="AP1043" s="46" t="n"/>
      <c r="AQ1043" s="46" t="n"/>
      <c r="AR1043" s="46" t="n"/>
      <c r="AS1043" s="46" t="n"/>
      <c r="AV1043" s="36">
        <f>IF($C1043="","",EMPLOYES!M34)</f>
        <v/>
      </c>
      <c r="AW1043" s="36">
        <f>IF($C1043="",0,SUMPRODUCT(--(O1043:AS1043="C")))</f>
        <v/>
      </c>
      <c r="AX1043" s="36">
        <f>IF($C1043="",0,SUMPRODUCT(--(O1043:AS1043="R")))</f>
        <v/>
      </c>
      <c r="AY1043" s="44" t="n"/>
    </row>
    <row r="1044" hidden="1" outlineLevel="1" ht="15" customHeight="1" s="15">
      <c r="B1044" s="41" t="n">
        <v>5</v>
      </c>
      <c r="C1044" s="42">
        <f>IF(EMPLOYES!C35="","",EMPLOYES!C35)</f>
        <v/>
      </c>
      <c r="D1044" s="43">
        <f>IF(EMPLOYES!C35="","",EMPLOYES!D35)</f>
        <v/>
      </c>
      <c r="E1044" s="44" t="n"/>
      <c r="F1044" s="42" t="n"/>
      <c r="G1044" s="41">
        <f>IF($C1044="",0,MAX(0,$M1044-$N1044))</f>
        <v/>
      </c>
      <c r="H1044" s="45" t="n"/>
      <c r="I1044" s="41">
        <f>IF($C1044="","",IF(H1044="","OK",IF(H1044&gt;EMPLOYES!P35,"⚠ Avance &gt; salaire",IF(H1044&gt;EMPLOYES!P35*PARAMETRES!$C$218,"⚠ Avance élevée","OK"))))</f>
        <v/>
      </c>
      <c r="J1044" s="45" t="n"/>
      <c r="K1044" s="46" t="n"/>
      <c r="L1044" s="46" t="n"/>
      <c r="M1044" s="41">
        <f>IF($C1044="","",SUMPRODUCT((PARAMETRES!$B$38:$B$157=PARAMETRES!$C$29)*(PARAMETRES!$C$38:$C$157=5)*(IF(EMPLOYES!M35="5j",PARAMETRES!$I$38:$I$157,PARAMETRES!$H$38:$H$157))))</f>
        <v/>
      </c>
      <c r="N1044" s="41">
        <f>IF($C1044="","",SUMPRODUCT((O1044:AS1044="P")+(O1044:AS1044="F")+(O1044:AS1044="C")+0.5*(O1044:AS1044="D"),(1-((O1021:AS1021=6)*(EMPLOYES!M35="5j")))))</f>
        <v/>
      </c>
      <c r="O1044" s="46" t="n"/>
      <c r="P1044" s="46" t="n"/>
      <c r="Q1044" s="46" t="n"/>
      <c r="R1044" s="46" t="n"/>
      <c r="S1044" s="46" t="n"/>
      <c r="T1044" s="46" t="n"/>
      <c r="U1044" s="46" t="n"/>
      <c r="V1044" s="46" t="n"/>
      <c r="W1044" s="46" t="n"/>
      <c r="X1044" s="46" t="n"/>
      <c r="Y1044" s="46" t="n"/>
      <c r="Z1044" s="46" t="n"/>
      <c r="AA1044" s="46" t="n"/>
      <c r="AB1044" s="46" t="n"/>
      <c r="AC1044" s="46" t="n"/>
      <c r="AD1044" s="46" t="n"/>
      <c r="AE1044" s="46" t="n"/>
      <c r="AF1044" s="46" t="n"/>
      <c r="AG1044" s="46" t="n"/>
      <c r="AH1044" s="46" t="n"/>
      <c r="AI1044" s="46" t="n"/>
      <c r="AJ1044" s="46" t="n"/>
      <c r="AK1044" s="46" t="n"/>
      <c r="AL1044" s="46" t="n"/>
      <c r="AM1044" s="46" t="n"/>
      <c r="AN1044" s="46" t="n"/>
      <c r="AO1044" s="46" t="n"/>
      <c r="AP1044" s="46" t="n"/>
      <c r="AQ1044" s="46" t="n"/>
      <c r="AR1044" s="46" t="n"/>
      <c r="AS1044" s="46" t="n"/>
      <c r="AV1044" s="36">
        <f>IF($C1044="","",EMPLOYES!M35)</f>
        <v/>
      </c>
      <c r="AW1044" s="36">
        <f>IF($C1044="",0,SUMPRODUCT(--(O1044:AS1044="C")))</f>
        <v/>
      </c>
      <c r="AX1044" s="36">
        <f>IF($C1044="",0,SUMPRODUCT(--(O1044:AS1044="R")))</f>
        <v/>
      </c>
      <c r="AY1044" s="44" t="n"/>
    </row>
    <row r="1045" hidden="1" outlineLevel="1" ht="15" customHeight="1" s="15">
      <c r="B1045" s="41" t="n">
        <v>5</v>
      </c>
      <c r="C1045" s="42">
        <f>IF(EMPLOYES!C36="","",EMPLOYES!C36)</f>
        <v/>
      </c>
      <c r="D1045" s="43">
        <f>IF(EMPLOYES!C36="","",EMPLOYES!D36)</f>
        <v/>
      </c>
      <c r="E1045" s="44" t="n"/>
      <c r="F1045" s="42" t="n"/>
      <c r="G1045" s="41">
        <f>IF($C1045="",0,MAX(0,$M1045-$N1045))</f>
        <v/>
      </c>
      <c r="H1045" s="45" t="n"/>
      <c r="I1045" s="41">
        <f>IF($C1045="","",IF(H1045="","OK",IF(H1045&gt;EMPLOYES!P36,"⚠ Avance &gt; salaire",IF(H1045&gt;EMPLOYES!P36*PARAMETRES!$C$218,"⚠ Avance élevée","OK"))))</f>
        <v/>
      </c>
      <c r="J1045" s="45" t="n"/>
      <c r="K1045" s="46" t="n"/>
      <c r="L1045" s="46" t="n"/>
      <c r="M1045" s="41">
        <f>IF($C1045="","",SUMPRODUCT((PARAMETRES!$B$38:$B$157=PARAMETRES!$C$29)*(PARAMETRES!$C$38:$C$157=5)*(IF(EMPLOYES!M36="5j",PARAMETRES!$I$38:$I$157,PARAMETRES!$H$38:$H$157))))</f>
        <v/>
      </c>
      <c r="N1045" s="41">
        <f>IF($C1045="","",SUMPRODUCT((O1045:AS1045="P")+(O1045:AS1045="F")+(O1045:AS1045="C")+0.5*(O1045:AS1045="D"),(1-((O1021:AS1021=6)*(EMPLOYES!M36="5j")))))</f>
        <v/>
      </c>
      <c r="O1045" s="46" t="n"/>
      <c r="P1045" s="46" t="n"/>
      <c r="Q1045" s="46" t="n"/>
      <c r="R1045" s="46" t="n"/>
      <c r="S1045" s="46" t="n"/>
      <c r="T1045" s="46" t="n"/>
      <c r="U1045" s="46" t="n"/>
      <c r="V1045" s="46" t="n"/>
      <c r="W1045" s="46" t="n"/>
      <c r="X1045" s="46" t="n"/>
      <c r="Y1045" s="46" t="n"/>
      <c r="Z1045" s="46" t="n"/>
      <c r="AA1045" s="46" t="n"/>
      <c r="AB1045" s="46" t="n"/>
      <c r="AC1045" s="46" t="n"/>
      <c r="AD1045" s="46" t="n"/>
      <c r="AE1045" s="46" t="n"/>
      <c r="AF1045" s="46" t="n"/>
      <c r="AG1045" s="46" t="n"/>
      <c r="AH1045" s="46" t="n"/>
      <c r="AI1045" s="46" t="n"/>
      <c r="AJ1045" s="46" t="n"/>
      <c r="AK1045" s="46" t="n"/>
      <c r="AL1045" s="46" t="n"/>
      <c r="AM1045" s="46" t="n"/>
      <c r="AN1045" s="46" t="n"/>
      <c r="AO1045" s="46" t="n"/>
      <c r="AP1045" s="46" t="n"/>
      <c r="AQ1045" s="46" t="n"/>
      <c r="AR1045" s="46" t="n"/>
      <c r="AS1045" s="46" t="n"/>
      <c r="AV1045" s="36">
        <f>IF($C1045="","",EMPLOYES!M36)</f>
        <v/>
      </c>
      <c r="AW1045" s="36">
        <f>IF($C1045="",0,SUMPRODUCT(--(O1045:AS1045="C")))</f>
        <v/>
      </c>
      <c r="AX1045" s="36">
        <f>IF($C1045="",0,SUMPRODUCT(--(O1045:AS1045="R")))</f>
        <v/>
      </c>
      <c r="AY1045" s="44" t="n"/>
    </row>
    <row r="1046" hidden="1" outlineLevel="1" ht="15" customHeight="1" s="15">
      <c r="B1046" s="41" t="n">
        <v>5</v>
      </c>
      <c r="C1046" s="42">
        <f>IF(EMPLOYES!C37="","",EMPLOYES!C37)</f>
        <v/>
      </c>
      <c r="D1046" s="43">
        <f>IF(EMPLOYES!C37="","",EMPLOYES!D37)</f>
        <v/>
      </c>
      <c r="E1046" s="44" t="n"/>
      <c r="F1046" s="42" t="n"/>
      <c r="G1046" s="41">
        <f>IF($C1046="",0,MAX(0,$M1046-$N1046))</f>
        <v/>
      </c>
      <c r="H1046" s="45" t="n"/>
      <c r="I1046" s="41">
        <f>IF($C1046="","",IF(H1046="","OK",IF(H1046&gt;EMPLOYES!P37,"⚠ Avance &gt; salaire",IF(H1046&gt;EMPLOYES!P37*PARAMETRES!$C$218,"⚠ Avance élevée","OK"))))</f>
        <v/>
      </c>
      <c r="J1046" s="45" t="n"/>
      <c r="K1046" s="46" t="n"/>
      <c r="L1046" s="46" t="n"/>
      <c r="M1046" s="41">
        <f>IF($C1046="","",SUMPRODUCT((PARAMETRES!$B$38:$B$157=PARAMETRES!$C$29)*(PARAMETRES!$C$38:$C$157=5)*(IF(EMPLOYES!M37="5j",PARAMETRES!$I$38:$I$157,PARAMETRES!$H$38:$H$157))))</f>
        <v/>
      </c>
      <c r="N1046" s="41">
        <f>IF($C1046="","",SUMPRODUCT((O1046:AS1046="P")+(O1046:AS1046="F")+(O1046:AS1046="C")+0.5*(O1046:AS1046="D"),(1-((O1021:AS1021=6)*(EMPLOYES!M37="5j")))))</f>
        <v/>
      </c>
      <c r="O1046" s="46" t="n"/>
      <c r="P1046" s="46" t="n"/>
      <c r="Q1046" s="46" t="n"/>
      <c r="R1046" s="46" t="n"/>
      <c r="S1046" s="46" t="n"/>
      <c r="T1046" s="46" t="n"/>
      <c r="U1046" s="46" t="n"/>
      <c r="V1046" s="46" t="n"/>
      <c r="W1046" s="46" t="n"/>
      <c r="X1046" s="46" t="n"/>
      <c r="Y1046" s="46" t="n"/>
      <c r="Z1046" s="46" t="n"/>
      <c r="AA1046" s="46" t="n"/>
      <c r="AB1046" s="46" t="n"/>
      <c r="AC1046" s="46" t="n"/>
      <c r="AD1046" s="46" t="n"/>
      <c r="AE1046" s="46" t="n"/>
      <c r="AF1046" s="46" t="n"/>
      <c r="AG1046" s="46" t="n"/>
      <c r="AH1046" s="46" t="n"/>
      <c r="AI1046" s="46" t="n"/>
      <c r="AJ1046" s="46" t="n"/>
      <c r="AK1046" s="46" t="n"/>
      <c r="AL1046" s="46" t="n"/>
      <c r="AM1046" s="46" t="n"/>
      <c r="AN1046" s="46" t="n"/>
      <c r="AO1046" s="46" t="n"/>
      <c r="AP1046" s="46" t="n"/>
      <c r="AQ1046" s="46" t="n"/>
      <c r="AR1046" s="46" t="n"/>
      <c r="AS1046" s="46" t="n"/>
      <c r="AV1046" s="36">
        <f>IF($C1046="","",EMPLOYES!M37)</f>
        <v/>
      </c>
      <c r="AW1046" s="36">
        <f>IF($C1046="",0,SUMPRODUCT(--(O1046:AS1046="C")))</f>
        <v/>
      </c>
      <c r="AX1046" s="36">
        <f>IF($C1046="",0,SUMPRODUCT(--(O1046:AS1046="R")))</f>
        <v/>
      </c>
      <c r="AY1046" s="44" t="n"/>
    </row>
    <row r="1047" hidden="1" outlineLevel="1" ht="15" customHeight="1" s="15">
      <c r="B1047" s="41" t="n">
        <v>5</v>
      </c>
      <c r="C1047" s="42">
        <f>IF(EMPLOYES!C38="","",EMPLOYES!C38)</f>
        <v/>
      </c>
      <c r="D1047" s="43">
        <f>IF(EMPLOYES!C38="","",EMPLOYES!D38)</f>
        <v/>
      </c>
      <c r="E1047" s="44" t="n"/>
      <c r="F1047" s="42" t="n"/>
      <c r="G1047" s="41">
        <f>IF($C1047="",0,MAX(0,$M1047-$N1047))</f>
        <v/>
      </c>
      <c r="H1047" s="45" t="n"/>
      <c r="I1047" s="41">
        <f>IF($C1047="","",IF(H1047="","OK",IF(H1047&gt;EMPLOYES!P38,"⚠ Avance &gt; salaire",IF(H1047&gt;EMPLOYES!P38*PARAMETRES!$C$218,"⚠ Avance élevée","OK"))))</f>
        <v/>
      </c>
      <c r="J1047" s="45" t="n"/>
      <c r="K1047" s="46" t="n"/>
      <c r="L1047" s="46" t="n"/>
      <c r="M1047" s="41">
        <f>IF($C1047="","",SUMPRODUCT((PARAMETRES!$B$38:$B$157=PARAMETRES!$C$29)*(PARAMETRES!$C$38:$C$157=5)*(IF(EMPLOYES!M38="5j",PARAMETRES!$I$38:$I$157,PARAMETRES!$H$38:$H$157))))</f>
        <v/>
      </c>
      <c r="N1047" s="41">
        <f>IF($C1047="","",SUMPRODUCT((O1047:AS1047="P")+(O1047:AS1047="F")+(O1047:AS1047="C")+0.5*(O1047:AS1047="D"),(1-((O1021:AS1021=6)*(EMPLOYES!M38="5j")))))</f>
        <v/>
      </c>
      <c r="O1047" s="46" t="n"/>
      <c r="P1047" s="46" t="n"/>
      <c r="Q1047" s="46" t="n"/>
      <c r="R1047" s="46" t="n"/>
      <c r="S1047" s="46" t="n"/>
      <c r="T1047" s="46" t="n"/>
      <c r="U1047" s="46" t="n"/>
      <c r="V1047" s="46" t="n"/>
      <c r="W1047" s="46" t="n"/>
      <c r="X1047" s="46" t="n"/>
      <c r="Y1047" s="46" t="n"/>
      <c r="Z1047" s="46" t="n"/>
      <c r="AA1047" s="46" t="n"/>
      <c r="AB1047" s="46" t="n"/>
      <c r="AC1047" s="46" t="n"/>
      <c r="AD1047" s="46" t="n"/>
      <c r="AE1047" s="46" t="n"/>
      <c r="AF1047" s="46" t="n"/>
      <c r="AG1047" s="46" t="n"/>
      <c r="AH1047" s="46" t="n"/>
      <c r="AI1047" s="46" t="n"/>
      <c r="AJ1047" s="46" t="n"/>
      <c r="AK1047" s="46" t="n"/>
      <c r="AL1047" s="46" t="n"/>
      <c r="AM1047" s="46" t="n"/>
      <c r="AN1047" s="46" t="n"/>
      <c r="AO1047" s="46" t="n"/>
      <c r="AP1047" s="46" t="n"/>
      <c r="AQ1047" s="46" t="n"/>
      <c r="AR1047" s="46" t="n"/>
      <c r="AS1047" s="46" t="n"/>
      <c r="AV1047" s="36">
        <f>IF($C1047="","",EMPLOYES!M38)</f>
        <v/>
      </c>
      <c r="AW1047" s="36">
        <f>IF($C1047="",0,SUMPRODUCT(--(O1047:AS1047="C")))</f>
        <v/>
      </c>
      <c r="AX1047" s="36">
        <f>IF($C1047="",0,SUMPRODUCT(--(O1047:AS1047="R")))</f>
        <v/>
      </c>
      <c r="AY1047" s="44" t="n"/>
    </row>
    <row r="1048" hidden="1" outlineLevel="1" ht="15" customHeight="1" s="15">
      <c r="B1048" s="41" t="n">
        <v>5</v>
      </c>
      <c r="C1048" s="42">
        <f>IF(EMPLOYES!C39="","",EMPLOYES!C39)</f>
        <v/>
      </c>
      <c r="D1048" s="43">
        <f>IF(EMPLOYES!C39="","",EMPLOYES!D39)</f>
        <v/>
      </c>
      <c r="E1048" s="44" t="n"/>
      <c r="F1048" s="42" t="n"/>
      <c r="G1048" s="41">
        <f>IF($C1048="",0,MAX(0,$M1048-$N1048))</f>
        <v/>
      </c>
      <c r="H1048" s="45" t="n"/>
      <c r="I1048" s="41">
        <f>IF($C1048="","",IF(H1048="","OK",IF(H1048&gt;EMPLOYES!P39,"⚠ Avance &gt; salaire",IF(H1048&gt;EMPLOYES!P39*PARAMETRES!$C$218,"⚠ Avance élevée","OK"))))</f>
        <v/>
      </c>
      <c r="J1048" s="45" t="n"/>
      <c r="K1048" s="46" t="n"/>
      <c r="L1048" s="46" t="n"/>
      <c r="M1048" s="41">
        <f>IF($C1048="","",SUMPRODUCT((PARAMETRES!$B$38:$B$157=PARAMETRES!$C$29)*(PARAMETRES!$C$38:$C$157=5)*(IF(EMPLOYES!M39="5j",PARAMETRES!$I$38:$I$157,PARAMETRES!$H$38:$H$157))))</f>
        <v/>
      </c>
      <c r="N1048" s="41">
        <f>IF($C1048="","",SUMPRODUCT((O1048:AS1048="P")+(O1048:AS1048="F")+(O1048:AS1048="C")+0.5*(O1048:AS1048="D"),(1-((O1021:AS1021=6)*(EMPLOYES!M39="5j")))))</f>
        <v/>
      </c>
      <c r="O1048" s="46" t="n"/>
      <c r="P1048" s="46" t="n"/>
      <c r="Q1048" s="46" t="n"/>
      <c r="R1048" s="46" t="n"/>
      <c r="S1048" s="46" t="n"/>
      <c r="T1048" s="46" t="n"/>
      <c r="U1048" s="46" t="n"/>
      <c r="V1048" s="46" t="n"/>
      <c r="W1048" s="46" t="n"/>
      <c r="X1048" s="46" t="n"/>
      <c r="Y1048" s="46" t="n"/>
      <c r="Z1048" s="46" t="n"/>
      <c r="AA1048" s="46" t="n"/>
      <c r="AB1048" s="46" t="n"/>
      <c r="AC1048" s="46" t="n"/>
      <c r="AD1048" s="46" t="n"/>
      <c r="AE1048" s="46" t="n"/>
      <c r="AF1048" s="46" t="n"/>
      <c r="AG1048" s="46" t="n"/>
      <c r="AH1048" s="46" t="n"/>
      <c r="AI1048" s="46" t="n"/>
      <c r="AJ1048" s="46" t="n"/>
      <c r="AK1048" s="46" t="n"/>
      <c r="AL1048" s="46" t="n"/>
      <c r="AM1048" s="46" t="n"/>
      <c r="AN1048" s="46" t="n"/>
      <c r="AO1048" s="46" t="n"/>
      <c r="AP1048" s="46" t="n"/>
      <c r="AQ1048" s="46" t="n"/>
      <c r="AR1048" s="46" t="n"/>
      <c r="AS1048" s="46" t="n"/>
      <c r="AV1048" s="36">
        <f>IF($C1048="","",EMPLOYES!M39)</f>
        <v/>
      </c>
      <c r="AW1048" s="36">
        <f>IF($C1048="",0,SUMPRODUCT(--(O1048:AS1048="C")))</f>
        <v/>
      </c>
      <c r="AX1048" s="36">
        <f>IF($C1048="",0,SUMPRODUCT(--(O1048:AS1048="R")))</f>
        <v/>
      </c>
      <c r="AY1048" s="44" t="n"/>
    </row>
    <row r="1049" hidden="1" outlineLevel="1" ht="15" customHeight="1" s="15">
      <c r="B1049" s="41" t="n">
        <v>5</v>
      </c>
      <c r="C1049" s="42">
        <f>IF(EMPLOYES!C40="","",EMPLOYES!C40)</f>
        <v/>
      </c>
      <c r="D1049" s="43">
        <f>IF(EMPLOYES!C40="","",EMPLOYES!D40)</f>
        <v/>
      </c>
      <c r="E1049" s="44" t="n"/>
      <c r="F1049" s="42" t="n"/>
      <c r="G1049" s="41">
        <f>IF($C1049="",0,MAX(0,$M1049-$N1049))</f>
        <v/>
      </c>
      <c r="H1049" s="45" t="n"/>
      <c r="I1049" s="41">
        <f>IF($C1049="","",IF(H1049="","OK",IF(H1049&gt;EMPLOYES!P40,"⚠ Avance &gt; salaire",IF(H1049&gt;EMPLOYES!P40*PARAMETRES!$C$218,"⚠ Avance élevée","OK"))))</f>
        <v/>
      </c>
      <c r="J1049" s="45" t="n"/>
      <c r="K1049" s="46" t="n"/>
      <c r="L1049" s="46" t="n"/>
      <c r="M1049" s="41">
        <f>IF($C1049="","",SUMPRODUCT((PARAMETRES!$B$38:$B$157=PARAMETRES!$C$29)*(PARAMETRES!$C$38:$C$157=5)*(IF(EMPLOYES!M40="5j",PARAMETRES!$I$38:$I$157,PARAMETRES!$H$38:$H$157))))</f>
        <v/>
      </c>
      <c r="N1049" s="41">
        <f>IF($C1049="","",SUMPRODUCT((O1049:AS1049="P")+(O1049:AS1049="F")+(O1049:AS1049="C")+0.5*(O1049:AS1049="D"),(1-((O1021:AS1021=6)*(EMPLOYES!M40="5j")))))</f>
        <v/>
      </c>
      <c r="O1049" s="46" t="n"/>
      <c r="P1049" s="46" t="n"/>
      <c r="Q1049" s="46" t="n"/>
      <c r="R1049" s="46" t="n"/>
      <c r="S1049" s="46" t="n"/>
      <c r="T1049" s="46" t="n"/>
      <c r="U1049" s="46" t="n"/>
      <c r="V1049" s="46" t="n"/>
      <c r="W1049" s="46" t="n"/>
      <c r="X1049" s="46" t="n"/>
      <c r="Y1049" s="46" t="n"/>
      <c r="Z1049" s="46" t="n"/>
      <c r="AA1049" s="46" t="n"/>
      <c r="AB1049" s="46" t="n"/>
      <c r="AC1049" s="46" t="n"/>
      <c r="AD1049" s="46" t="n"/>
      <c r="AE1049" s="46" t="n"/>
      <c r="AF1049" s="46" t="n"/>
      <c r="AG1049" s="46" t="n"/>
      <c r="AH1049" s="46" t="n"/>
      <c r="AI1049" s="46" t="n"/>
      <c r="AJ1049" s="46" t="n"/>
      <c r="AK1049" s="46" t="n"/>
      <c r="AL1049" s="46" t="n"/>
      <c r="AM1049" s="46" t="n"/>
      <c r="AN1049" s="46" t="n"/>
      <c r="AO1049" s="46" t="n"/>
      <c r="AP1049" s="46" t="n"/>
      <c r="AQ1049" s="46" t="n"/>
      <c r="AR1049" s="46" t="n"/>
      <c r="AS1049" s="46" t="n"/>
      <c r="AV1049" s="36">
        <f>IF($C1049="","",EMPLOYES!M40)</f>
        <v/>
      </c>
      <c r="AW1049" s="36">
        <f>IF($C1049="",0,SUMPRODUCT(--(O1049:AS1049="C")))</f>
        <v/>
      </c>
      <c r="AX1049" s="36">
        <f>IF($C1049="",0,SUMPRODUCT(--(O1049:AS1049="R")))</f>
        <v/>
      </c>
      <c r="AY1049" s="44" t="n"/>
    </row>
    <row r="1050" hidden="1" outlineLevel="1" ht="15" customHeight="1" s="15">
      <c r="B1050" s="41" t="n">
        <v>5</v>
      </c>
      <c r="C1050" s="42">
        <f>IF(EMPLOYES!C41="","",EMPLOYES!C41)</f>
        <v/>
      </c>
      <c r="D1050" s="43">
        <f>IF(EMPLOYES!C41="","",EMPLOYES!D41)</f>
        <v/>
      </c>
      <c r="E1050" s="44" t="n"/>
      <c r="F1050" s="42" t="n"/>
      <c r="G1050" s="41">
        <f>IF($C1050="",0,MAX(0,$M1050-$N1050))</f>
        <v/>
      </c>
      <c r="H1050" s="45" t="n"/>
      <c r="I1050" s="41">
        <f>IF($C1050="","",IF(H1050="","OK",IF(H1050&gt;EMPLOYES!P41,"⚠ Avance &gt; salaire",IF(H1050&gt;EMPLOYES!P41*PARAMETRES!$C$218,"⚠ Avance élevée","OK"))))</f>
        <v/>
      </c>
      <c r="J1050" s="45" t="n"/>
      <c r="K1050" s="46" t="n"/>
      <c r="L1050" s="46" t="n"/>
      <c r="M1050" s="41">
        <f>IF($C1050="","",SUMPRODUCT((PARAMETRES!$B$38:$B$157=PARAMETRES!$C$29)*(PARAMETRES!$C$38:$C$157=5)*(IF(EMPLOYES!M41="5j",PARAMETRES!$I$38:$I$157,PARAMETRES!$H$38:$H$157))))</f>
        <v/>
      </c>
      <c r="N1050" s="41">
        <f>IF($C1050="","",SUMPRODUCT((O1050:AS1050="P")+(O1050:AS1050="F")+(O1050:AS1050="C")+0.5*(O1050:AS1050="D"),(1-((O1021:AS1021=6)*(EMPLOYES!M41="5j")))))</f>
        <v/>
      </c>
      <c r="O1050" s="46" t="n"/>
      <c r="P1050" s="46" t="n"/>
      <c r="Q1050" s="46" t="n"/>
      <c r="R1050" s="46" t="n"/>
      <c r="S1050" s="46" t="n"/>
      <c r="T1050" s="46" t="n"/>
      <c r="U1050" s="46" t="n"/>
      <c r="V1050" s="46" t="n"/>
      <c r="W1050" s="46" t="n"/>
      <c r="X1050" s="46" t="n"/>
      <c r="Y1050" s="46" t="n"/>
      <c r="Z1050" s="46" t="n"/>
      <c r="AA1050" s="46" t="n"/>
      <c r="AB1050" s="46" t="n"/>
      <c r="AC1050" s="46" t="n"/>
      <c r="AD1050" s="46" t="n"/>
      <c r="AE1050" s="46" t="n"/>
      <c r="AF1050" s="46" t="n"/>
      <c r="AG1050" s="46" t="n"/>
      <c r="AH1050" s="46" t="n"/>
      <c r="AI1050" s="46" t="n"/>
      <c r="AJ1050" s="46" t="n"/>
      <c r="AK1050" s="46" t="n"/>
      <c r="AL1050" s="46" t="n"/>
      <c r="AM1050" s="46" t="n"/>
      <c r="AN1050" s="46" t="n"/>
      <c r="AO1050" s="46" t="n"/>
      <c r="AP1050" s="46" t="n"/>
      <c r="AQ1050" s="46" t="n"/>
      <c r="AR1050" s="46" t="n"/>
      <c r="AS1050" s="46" t="n"/>
      <c r="AV1050" s="36">
        <f>IF($C1050="","",EMPLOYES!M41)</f>
        <v/>
      </c>
      <c r="AW1050" s="36">
        <f>IF($C1050="",0,SUMPRODUCT(--(O1050:AS1050="C")))</f>
        <v/>
      </c>
      <c r="AX1050" s="36">
        <f>IF($C1050="",0,SUMPRODUCT(--(O1050:AS1050="R")))</f>
        <v/>
      </c>
      <c r="AY1050" s="44" t="n"/>
    </row>
    <row r="1051" hidden="1" outlineLevel="1" ht="15" customHeight="1" s="15">
      <c r="B1051" s="41" t="n">
        <v>5</v>
      </c>
      <c r="C1051" s="42">
        <f>IF(EMPLOYES!C42="","",EMPLOYES!C42)</f>
        <v/>
      </c>
      <c r="D1051" s="43">
        <f>IF(EMPLOYES!C42="","",EMPLOYES!D42)</f>
        <v/>
      </c>
      <c r="E1051" s="44" t="n"/>
      <c r="F1051" s="42" t="n"/>
      <c r="G1051" s="41">
        <f>IF($C1051="",0,MAX(0,$M1051-$N1051))</f>
        <v/>
      </c>
      <c r="H1051" s="45" t="n"/>
      <c r="I1051" s="41">
        <f>IF($C1051="","",IF(H1051="","OK",IF(H1051&gt;EMPLOYES!P42,"⚠ Avance &gt; salaire",IF(H1051&gt;EMPLOYES!P42*PARAMETRES!$C$218,"⚠ Avance élevée","OK"))))</f>
        <v/>
      </c>
      <c r="J1051" s="45" t="n"/>
      <c r="K1051" s="46" t="n"/>
      <c r="L1051" s="46" t="n"/>
      <c r="M1051" s="41">
        <f>IF($C1051="","",SUMPRODUCT((PARAMETRES!$B$38:$B$157=PARAMETRES!$C$29)*(PARAMETRES!$C$38:$C$157=5)*(IF(EMPLOYES!M42="5j",PARAMETRES!$I$38:$I$157,PARAMETRES!$H$38:$H$157))))</f>
        <v/>
      </c>
      <c r="N1051" s="41">
        <f>IF($C1051="","",SUMPRODUCT((O1051:AS1051="P")+(O1051:AS1051="F")+(O1051:AS1051="C")+0.5*(O1051:AS1051="D"),(1-((O1021:AS1021=6)*(EMPLOYES!M42="5j")))))</f>
        <v/>
      </c>
      <c r="O1051" s="46" t="n"/>
      <c r="P1051" s="46" t="n"/>
      <c r="Q1051" s="46" t="n"/>
      <c r="R1051" s="46" t="n"/>
      <c r="S1051" s="46" t="n"/>
      <c r="T1051" s="46" t="n"/>
      <c r="U1051" s="46" t="n"/>
      <c r="V1051" s="46" t="n"/>
      <c r="W1051" s="46" t="n"/>
      <c r="X1051" s="46" t="n"/>
      <c r="Y1051" s="46" t="n"/>
      <c r="Z1051" s="46" t="n"/>
      <c r="AA1051" s="46" t="n"/>
      <c r="AB1051" s="46" t="n"/>
      <c r="AC1051" s="46" t="n"/>
      <c r="AD1051" s="46" t="n"/>
      <c r="AE1051" s="46" t="n"/>
      <c r="AF1051" s="46" t="n"/>
      <c r="AG1051" s="46" t="n"/>
      <c r="AH1051" s="46" t="n"/>
      <c r="AI1051" s="46" t="n"/>
      <c r="AJ1051" s="46" t="n"/>
      <c r="AK1051" s="46" t="n"/>
      <c r="AL1051" s="46" t="n"/>
      <c r="AM1051" s="46" t="n"/>
      <c r="AN1051" s="46" t="n"/>
      <c r="AO1051" s="46" t="n"/>
      <c r="AP1051" s="46" t="n"/>
      <c r="AQ1051" s="46" t="n"/>
      <c r="AR1051" s="46" t="n"/>
      <c r="AS1051" s="46" t="n"/>
      <c r="AV1051" s="36">
        <f>IF($C1051="","",EMPLOYES!M42)</f>
        <v/>
      </c>
      <c r="AW1051" s="36">
        <f>IF($C1051="",0,SUMPRODUCT(--(O1051:AS1051="C")))</f>
        <v/>
      </c>
      <c r="AX1051" s="36">
        <f>IF($C1051="",0,SUMPRODUCT(--(O1051:AS1051="R")))</f>
        <v/>
      </c>
      <c r="AY1051" s="44" t="n"/>
    </row>
    <row r="1052" hidden="1" outlineLevel="1" ht="15" customHeight="1" s="15">
      <c r="B1052" s="41" t="n">
        <v>5</v>
      </c>
      <c r="C1052" s="42">
        <f>IF(EMPLOYES!C43="","",EMPLOYES!C43)</f>
        <v/>
      </c>
      <c r="D1052" s="43">
        <f>IF(EMPLOYES!C43="","",EMPLOYES!D43)</f>
        <v/>
      </c>
      <c r="E1052" s="44" t="n"/>
      <c r="F1052" s="42" t="n"/>
      <c r="G1052" s="41">
        <f>IF($C1052="",0,MAX(0,$M1052-$N1052))</f>
        <v/>
      </c>
      <c r="H1052" s="45" t="n"/>
      <c r="I1052" s="41">
        <f>IF($C1052="","",IF(H1052="","OK",IF(H1052&gt;EMPLOYES!P43,"⚠ Avance &gt; salaire",IF(H1052&gt;EMPLOYES!P43*PARAMETRES!$C$218,"⚠ Avance élevée","OK"))))</f>
        <v/>
      </c>
      <c r="J1052" s="45" t="n"/>
      <c r="K1052" s="46" t="n"/>
      <c r="L1052" s="46" t="n"/>
      <c r="M1052" s="41">
        <f>IF($C1052="","",SUMPRODUCT((PARAMETRES!$B$38:$B$157=PARAMETRES!$C$29)*(PARAMETRES!$C$38:$C$157=5)*(IF(EMPLOYES!M43="5j",PARAMETRES!$I$38:$I$157,PARAMETRES!$H$38:$H$157))))</f>
        <v/>
      </c>
      <c r="N1052" s="41">
        <f>IF($C1052="","",SUMPRODUCT((O1052:AS1052="P")+(O1052:AS1052="F")+(O1052:AS1052="C")+0.5*(O1052:AS1052="D"),(1-((O1021:AS1021=6)*(EMPLOYES!M43="5j")))))</f>
        <v/>
      </c>
      <c r="O1052" s="46" t="n"/>
      <c r="P1052" s="46" t="n"/>
      <c r="Q1052" s="46" t="n"/>
      <c r="R1052" s="46" t="n"/>
      <c r="S1052" s="46" t="n"/>
      <c r="T1052" s="46" t="n"/>
      <c r="U1052" s="46" t="n"/>
      <c r="V1052" s="46" t="n"/>
      <c r="W1052" s="46" t="n"/>
      <c r="X1052" s="46" t="n"/>
      <c r="Y1052" s="46" t="n"/>
      <c r="Z1052" s="46" t="n"/>
      <c r="AA1052" s="46" t="n"/>
      <c r="AB1052" s="46" t="n"/>
      <c r="AC1052" s="46" t="n"/>
      <c r="AD1052" s="46" t="n"/>
      <c r="AE1052" s="46" t="n"/>
      <c r="AF1052" s="46" t="n"/>
      <c r="AG1052" s="46" t="n"/>
      <c r="AH1052" s="46" t="n"/>
      <c r="AI1052" s="46" t="n"/>
      <c r="AJ1052" s="46" t="n"/>
      <c r="AK1052" s="46" t="n"/>
      <c r="AL1052" s="46" t="n"/>
      <c r="AM1052" s="46" t="n"/>
      <c r="AN1052" s="46" t="n"/>
      <c r="AO1052" s="46" t="n"/>
      <c r="AP1052" s="46" t="n"/>
      <c r="AQ1052" s="46" t="n"/>
      <c r="AR1052" s="46" t="n"/>
      <c r="AS1052" s="46" t="n"/>
      <c r="AV1052" s="36">
        <f>IF($C1052="","",EMPLOYES!M43)</f>
        <v/>
      </c>
      <c r="AW1052" s="36">
        <f>IF($C1052="",0,SUMPRODUCT(--(O1052:AS1052="C")))</f>
        <v/>
      </c>
      <c r="AX1052" s="36">
        <f>IF($C1052="",0,SUMPRODUCT(--(O1052:AS1052="R")))</f>
        <v/>
      </c>
      <c r="AY1052" s="44" t="n"/>
    </row>
    <row r="1053" hidden="1" outlineLevel="1" ht="15" customHeight="1" s="15">
      <c r="B1053" s="41" t="n">
        <v>5</v>
      </c>
      <c r="C1053" s="42">
        <f>IF(EMPLOYES!C44="","",EMPLOYES!C44)</f>
        <v/>
      </c>
      <c r="D1053" s="43">
        <f>IF(EMPLOYES!C44="","",EMPLOYES!D44)</f>
        <v/>
      </c>
      <c r="E1053" s="44" t="n"/>
      <c r="F1053" s="42" t="n"/>
      <c r="G1053" s="41">
        <f>IF($C1053="",0,MAX(0,$M1053-$N1053))</f>
        <v/>
      </c>
      <c r="H1053" s="45" t="n"/>
      <c r="I1053" s="41">
        <f>IF($C1053="","",IF(H1053="","OK",IF(H1053&gt;EMPLOYES!P44,"⚠ Avance &gt; salaire",IF(H1053&gt;EMPLOYES!P44*PARAMETRES!$C$218,"⚠ Avance élevée","OK"))))</f>
        <v/>
      </c>
      <c r="J1053" s="45" t="n"/>
      <c r="K1053" s="46" t="n"/>
      <c r="L1053" s="46" t="n"/>
      <c r="M1053" s="41">
        <f>IF($C1053="","",SUMPRODUCT((PARAMETRES!$B$38:$B$157=PARAMETRES!$C$29)*(PARAMETRES!$C$38:$C$157=5)*(IF(EMPLOYES!M44="5j",PARAMETRES!$I$38:$I$157,PARAMETRES!$H$38:$H$157))))</f>
        <v/>
      </c>
      <c r="N1053" s="41">
        <f>IF($C1053="","",SUMPRODUCT((O1053:AS1053="P")+(O1053:AS1053="F")+(O1053:AS1053="C")+0.5*(O1053:AS1053="D"),(1-((O1021:AS1021=6)*(EMPLOYES!M44="5j")))))</f>
        <v/>
      </c>
      <c r="O1053" s="46" t="n"/>
      <c r="P1053" s="46" t="n"/>
      <c r="Q1053" s="46" t="n"/>
      <c r="R1053" s="46" t="n"/>
      <c r="S1053" s="46" t="n"/>
      <c r="T1053" s="46" t="n"/>
      <c r="U1053" s="46" t="n"/>
      <c r="V1053" s="46" t="n"/>
      <c r="W1053" s="46" t="n"/>
      <c r="X1053" s="46" t="n"/>
      <c r="Y1053" s="46" t="n"/>
      <c r="Z1053" s="46" t="n"/>
      <c r="AA1053" s="46" t="n"/>
      <c r="AB1053" s="46" t="n"/>
      <c r="AC1053" s="46" t="n"/>
      <c r="AD1053" s="46" t="n"/>
      <c r="AE1053" s="46" t="n"/>
      <c r="AF1053" s="46" t="n"/>
      <c r="AG1053" s="46" t="n"/>
      <c r="AH1053" s="46" t="n"/>
      <c r="AI1053" s="46" t="n"/>
      <c r="AJ1053" s="46" t="n"/>
      <c r="AK1053" s="46" t="n"/>
      <c r="AL1053" s="46" t="n"/>
      <c r="AM1053" s="46" t="n"/>
      <c r="AN1053" s="46" t="n"/>
      <c r="AO1053" s="46" t="n"/>
      <c r="AP1053" s="46" t="n"/>
      <c r="AQ1053" s="46" t="n"/>
      <c r="AR1053" s="46" t="n"/>
      <c r="AS1053" s="46" t="n"/>
      <c r="AV1053" s="36">
        <f>IF($C1053="","",EMPLOYES!M44)</f>
        <v/>
      </c>
      <c r="AW1053" s="36">
        <f>IF($C1053="",0,SUMPRODUCT(--(O1053:AS1053="C")))</f>
        <v/>
      </c>
      <c r="AX1053" s="36">
        <f>IF($C1053="",0,SUMPRODUCT(--(O1053:AS1053="R")))</f>
        <v/>
      </c>
      <c r="AY1053" s="44" t="n"/>
    </row>
    <row r="1054" hidden="1" outlineLevel="1" ht="15" customHeight="1" s="15">
      <c r="B1054" s="41" t="n">
        <v>5</v>
      </c>
      <c r="C1054" s="42">
        <f>IF(EMPLOYES!C45="","",EMPLOYES!C45)</f>
        <v/>
      </c>
      <c r="D1054" s="43">
        <f>IF(EMPLOYES!C45="","",EMPLOYES!D45)</f>
        <v/>
      </c>
      <c r="E1054" s="44" t="n"/>
      <c r="F1054" s="42" t="n"/>
      <c r="G1054" s="41">
        <f>IF($C1054="",0,MAX(0,$M1054-$N1054))</f>
        <v/>
      </c>
      <c r="H1054" s="45" t="n"/>
      <c r="I1054" s="41">
        <f>IF($C1054="","",IF(H1054="","OK",IF(H1054&gt;EMPLOYES!P45,"⚠ Avance &gt; salaire",IF(H1054&gt;EMPLOYES!P45*PARAMETRES!$C$218,"⚠ Avance élevée","OK"))))</f>
        <v/>
      </c>
      <c r="J1054" s="45" t="n"/>
      <c r="K1054" s="46" t="n"/>
      <c r="L1054" s="46" t="n"/>
      <c r="M1054" s="41">
        <f>IF($C1054="","",SUMPRODUCT((PARAMETRES!$B$38:$B$157=PARAMETRES!$C$29)*(PARAMETRES!$C$38:$C$157=5)*(IF(EMPLOYES!M45="5j",PARAMETRES!$I$38:$I$157,PARAMETRES!$H$38:$H$157))))</f>
        <v/>
      </c>
      <c r="N1054" s="41">
        <f>IF($C1054="","",SUMPRODUCT((O1054:AS1054="P")+(O1054:AS1054="F")+(O1054:AS1054="C")+0.5*(O1054:AS1054="D"),(1-((O1021:AS1021=6)*(EMPLOYES!M45="5j")))))</f>
        <v/>
      </c>
      <c r="O1054" s="46" t="n"/>
      <c r="P1054" s="46" t="n"/>
      <c r="Q1054" s="46" t="n"/>
      <c r="R1054" s="46" t="n"/>
      <c r="S1054" s="46" t="n"/>
      <c r="T1054" s="46" t="n"/>
      <c r="U1054" s="46" t="n"/>
      <c r="V1054" s="46" t="n"/>
      <c r="W1054" s="46" t="n"/>
      <c r="X1054" s="46" t="n"/>
      <c r="Y1054" s="46" t="n"/>
      <c r="Z1054" s="46" t="n"/>
      <c r="AA1054" s="46" t="n"/>
      <c r="AB1054" s="46" t="n"/>
      <c r="AC1054" s="46" t="n"/>
      <c r="AD1054" s="46" t="n"/>
      <c r="AE1054" s="46" t="n"/>
      <c r="AF1054" s="46" t="n"/>
      <c r="AG1054" s="46" t="n"/>
      <c r="AH1054" s="46" t="n"/>
      <c r="AI1054" s="46" t="n"/>
      <c r="AJ1054" s="46" t="n"/>
      <c r="AK1054" s="46" t="n"/>
      <c r="AL1054" s="46" t="n"/>
      <c r="AM1054" s="46" t="n"/>
      <c r="AN1054" s="46" t="n"/>
      <c r="AO1054" s="46" t="n"/>
      <c r="AP1054" s="46" t="n"/>
      <c r="AQ1054" s="46" t="n"/>
      <c r="AR1054" s="46" t="n"/>
      <c r="AS1054" s="46" t="n"/>
      <c r="AV1054" s="36">
        <f>IF($C1054="","",EMPLOYES!M45)</f>
        <v/>
      </c>
      <c r="AW1054" s="36">
        <f>IF($C1054="",0,SUMPRODUCT(--(O1054:AS1054="C")))</f>
        <v/>
      </c>
      <c r="AX1054" s="36">
        <f>IF($C1054="",0,SUMPRODUCT(--(O1054:AS1054="R")))</f>
        <v/>
      </c>
      <c r="AY1054" s="44" t="n"/>
    </row>
    <row r="1055" hidden="1" outlineLevel="1" ht="15" customHeight="1" s="15">
      <c r="B1055" s="41" t="n">
        <v>5</v>
      </c>
      <c r="C1055" s="42">
        <f>IF(EMPLOYES!C46="","",EMPLOYES!C46)</f>
        <v/>
      </c>
      <c r="D1055" s="43">
        <f>IF(EMPLOYES!C46="","",EMPLOYES!D46)</f>
        <v/>
      </c>
      <c r="E1055" s="44" t="n"/>
      <c r="F1055" s="42" t="n"/>
      <c r="G1055" s="41">
        <f>IF($C1055="",0,MAX(0,$M1055-$N1055))</f>
        <v/>
      </c>
      <c r="H1055" s="45" t="n"/>
      <c r="I1055" s="41">
        <f>IF($C1055="","",IF(H1055="","OK",IF(H1055&gt;EMPLOYES!P46,"⚠ Avance &gt; salaire",IF(H1055&gt;EMPLOYES!P46*PARAMETRES!$C$218,"⚠ Avance élevée","OK"))))</f>
        <v/>
      </c>
      <c r="J1055" s="45" t="n"/>
      <c r="K1055" s="46" t="n"/>
      <c r="L1055" s="46" t="n"/>
      <c r="M1055" s="41">
        <f>IF($C1055="","",SUMPRODUCT((PARAMETRES!$B$38:$B$157=PARAMETRES!$C$29)*(PARAMETRES!$C$38:$C$157=5)*(IF(EMPLOYES!M46="5j",PARAMETRES!$I$38:$I$157,PARAMETRES!$H$38:$H$157))))</f>
        <v/>
      </c>
      <c r="N1055" s="41">
        <f>IF($C1055="","",SUMPRODUCT((O1055:AS1055="P")+(O1055:AS1055="F")+(O1055:AS1055="C")+0.5*(O1055:AS1055="D"),(1-((O1021:AS1021=6)*(EMPLOYES!M46="5j")))))</f>
        <v/>
      </c>
      <c r="O1055" s="46" t="n"/>
      <c r="P1055" s="46" t="n"/>
      <c r="Q1055" s="46" t="n"/>
      <c r="R1055" s="46" t="n"/>
      <c r="S1055" s="46" t="n"/>
      <c r="T1055" s="46" t="n"/>
      <c r="U1055" s="46" t="n"/>
      <c r="V1055" s="46" t="n"/>
      <c r="W1055" s="46" t="n"/>
      <c r="X1055" s="46" t="n"/>
      <c r="Y1055" s="46" t="n"/>
      <c r="Z1055" s="46" t="n"/>
      <c r="AA1055" s="46" t="n"/>
      <c r="AB1055" s="46" t="n"/>
      <c r="AC1055" s="46" t="n"/>
      <c r="AD1055" s="46" t="n"/>
      <c r="AE1055" s="46" t="n"/>
      <c r="AF1055" s="46" t="n"/>
      <c r="AG1055" s="46" t="n"/>
      <c r="AH1055" s="46" t="n"/>
      <c r="AI1055" s="46" t="n"/>
      <c r="AJ1055" s="46" t="n"/>
      <c r="AK1055" s="46" t="n"/>
      <c r="AL1055" s="46" t="n"/>
      <c r="AM1055" s="46" t="n"/>
      <c r="AN1055" s="46" t="n"/>
      <c r="AO1055" s="46" t="n"/>
      <c r="AP1055" s="46" t="n"/>
      <c r="AQ1055" s="46" t="n"/>
      <c r="AR1055" s="46" t="n"/>
      <c r="AS1055" s="46" t="n"/>
      <c r="AV1055" s="36">
        <f>IF($C1055="","",EMPLOYES!M46)</f>
        <v/>
      </c>
      <c r="AW1055" s="36">
        <f>IF($C1055="",0,SUMPRODUCT(--(O1055:AS1055="C")))</f>
        <v/>
      </c>
      <c r="AX1055" s="36">
        <f>IF($C1055="",0,SUMPRODUCT(--(O1055:AS1055="R")))</f>
        <v/>
      </c>
      <c r="AY1055" s="44" t="n"/>
    </row>
    <row r="1056" hidden="1" outlineLevel="1" ht="15" customHeight="1" s="15">
      <c r="B1056" s="41" t="n">
        <v>5</v>
      </c>
      <c r="C1056" s="42">
        <f>IF(EMPLOYES!C47="","",EMPLOYES!C47)</f>
        <v/>
      </c>
      <c r="D1056" s="43">
        <f>IF(EMPLOYES!C47="","",EMPLOYES!D47)</f>
        <v/>
      </c>
      <c r="E1056" s="44" t="n"/>
      <c r="F1056" s="42" t="n"/>
      <c r="G1056" s="41">
        <f>IF($C1056="",0,MAX(0,$M1056-$N1056))</f>
        <v/>
      </c>
      <c r="H1056" s="45" t="n"/>
      <c r="I1056" s="41">
        <f>IF($C1056="","",IF(H1056="","OK",IF(H1056&gt;EMPLOYES!P47,"⚠ Avance &gt; salaire",IF(H1056&gt;EMPLOYES!P47*PARAMETRES!$C$218,"⚠ Avance élevée","OK"))))</f>
        <v/>
      </c>
      <c r="J1056" s="45" t="n"/>
      <c r="K1056" s="46" t="n"/>
      <c r="L1056" s="46" t="n"/>
      <c r="M1056" s="41">
        <f>IF($C1056="","",SUMPRODUCT((PARAMETRES!$B$38:$B$157=PARAMETRES!$C$29)*(PARAMETRES!$C$38:$C$157=5)*(IF(EMPLOYES!M47="5j",PARAMETRES!$I$38:$I$157,PARAMETRES!$H$38:$H$157))))</f>
        <v/>
      </c>
      <c r="N1056" s="41">
        <f>IF($C1056="","",SUMPRODUCT((O1056:AS1056="P")+(O1056:AS1056="F")+(O1056:AS1056="C")+0.5*(O1056:AS1056="D"),(1-((O1021:AS1021=6)*(EMPLOYES!M47="5j")))))</f>
        <v/>
      </c>
      <c r="O1056" s="46" t="n"/>
      <c r="P1056" s="46" t="n"/>
      <c r="Q1056" s="46" t="n"/>
      <c r="R1056" s="46" t="n"/>
      <c r="S1056" s="46" t="n"/>
      <c r="T1056" s="46" t="n"/>
      <c r="U1056" s="46" t="n"/>
      <c r="V1056" s="46" t="n"/>
      <c r="W1056" s="46" t="n"/>
      <c r="X1056" s="46" t="n"/>
      <c r="Y1056" s="46" t="n"/>
      <c r="Z1056" s="46" t="n"/>
      <c r="AA1056" s="46" t="n"/>
      <c r="AB1056" s="46" t="n"/>
      <c r="AC1056" s="46" t="n"/>
      <c r="AD1056" s="46" t="n"/>
      <c r="AE1056" s="46" t="n"/>
      <c r="AF1056" s="46" t="n"/>
      <c r="AG1056" s="46" t="n"/>
      <c r="AH1056" s="46" t="n"/>
      <c r="AI1056" s="46" t="n"/>
      <c r="AJ1056" s="46" t="n"/>
      <c r="AK1056" s="46" t="n"/>
      <c r="AL1056" s="46" t="n"/>
      <c r="AM1056" s="46" t="n"/>
      <c r="AN1056" s="46" t="n"/>
      <c r="AO1056" s="46" t="n"/>
      <c r="AP1056" s="46" t="n"/>
      <c r="AQ1056" s="46" t="n"/>
      <c r="AR1056" s="46" t="n"/>
      <c r="AS1056" s="46" t="n"/>
      <c r="AV1056" s="36">
        <f>IF($C1056="","",EMPLOYES!M47)</f>
        <v/>
      </c>
      <c r="AW1056" s="36">
        <f>IF($C1056="",0,SUMPRODUCT(--(O1056:AS1056="C")))</f>
        <v/>
      </c>
      <c r="AX1056" s="36">
        <f>IF($C1056="",0,SUMPRODUCT(--(O1056:AS1056="R")))</f>
        <v/>
      </c>
      <c r="AY1056" s="44" t="n"/>
    </row>
    <row r="1057" hidden="1" outlineLevel="1" ht="15" customHeight="1" s="15">
      <c r="B1057" s="41" t="n">
        <v>5</v>
      </c>
      <c r="C1057" s="42">
        <f>IF(EMPLOYES!C48="","",EMPLOYES!C48)</f>
        <v/>
      </c>
      <c r="D1057" s="43">
        <f>IF(EMPLOYES!C48="","",EMPLOYES!D48)</f>
        <v/>
      </c>
      <c r="E1057" s="44" t="n"/>
      <c r="F1057" s="42" t="n"/>
      <c r="G1057" s="41">
        <f>IF($C1057="",0,MAX(0,$M1057-$N1057))</f>
        <v/>
      </c>
      <c r="H1057" s="45" t="n"/>
      <c r="I1057" s="41">
        <f>IF($C1057="","",IF(H1057="","OK",IF(H1057&gt;EMPLOYES!P48,"⚠ Avance &gt; salaire",IF(H1057&gt;EMPLOYES!P48*PARAMETRES!$C$218,"⚠ Avance élevée","OK"))))</f>
        <v/>
      </c>
      <c r="J1057" s="45" t="n"/>
      <c r="K1057" s="46" t="n"/>
      <c r="L1057" s="46" t="n"/>
      <c r="M1057" s="41">
        <f>IF($C1057="","",SUMPRODUCT((PARAMETRES!$B$38:$B$157=PARAMETRES!$C$29)*(PARAMETRES!$C$38:$C$157=5)*(IF(EMPLOYES!M48="5j",PARAMETRES!$I$38:$I$157,PARAMETRES!$H$38:$H$157))))</f>
        <v/>
      </c>
      <c r="N1057" s="41">
        <f>IF($C1057="","",SUMPRODUCT((O1057:AS1057="P")+(O1057:AS1057="F")+(O1057:AS1057="C")+0.5*(O1057:AS1057="D"),(1-((O1021:AS1021=6)*(EMPLOYES!M48="5j")))))</f>
        <v/>
      </c>
      <c r="O1057" s="46" t="n"/>
      <c r="P1057" s="46" t="n"/>
      <c r="Q1057" s="46" t="n"/>
      <c r="R1057" s="46" t="n"/>
      <c r="S1057" s="46" t="n"/>
      <c r="T1057" s="46" t="n"/>
      <c r="U1057" s="46" t="n"/>
      <c r="V1057" s="46" t="n"/>
      <c r="W1057" s="46" t="n"/>
      <c r="X1057" s="46" t="n"/>
      <c r="Y1057" s="46" t="n"/>
      <c r="Z1057" s="46" t="n"/>
      <c r="AA1057" s="46" t="n"/>
      <c r="AB1057" s="46" t="n"/>
      <c r="AC1057" s="46" t="n"/>
      <c r="AD1057" s="46" t="n"/>
      <c r="AE1057" s="46" t="n"/>
      <c r="AF1057" s="46" t="n"/>
      <c r="AG1057" s="46" t="n"/>
      <c r="AH1057" s="46" t="n"/>
      <c r="AI1057" s="46" t="n"/>
      <c r="AJ1057" s="46" t="n"/>
      <c r="AK1057" s="46" t="n"/>
      <c r="AL1057" s="46" t="n"/>
      <c r="AM1057" s="46" t="n"/>
      <c r="AN1057" s="46" t="n"/>
      <c r="AO1057" s="46" t="n"/>
      <c r="AP1057" s="46" t="n"/>
      <c r="AQ1057" s="46" t="n"/>
      <c r="AR1057" s="46" t="n"/>
      <c r="AS1057" s="46" t="n"/>
      <c r="AV1057" s="36">
        <f>IF($C1057="","",EMPLOYES!M48)</f>
        <v/>
      </c>
      <c r="AW1057" s="36">
        <f>IF($C1057="",0,SUMPRODUCT(--(O1057:AS1057="C")))</f>
        <v/>
      </c>
      <c r="AX1057" s="36">
        <f>IF($C1057="",0,SUMPRODUCT(--(O1057:AS1057="R")))</f>
        <v/>
      </c>
      <c r="AY1057" s="44" t="n"/>
    </row>
    <row r="1058" hidden="1" outlineLevel="1" ht="15" customHeight="1" s="15">
      <c r="B1058" s="41" t="n">
        <v>5</v>
      </c>
      <c r="C1058" s="42">
        <f>IF(EMPLOYES!C49="","",EMPLOYES!C49)</f>
        <v/>
      </c>
      <c r="D1058" s="43">
        <f>IF(EMPLOYES!C49="","",EMPLOYES!D49)</f>
        <v/>
      </c>
      <c r="E1058" s="44" t="n"/>
      <c r="F1058" s="42" t="n"/>
      <c r="G1058" s="41">
        <f>IF($C1058="",0,MAX(0,$M1058-$N1058))</f>
        <v/>
      </c>
      <c r="H1058" s="45" t="n"/>
      <c r="I1058" s="41">
        <f>IF($C1058="","",IF(H1058="","OK",IF(H1058&gt;EMPLOYES!P49,"⚠ Avance &gt; salaire",IF(H1058&gt;EMPLOYES!P49*PARAMETRES!$C$218,"⚠ Avance élevée","OK"))))</f>
        <v/>
      </c>
      <c r="J1058" s="45" t="n"/>
      <c r="K1058" s="46" t="n"/>
      <c r="L1058" s="46" t="n"/>
      <c r="M1058" s="41">
        <f>IF($C1058="","",SUMPRODUCT((PARAMETRES!$B$38:$B$157=PARAMETRES!$C$29)*(PARAMETRES!$C$38:$C$157=5)*(IF(EMPLOYES!M49="5j",PARAMETRES!$I$38:$I$157,PARAMETRES!$H$38:$H$157))))</f>
        <v/>
      </c>
      <c r="N1058" s="41">
        <f>IF($C1058="","",SUMPRODUCT((O1058:AS1058="P")+(O1058:AS1058="F")+(O1058:AS1058="C")+0.5*(O1058:AS1058="D"),(1-((O1021:AS1021=6)*(EMPLOYES!M49="5j")))))</f>
        <v/>
      </c>
      <c r="O1058" s="46" t="n"/>
      <c r="P1058" s="46" t="n"/>
      <c r="Q1058" s="46" t="n"/>
      <c r="R1058" s="46" t="n"/>
      <c r="S1058" s="46" t="n"/>
      <c r="T1058" s="46" t="n"/>
      <c r="U1058" s="46" t="n"/>
      <c r="V1058" s="46" t="n"/>
      <c r="W1058" s="46" t="n"/>
      <c r="X1058" s="46" t="n"/>
      <c r="Y1058" s="46" t="n"/>
      <c r="Z1058" s="46" t="n"/>
      <c r="AA1058" s="46" t="n"/>
      <c r="AB1058" s="46" t="n"/>
      <c r="AC1058" s="46" t="n"/>
      <c r="AD1058" s="46" t="n"/>
      <c r="AE1058" s="46" t="n"/>
      <c r="AF1058" s="46" t="n"/>
      <c r="AG1058" s="46" t="n"/>
      <c r="AH1058" s="46" t="n"/>
      <c r="AI1058" s="46" t="n"/>
      <c r="AJ1058" s="46" t="n"/>
      <c r="AK1058" s="46" t="n"/>
      <c r="AL1058" s="46" t="n"/>
      <c r="AM1058" s="46" t="n"/>
      <c r="AN1058" s="46" t="n"/>
      <c r="AO1058" s="46" t="n"/>
      <c r="AP1058" s="46" t="n"/>
      <c r="AQ1058" s="46" t="n"/>
      <c r="AR1058" s="46" t="n"/>
      <c r="AS1058" s="46" t="n"/>
      <c r="AV1058" s="36">
        <f>IF($C1058="","",EMPLOYES!M49)</f>
        <v/>
      </c>
      <c r="AW1058" s="36">
        <f>IF($C1058="",0,SUMPRODUCT(--(O1058:AS1058="C")))</f>
        <v/>
      </c>
      <c r="AX1058" s="36">
        <f>IF($C1058="",0,SUMPRODUCT(--(O1058:AS1058="R")))</f>
        <v/>
      </c>
      <c r="AY1058" s="44" t="n"/>
    </row>
    <row r="1059" hidden="1" outlineLevel="1" ht="15" customHeight="1" s="15">
      <c r="B1059" s="41" t="n">
        <v>5</v>
      </c>
      <c r="C1059" s="42">
        <f>IF(EMPLOYES!C50="","",EMPLOYES!C50)</f>
        <v/>
      </c>
      <c r="D1059" s="43">
        <f>IF(EMPLOYES!C50="","",EMPLOYES!D50)</f>
        <v/>
      </c>
      <c r="E1059" s="44" t="n"/>
      <c r="F1059" s="42" t="n"/>
      <c r="G1059" s="41">
        <f>IF($C1059="",0,MAX(0,$M1059-$N1059))</f>
        <v/>
      </c>
      <c r="H1059" s="45" t="n"/>
      <c r="I1059" s="41">
        <f>IF($C1059="","",IF(H1059="","OK",IF(H1059&gt;EMPLOYES!P50,"⚠ Avance &gt; salaire",IF(H1059&gt;EMPLOYES!P50*PARAMETRES!$C$218,"⚠ Avance élevée","OK"))))</f>
        <v/>
      </c>
      <c r="J1059" s="45" t="n"/>
      <c r="K1059" s="46" t="n"/>
      <c r="L1059" s="46" t="n"/>
      <c r="M1059" s="41">
        <f>IF($C1059="","",SUMPRODUCT((PARAMETRES!$B$38:$B$157=PARAMETRES!$C$29)*(PARAMETRES!$C$38:$C$157=5)*(IF(EMPLOYES!M50="5j",PARAMETRES!$I$38:$I$157,PARAMETRES!$H$38:$H$157))))</f>
        <v/>
      </c>
      <c r="N1059" s="41">
        <f>IF($C1059="","",SUMPRODUCT((O1059:AS1059="P")+(O1059:AS1059="F")+(O1059:AS1059="C")+0.5*(O1059:AS1059="D"),(1-((O1021:AS1021=6)*(EMPLOYES!M50="5j")))))</f>
        <v/>
      </c>
      <c r="O1059" s="46" t="n"/>
      <c r="P1059" s="46" t="n"/>
      <c r="Q1059" s="46" t="n"/>
      <c r="R1059" s="46" t="n"/>
      <c r="S1059" s="46" t="n"/>
      <c r="T1059" s="46" t="n"/>
      <c r="U1059" s="46" t="n"/>
      <c r="V1059" s="46" t="n"/>
      <c r="W1059" s="46" t="n"/>
      <c r="X1059" s="46" t="n"/>
      <c r="Y1059" s="46" t="n"/>
      <c r="Z1059" s="46" t="n"/>
      <c r="AA1059" s="46" t="n"/>
      <c r="AB1059" s="46" t="n"/>
      <c r="AC1059" s="46" t="n"/>
      <c r="AD1059" s="46" t="n"/>
      <c r="AE1059" s="46" t="n"/>
      <c r="AF1059" s="46" t="n"/>
      <c r="AG1059" s="46" t="n"/>
      <c r="AH1059" s="46" t="n"/>
      <c r="AI1059" s="46" t="n"/>
      <c r="AJ1059" s="46" t="n"/>
      <c r="AK1059" s="46" t="n"/>
      <c r="AL1059" s="46" t="n"/>
      <c r="AM1059" s="46" t="n"/>
      <c r="AN1059" s="46" t="n"/>
      <c r="AO1059" s="46" t="n"/>
      <c r="AP1059" s="46" t="n"/>
      <c r="AQ1059" s="46" t="n"/>
      <c r="AR1059" s="46" t="n"/>
      <c r="AS1059" s="46" t="n"/>
      <c r="AV1059" s="36">
        <f>IF($C1059="","",EMPLOYES!M50)</f>
        <v/>
      </c>
      <c r="AW1059" s="36">
        <f>IF($C1059="",0,SUMPRODUCT(--(O1059:AS1059="C")))</f>
        <v/>
      </c>
      <c r="AX1059" s="36">
        <f>IF($C1059="",0,SUMPRODUCT(--(O1059:AS1059="R")))</f>
        <v/>
      </c>
      <c r="AY1059" s="44" t="n"/>
    </row>
    <row r="1060" hidden="1" outlineLevel="1" ht="15" customHeight="1" s="15">
      <c r="B1060" s="41" t="n">
        <v>5</v>
      </c>
      <c r="C1060" s="42">
        <f>IF(EMPLOYES!C51="","",EMPLOYES!C51)</f>
        <v/>
      </c>
      <c r="D1060" s="43">
        <f>IF(EMPLOYES!C51="","",EMPLOYES!D51)</f>
        <v/>
      </c>
      <c r="E1060" s="44" t="n"/>
      <c r="F1060" s="42" t="n"/>
      <c r="G1060" s="41">
        <f>IF($C1060="",0,MAX(0,$M1060-$N1060))</f>
        <v/>
      </c>
      <c r="H1060" s="45" t="n"/>
      <c r="I1060" s="41">
        <f>IF($C1060="","",IF(H1060="","OK",IF(H1060&gt;EMPLOYES!P51,"⚠ Avance &gt; salaire",IF(H1060&gt;EMPLOYES!P51*PARAMETRES!$C$218,"⚠ Avance élevée","OK"))))</f>
        <v/>
      </c>
      <c r="J1060" s="45" t="n"/>
      <c r="K1060" s="46" t="n"/>
      <c r="L1060" s="46" t="n"/>
      <c r="M1060" s="41">
        <f>IF($C1060="","",SUMPRODUCT((PARAMETRES!$B$38:$B$157=PARAMETRES!$C$29)*(PARAMETRES!$C$38:$C$157=5)*(IF(EMPLOYES!M51="5j",PARAMETRES!$I$38:$I$157,PARAMETRES!$H$38:$H$157))))</f>
        <v/>
      </c>
      <c r="N1060" s="41">
        <f>IF($C1060="","",SUMPRODUCT((O1060:AS1060="P")+(O1060:AS1060="F")+(O1060:AS1060="C")+0.5*(O1060:AS1060="D"),(1-((O1021:AS1021=6)*(EMPLOYES!M51="5j")))))</f>
        <v/>
      </c>
      <c r="O1060" s="46" t="n"/>
      <c r="P1060" s="46" t="n"/>
      <c r="Q1060" s="46" t="n"/>
      <c r="R1060" s="46" t="n"/>
      <c r="S1060" s="46" t="n"/>
      <c r="T1060" s="46" t="n"/>
      <c r="U1060" s="46" t="n"/>
      <c r="V1060" s="46" t="n"/>
      <c r="W1060" s="46" t="n"/>
      <c r="X1060" s="46" t="n"/>
      <c r="Y1060" s="46" t="n"/>
      <c r="Z1060" s="46" t="n"/>
      <c r="AA1060" s="46" t="n"/>
      <c r="AB1060" s="46" t="n"/>
      <c r="AC1060" s="46" t="n"/>
      <c r="AD1060" s="46" t="n"/>
      <c r="AE1060" s="46" t="n"/>
      <c r="AF1060" s="46" t="n"/>
      <c r="AG1060" s="46" t="n"/>
      <c r="AH1060" s="46" t="n"/>
      <c r="AI1060" s="46" t="n"/>
      <c r="AJ1060" s="46" t="n"/>
      <c r="AK1060" s="46" t="n"/>
      <c r="AL1060" s="46" t="n"/>
      <c r="AM1060" s="46" t="n"/>
      <c r="AN1060" s="46" t="n"/>
      <c r="AO1060" s="46" t="n"/>
      <c r="AP1060" s="46" t="n"/>
      <c r="AQ1060" s="46" t="n"/>
      <c r="AR1060" s="46" t="n"/>
      <c r="AS1060" s="46" t="n"/>
      <c r="AV1060" s="36">
        <f>IF($C1060="","",EMPLOYES!M51)</f>
        <v/>
      </c>
      <c r="AW1060" s="36">
        <f>IF($C1060="",0,SUMPRODUCT(--(O1060:AS1060="C")))</f>
        <v/>
      </c>
      <c r="AX1060" s="36">
        <f>IF($C1060="",0,SUMPRODUCT(--(O1060:AS1060="R")))</f>
        <v/>
      </c>
      <c r="AY1060" s="44" t="n"/>
    </row>
    <row r="1061" hidden="1" outlineLevel="1" ht="15" customHeight="1" s="15">
      <c r="B1061" s="41" t="n">
        <v>5</v>
      </c>
      <c r="C1061" s="42">
        <f>IF(EMPLOYES!C52="","",EMPLOYES!C52)</f>
        <v/>
      </c>
      <c r="D1061" s="43">
        <f>IF(EMPLOYES!C52="","",EMPLOYES!D52)</f>
        <v/>
      </c>
      <c r="E1061" s="44" t="n"/>
      <c r="F1061" s="42" t="n"/>
      <c r="G1061" s="41">
        <f>IF($C1061="",0,MAX(0,$M1061-$N1061))</f>
        <v/>
      </c>
      <c r="H1061" s="45" t="n"/>
      <c r="I1061" s="41">
        <f>IF($C1061="","",IF(H1061="","OK",IF(H1061&gt;EMPLOYES!P52,"⚠ Avance &gt; salaire",IF(H1061&gt;EMPLOYES!P52*PARAMETRES!$C$218,"⚠ Avance élevée","OK"))))</f>
        <v/>
      </c>
      <c r="J1061" s="45" t="n"/>
      <c r="K1061" s="46" t="n"/>
      <c r="L1061" s="46" t="n"/>
      <c r="M1061" s="41">
        <f>IF($C1061="","",SUMPRODUCT((PARAMETRES!$B$38:$B$157=PARAMETRES!$C$29)*(PARAMETRES!$C$38:$C$157=5)*(IF(EMPLOYES!M52="5j",PARAMETRES!$I$38:$I$157,PARAMETRES!$H$38:$H$157))))</f>
        <v/>
      </c>
      <c r="N1061" s="41">
        <f>IF($C1061="","",SUMPRODUCT((O1061:AS1061="P")+(O1061:AS1061="F")+(O1061:AS1061="C")+0.5*(O1061:AS1061="D"),(1-((O1021:AS1021=6)*(EMPLOYES!M52="5j")))))</f>
        <v/>
      </c>
      <c r="O1061" s="46" t="n"/>
      <c r="P1061" s="46" t="n"/>
      <c r="Q1061" s="46" t="n"/>
      <c r="R1061" s="46" t="n"/>
      <c r="S1061" s="46" t="n"/>
      <c r="T1061" s="46" t="n"/>
      <c r="U1061" s="46" t="n"/>
      <c r="V1061" s="46" t="n"/>
      <c r="W1061" s="46" t="n"/>
      <c r="X1061" s="46" t="n"/>
      <c r="Y1061" s="46" t="n"/>
      <c r="Z1061" s="46" t="n"/>
      <c r="AA1061" s="46" t="n"/>
      <c r="AB1061" s="46" t="n"/>
      <c r="AC1061" s="46" t="n"/>
      <c r="AD1061" s="46" t="n"/>
      <c r="AE1061" s="46" t="n"/>
      <c r="AF1061" s="46" t="n"/>
      <c r="AG1061" s="46" t="n"/>
      <c r="AH1061" s="46" t="n"/>
      <c r="AI1061" s="46" t="n"/>
      <c r="AJ1061" s="46" t="n"/>
      <c r="AK1061" s="46" t="n"/>
      <c r="AL1061" s="46" t="n"/>
      <c r="AM1061" s="46" t="n"/>
      <c r="AN1061" s="46" t="n"/>
      <c r="AO1061" s="46" t="n"/>
      <c r="AP1061" s="46" t="n"/>
      <c r="AQ1061" s="46" t="n"/>
      <c r="AR1061" s="46" t="n"/>
      <c r="AS1061" s="46" t="n"/>
      <c r="AV1061" s="36">
        <f>IF($C1061="","",EMPLOYES!M52)</f>
        <v/>
      </c>
      <c r="AW1061" s="36">
        <f>IF($C1061="",0,SUMPRODUCT(--(O1061:AS1061="C")))</f>
        <v/>
      </c>
      <c r="AX1061" s="36">
        <f>IF($C1061="",0,SUMPRODUCT(--(O1061:AS1061="R")))</f>
        <v/>
      </c>
      <c r="AY1061" s="44" t="n"/>
    </row>
    <row r="1062" hidden="1" outlineLevel="1" ht="15" customHeight="1" s="15">
      <c r="B1062" s="41" t="n">
        <v>5</v>
      </c>
      <c r="C1062" s="42">
        <f>IF(EMPLOYES!C53="","",EMPLOYES!C53)</f>
        <v/>
      </c>
      <c r="D1062" s="43">
        <f>IF(EMPLOYES!C53="","",EMPLOYES!D53)</f>
        <v/>
      </c>
      <c r="E1062" s="44" t="n"/>
      <c r="F1062" s="42" t="n"/>
      <c r="G1062" s="41">
        <f>IF($C1062="",0,MAX(0,$M1062-$N1062))</f>
        <v/>
      </c>
      <c r="H1062" s="45" t="n"/>
      <c r="I1062" s="41">
        <f>IF($C1062="","",IF(H1062="","OK",IF(H1062&gt;EMPLOYES!P53,"⚠ Avance &gt; salaire",IF(H1062&gt;EMPLOYES!P53*PARAMETRES!$C$218,"⚠ Avance élevée","OK"))))</f>
        <v/>
      </c>
      <c r="J1062" s="45" t="n"/>
      <c r="K1062" s="46" t="n"/>
      <c r="L1062" s="46" t="n"/>
      <c r="M1062" s="41">
        <f>IF($C1062="","",SUMPRODUCT((PARAMETRES!$B$38:$B$157=PARAMETRES!$C$29)*(PARAMETRES!$C$38:$C$157=5)*(IF(EMPLOYES!M53="5j",PARAMETRES!$I$38:$I$157,PARAMETRES!$H$38:$H$157))))</f>
        <v/>
      </c>
      <c r="N1062" s="41">
        <f>IF($C1062="","",SUMPRODUCT((O1062:AS1062="P")+(O1062:AS1062="F")+(O1062:AS1062="C")+0.5*(O1062:AS1062="D"),(1-((O1021:AS1021=6)*(EMPLOYES!M53="5j")))))</f>
        <v/>
      </c>
      <c r="O1062" s="46" t="n"/>
      <c r="P1062" s="46" t="n"/>
      <c r="Q1062" s="46" t="n"/>
      <c r="R1062" s="46" t="n"/>
      <c r="S1062" s="46" t="n"/>
      <c r="T1062" s="46" t="n"/>
      <c r="U1062" s="46" t="n"/>
      <c r="V1062" s="46" t="n"/>
      <c r="W1062" s="46" t="n"/>
      <c r="X1062" s="46" t="n"/>
      <c r="Y1062" s="46" t="n"/>
      <c r="Z1062" s="46" t="n"/>
      <c r="AA1062" s="46" t="n"/>
      <c r="AB1062" s="46" t="n"/>
      <c r="AC1062" s="46" t="n"/>
      <c r="AD1062" s="46" t="n"/>
      <c r="AE1062" s="46" t="n"/>
      <c r="AF1062" s="46" t="n"/>
      <c r="AG1062" s="46" t="n"/>
      <c r="AH1062" s="46" t="n"/>
      <c r="AI1062" s="46" t="n"/>
      <c r="AJ1062" s="46" t="n"/>
      <c r="AK1062" s="46" t="n"/>
      <c r="AL1062" s="46" t="n"/>
      <c r="AM1062" s="46" t="n"/>
      <c r="AN1062" s="46" t="n"/>
      <c r="AO1062" s="46" t="n"/>
      <c r="AP1062" s="46" t="n"/>
      <c r="AQ1062" s="46" t="n"/>
      <c r="AR1062" s="46" t="n"/>
      <c r="AS1062" s="46" t="n"/>
      <c r="AV1062" s="36">
        <f>IF($C1062="","",EMPLOYES!M53)</f>
        <v/>
      </c>
      <c r="AW1062" s="36">
        <f>IF($C1062="",0,SUMPRODUCT(--(O1062:AS1062="C")))</f>
        <v/>
      </c>
      <c r="AX1062" s="36">
        <f>IF($C1062="",0,SUMPRODUCT(--(O1062:AS1062="R")))</f>
        <v/>
      </c>
      <c r="AY1062" s="44" t="n"/>
    </row>
    <row r="1063" hidden="1" outlineLevel="1" ht="15" customHeight="1" s="15">
      <c r="B1063" s="41" t="n">
        <v>5</v>
      </c>
      <c r="C1063" s="42">
        <f>IF(EMPLOYES!C54="","",EMPLOYES!C54)</f>
        <v/>
      </c>
      <c r="D1063" s="43">
        <f>IF(EMPLOYES!C54="","",EMPLOYES!D54)</f>
        <v/>
      </c>
      <c r="E1063" s="44" t="n"/>
      <c r="F1063" s="42" t="n"/>
      <c r="G1063" s="41">
        <f>IF($C1063="",0,MAX(0,$M1063-$N1063))</f>
        <v/>
      </c>
      <c r="H1063" s="45" t="n"/>
      <c r="I1063" s="41">
        <f>IF($C1063="","",IF(H1063="","OK",IF(H1063&gt;EMPLOYES!P54,"⚠ Avance &gt; salaire",IF(H1063&gt;EMPLOYES!P54*PARAMETRES!$C$218,"⚠ Avance élevée","OK"))))</f>
        <v/>
      </c>
      <c r="J1063" s="45" t="n"/>
      <c r="K1063" s="46" t="n"/>
      <c r="L1063" s="46" t="n"/>
      <c r="M1063" s="41">
        <f>IF($C1063="","",SUMPRODUCT((PARAMETRES!$B$38:$B$157=PARAMETRES!$C$29)*(PARAMETRES!$C$38:$C$157=5)*(IF(EMPLOYES!M54="5j",PARAMETRES!$I$38:$I$157,PARAMETRES!$H$38:$H$157))))</f>
        <v/>
      </c>
      <c r="N1063" s="41">
        <f>IF($C1063="","",SUMPRODUCT((O1063:AS1063="P")+(O1063:AS1063="F")+(O1063:AS1063="C")+0.5*(O1063:AS1063="D"),(1-((O1021:AS1021=6)*(EMPLOYES!M54="5j")))))</f>
        <v/>
      </c>
      <c r="O1063" s="46" t="n"/>
      <c r="P1063" s="46" t="n"/>
      <c r="Q1063" s="46" t="n"/>
      <c r="R1063" s="46" t="n"/>
      <c r="S1063" s="46" t="n"/>
      <c r="T1063" s="46" t="n"/>
      <c r="U1063" s="46" t="n"/>
      <c r="V1063" s="46" t="n"/>
      <c r="W1063" s="46" t="n"/>
      <c r="X1063" s="46" t="n"/>
      <c r="Y1063" s="46" t="n"/>
      <c r="Z1063" s="46" t="n"/>
      <c r="AA1063" s="46" t="n"/>
      <c r="AB1063" s="46" t="n"/>
      <c r="AC1063" s="46" t="n"/>
      <c r="AD1063" s="46" t="n"/>
      <c r="AE1063" s="46" t="n"/>
      <c r="AF1063" s="46" t="n"/>
      <c r="AG1063" s="46" t="n"/>
      <c r="AH1063" s="46" t="n"/>
      <c r="AI1063" s="46" t="n"/>
      <c r="AJ1063" s="46" t="n"/>
      <c r="AK1063" s="46" t="n"/>
      <c r="AL1063" s="46" t="n"/>
      <c r="AM1063" s="46" t="n"/>
      <c r="AN1063" s="46" t="n"/>
      <c r="AO1063" s="46" t="n"/>
      <c r="AP1063" s="46" t="n"/>
      <c r="AQ1063" s="46" t="n"/>
      <c r="AR1063" s="46" t="n"/>
      <c r="AS1063" s="46" t="n"/>
      <c r="AV1063" s="36">
        <f>IF($C1063="","",EMPLOYES!M54)</f>
        <v/>
      </c>
      <c r="AW1063" s="36">
        <f>IF($C1063="",0,SUMPRODUCT(--(O1063:AS1063="C")))</f>
        <v/>
      </c>
      <c r="AX1063" s="36">
        <f>IF($C1063="",0,SUMPRODUCT(--(O1063:AS1063="R")))</f>
        <v/>
      </c>
      <c r="AY1063" s="44" t="n"/>
    </row>
    <row r="1064" hidden="1" outlineLevel="1" ht="15" customHeight="1" s="15">
      <c r="B1064" s="41" t="n">
        <v>5</v>
      </c>
      <c r="C1064" s="42">
        <f>IF(EMPLOYES!C55="","",EMPLOYES!C55)</f>
        <v/>
      </c>
      <c r="D1064" s="43">
        <f>IF(EMPLOYES!C55="","",EMPLOYES!D55)</f>
        <v/>
      </c>
      <c r="E1064" s="44" t="n"/>
      <c r="F1064" s="42" t="n"/>
      <c r="G1064" s="41">
        <f>IF($C1064="",0,MAX(0,$M1064-$N1064))</f>
        <v/>
      </c>
      <c r="H1064" s="45" t="n"/>
      <c r="I1064" s="41">
        <f>IF($C1064="","",IF(H1064="","OK",IF(H1064&gt;EMPLOYES!P55,"⚠ Avance &gt; salaire",IF(H1064&gt;EMPLOYES!P55*PARAMETRES!$C$218,"⚠ Avance élevée","OK"))))</f>
        <v/>
      </c>
      <c r="J1064" s="45" t="n"/>
      <c r="K1064" s="46" t="n"/>
      <c r="L1064" s="46" t="n"/>
      <c r="M1064" s="41">
        <f>IF($C1064="","",SUMPRODUCT((PARAMETRES!$B$38:$B$157=PARAMETRES!$C$29)*(PARAMETRES!$C$38:$C$157=5)*(IF(EMPLOYES!M55="5j",PARAMETRES!$I$38:$I$157,PARAMETRES!$H$38:$H$157))))</f>
        <v/>
      </c>
      <c r="N1064" s="41">
        <f>IF($C1064="","",SUMPRODUCT((O1064:AS1064="P")+(O1064:AS1064="F")+(O1064:AS1064="C")+0.5*(O1064:AS1064="D"),(1-((O1021:AS1021=6)*(EMPLOYES!M55="5j")))))</f>
        <v/>
      </c>
      <c r="O1064" s="46" t="n"/>
      <c r="P1064" s="46" t="n"/>
      <c r="Q1064" s="46" t="n"/>
      <c r="R1064" s="46" t="n"/>
      <c r="S1064" s="46" t="n"/>
      <c r="T1064" s="46" t="n"/>
      <c r="U1064" s="46" t="n"/>
      <c r="V1064" s="46" t="n"/>
      <c r="W1064" s="46" t="n"/>
      <c r="X1064" s="46" t="n"/>
      <c r="Y1064" s="46" t="n"/>
      <c r="Z1064" s="46" t="n"/>
      <c r="AA1064" s="46" t="n"/>
      <c r="AB1064" s="46" t="n"/>
      <c r="AC1064" s="46" t="n"/>
      <c r="AD1064" s="46" t="n"/>
      <c r="AE1064" s="46" t="n"/>
      <c r="AF1064" s="46" t="n"/>
      <c r="AG1064" s="46" t="n"/>
      <c r="AH1064" s="46" t="n"/>
      <c r="AI1064" s="46" t="n"/>
      <c r="AJ1064" s="46" t="n"/>
      <c r="AK1064" s="46" t="n"/>
      <c r="AL1064" s="46" t="n"/>
      <c r="AM1064" s="46" t="n"/>
      <c r="AN1064" s="46" t="n"/>
      <c r="AO1064" s="46" t="n"/>
      <c r="AP1064" s="46" t="n"/>
      <c r="AQ1064" s="46" t="n"/>
      <c r="AR1064" s="46" t="n"/>
      <c r="AS1064" s="46" t="n"/>
      <c r="AV1064" s="36">
        <f>IF($C1064="","",EMPLOYES!M55)</f>
        <v/>
      </c>
      <c r="AW1064" s="36">
        <f>IF($C1064="",0,SUMPRODUCT(--(O1064:AS1064="C")))</f>
        <v/>
      </c>
      <c r="AX1064" s="36">
        <f>IF($C1064="",0,SUMPRODUCT(--(O1064:AS1064="R")))</f>
        <v/>
      </c>
      <c r="AY1064" s="44" t="n"/>
    </row>
    <row r="1065" hidden="1" outlineLevel="1" ht="15" customHeight="1" s="15">
      <c r="B1065" s="41" t="n">
        <v>5</v>
      </c>
      <c r="C1065" s="42">
        <f>IF(EMPLOYES!C56="","",EMPLOYES!C56)</f>
        <v/>
      </c>
      <c r="D1065" s="43">
        <f>IF(EMPLOYES!C56="","",EMPLOYES!D56)</f>
        <v/>
      </c>
      <c r="E1065" s="44" t="n"/>
      <c r="F1065" s="42" t="n"/>
      <c r="G1065" s="41">
        <f>IF($C1065="",0,MAX(0,$M1065-$N1065))</f>
        <v/>
      </c>
      <c r="H1065" s="45" t="n"/>
      <c r="I1065" s="41">
        <f>IF($C1065="","",IF(H1065="","OK",IF(H1065&gt;EMPLOYES!P56,"⚠ Avance &gt; salaire",IF(H1065&gt;EMPLOYES!P56*PARAMETRES!$C$218,"⚠ Avance élevée","OK"))))</f>
        <v/>
      </c>
      <c r="J1065" s="45" t="n"/>
      <c r="K1065" s="46" t="n"/>
      <c r="L1065" s="46" t="n"/>
      <c r="M1065" s="41">
        <f>IF($C1065="","",SUMPRODUCT((PARAMETRES!$B$38:$B$157=PARAMETRES!$C$29)*(PARAMETRES!$C$38:$C$157=5)*(IF(EMPLOYES!M56="5j",PARAMETRES!$I$38:$I$157,PARAMETRES!$H$38:$H$157))))</f>
        <v/>
      </c>
      <c r="N1065" s="41">
        <f>IF($C1065="","",SUMPRODUCT((O1065:AS1065="P")+(O1065:AS1065="F")+(O1065:AS1065="C")+0.5*(O1065:AS1065="D"),(1-((O1021:AS1021=6)*(EMPLOYES!M56="5j")))))</f>
        <v/>
      </c>
      <c r="O1065" s="46" t="n"/>
      <c r="P1065" s="46" t="n"/>
      <c r="Q1065" s="46" t="n"/>
      <c r="R1065" s="46" t="n"/>
      <c r="S1065" s="46" t="n"/>
      <c r="T1065" s="46" t="n"/>
      <c r="U1065" s="46" t="n"/>
      <c r="V1065" s="46" t="n"/>
      <c r="W1065" s="46" t="n"/>
      <c r="X1065" s="46" t="n"/>
      <c r="Y1065" s="46" t="n"/>
      <c r="Z1065" s="46" t="n"/>
      <c r="AA1065" s="46" t="n"/>
      <c r="AB1065" s="46" t="n"/>
      <c r="AC1065" s="46" t="n"/>
      <c r="AD1065" s="46" t="n"/>
      <c r="AE1065" s="46" t="n"/>
      <c r="AF1065" s="46" t="n"/>
      <c r="AG1065" s="46" t="n"/>
      <c r="AH1065" s="46" t="n"/>
      <c r="AI1065" s="46" t="n"/>
      <c r="AJ1065" s="46" t="n"/>
      <c r="AK1065" s="46" t="n"/>
      <c r="AL1065" s="46" t="n"/>
      <c r="AM1065" s="46" t="n"/>
      <c r="AN1065" s="46" t="n"/>
      <c r="AO1065" s="46" t="n"/>
      <c r="AP1065" s="46" t="n"/>
      <c r="AQ1065" s="46" t="n"/>
      <c r="AR1065" s="46" t="n"/>
      <c r="AS1065" s="46" t="n"/>
      <c r="AV1065" s="36">
        <f>IF($C1065="","",EMPLOYES!M56)</f>
        <v/>
      </c>
      <c r="AW1065" s="36">
        <f>IF($C1065="",0,SUMPRODUCT(--(O1065:AS1065="C")))</f>
        <v/>
      </c>
      <c r="AX1065" s="36">
        <f>IF($C1065="",0,SUMPRODUCT(--(O1065:AS1065="R")))</f>
        <v/>
      </c>
      <c r="AY1065" s="44" t="n"/>
    </row>
    <row r="1066" hidden="1" outlineLevel="1" ht="15" customHeight="1" s="15">
      <c r="B1066" s="41" t="n">
        <v>5</v>
      </c>
      <c r="C1066" s="42">
        <f>IF(EMPLOYES!C57="","",EMPLOYES!C57)</f>
        <v/>
      </c>
      <c r="D1066" s="43">
        <f>IF(EMPLOYES!C57="","",EMPLOYES!D57)</f>
        <v/>
      </c>
      <c r="E1066" s="44" t="n"/>
      <c r="F1066" s="42" t="n"/>
      <c r="G1066" s="41">
        <f>IF($C1066="",0,MAX(0,$M1066-$N1066))</f>
        <v/>
      </c>
      <c r="H1066" s="45" t="n"/>
      <c r="I1066" s="41">
        <f>IF($C1066="","",IF(H1066="","OK",IF(H1066&gt;EMPLOYES!P57,"⚠ Avance &gt; salaire",IF(H1066&gt;EMPLOYES!P57*PARAMETRES!$C$218,"⚠ Avance élevée","OK"))))</f>
        <v/>
      </c>
      <c r="J1066" s="45" t="n"/>
      <c r="K1066" s="46" t="n"/>
      <c r="L1066" s="46" t="n"/>
      <c r="M1066" s="41">
        <f>IF($C1066="","",SUMPRODUCT((PARAMETRES!$B$38:$B$157=PARAMETRES!$C$29)*(PARAMETRES!$C$38:$C$157=5)*(IF(EMPLOYES!M57="5j",PARAMETRES!$I$38:$I$157,PARAMETRES!$H$38:$H$157))))</f>
        <v/>
      </c>
      <c r="N1066" s="41">
        <f>IF($C1066="","",SUMPRODUCT((O1066:AS1066="P")+(O1066:AS1066="F")+(O1066:AS1066="C")+0.5*(O1066:AS1066="D"),(1-((O1021:AS1021=6)*(EMPLOYES!M57="5j")))))</f>
        <v/>
      </c>
      <c r="O1066" s="46" t="n"/>
      <c r="P1066" s="46" t="n"/>
      <c r="Q1066" s="46" t="n"/>
      <c r="R1066" s="46" t="n"/>
      <c r="S1066" s="46" t="n"/>
      <c r="T1066" s="46" t="n"/>
      <c r="U1066" s="46" t="n"/>
      <c r="V1066" s="46" t="n"/>
      <c r="W1066" s="46" t="n"/>
      <c r="X1066" s="46" t="n"/>
      <c r="Y1066" s="46" t="n"/>
      <c r="Z1066" s="46" t="n"/>
      <c r="AA1066" s="46" t="n"/>
      <c r="AB1066" s="46" t="n"/>
      <c r="AC1066" s="46" t="n"/>
      <c r="AD1066" s="46" t="n"/>
      <c r="AE1066" s="46" t="n"/>
      <c r="AF1066" s="46" t="n"/>
      <c r="AG1066" s="46" t="n"/>
      <c r="AH1066" s="46" t="n"/>
      <c r="AI1066" s="46" t="n"/>
      <c r="AJ1066" s="46" t="n"/>
      <c r="AK1066" s="46" t="n"/>
      <c r="AL1066" s="46" t="n"/>
      <c r="AM1066" s="46" t="n"/>
      <c r="AN1066" s="46" t="n"/>
      <c r="AO1066" s="46" t="n"/>
      <c r="AP1066" s="46" t="n"/>
      <c r="AQ1066" s="46" t="n"/>
      <c r="AR1066" s="46" t="n"/>
      <c r="AS1066" s="46" t="n"/>
      <c r="AV1066" s="36">
        <f>IF($C1066="","",EMPLOYES!M57)</f>
        <v/>
      </c>
      <c r="AW1066" s="36">
        <f>IF($C1066="",0,SUMPRODUCT(--(O1066:AS1066="C")))</f>
        <v/>
      </c>
      <c r="AX1066" s="36">
        <f>IF($C1066="",0,SUMPRODUCT(--(O1066:AS1066="R")))</f>
        <v/>
      </c>
      <c r="AY1066" s="44" t="n"/>
    </row>
    <row r="1067" hidden="1" outlineLevel="1" ht="15" customHeight="1" s="15">
      <c r="B1067" s="41" t="n">
        <v>5</v>
      </c>
      <c r="C1067" s="42">
        <f>IF(EMPLOYES!C58="","",EMPLOYES!C58)</f>
        <v/>
      </c>
      <c r="D1067" s="43">
        <f>IF(EMPLOYES!C58="","",EMPLOYES!D58)</f>
        <v/>
      </c>
      <c r="E1067" s="44" t="n"/>
      <c r="F1067" s="42" t="n"/>
      <c r="G1067" s="41">
        <f>IF($C1067="",0,MAX(0,$M1067-$N1067))</f>
        <v/>
      </c>
      <c r="H1067" s="45" t="n"/>
      <c r="I1067" s="41">
        <f>IF($C1067="","",IF(H1067="","OK",IF(H1067&gt;EMPLOYES!P58,"⚠ Avance &gt; salaire",IF(H1067&gt;EMPLOYES!P58*PARAMETRES!$C$218,"⚠ Avance élevée","OK"))))</f>
        <v/>
      </c>
      <c r="J1067" s="45" t="n"/>
      <c r="K1067" s="46" t="n"/>
      <c r="L1067" s="46" t="n"/>
      <c r="M1067" s="41">
        <f>IF($C1067="","",SUMPRODUCT((PARAMETRES!$B$38:$B$157=PARAMETRES!$C$29)*(PARAMETRES!$C$38:$C$157=5)*(IF(EMPLOYES!M58="5j",PARAMETRES!$I$38:$I$157,PARAMETRES!$H$38:$H$157))))</f>
        <v/>
      </c>
      <c r="N1067" s="41">
        <f>IF($C1067="","",SUMPRODUCT((O1067:AS1067="P")+(O1067:AS1067="F")+(O1067:AS1067="C")+0.5*(O1067:AS1067="D"),(1-((O1021:AS1021=6)*(EMPLOYES!M58="5j")))))</f>
        <v/>
      </c>
      <c r="O1067" s="46" t="n"/>
      <c r="P1067" s="46" t="n"/>
      <c r="Q1067" s="46" t="n"/>
      <c r="R1067" s="46" t="n"/>
      <c r="S1067" s="46" t="n"/>
      <c r="T1067" s="46" t="n"/>
      <c r="U1067" s="46" t="n"/>
      <c r="V1067" s="46" t="n"/>
      <c r="W1067" s="46" t="n"/>
      <c r="X1067" s="46" t="n"/>
      <c r="Y1067" s="46" t="n"/>
      <c r="Z1067" s="46" t="n"/>
      <c r="AA1067" s="46" t="n"/>
      <c r="AB1067" s="46" t="n"/>
      <c r="AC1067" s="46" t="n"/>
      <c r="AD1067" s="46" t="n"/>
      <c r="AE1067" s="46" t="n"/>
      <c r="AF1067" s="46" t="n"/>
      <c r="AG1067" s="46" t="n"/>
      <c r="AH1067" s="46" t="n"/>
      <c r="AI1067" s="46" t="n"/>
      <c r="AJ1067" s="46" t="n"/>
      <c r="AK1067" s="46" t="n"/>
      <c r="AL1067" s="46" t="n"/>
      <c r="AM1067" s="46" t="n"/>
      <c r="AN1067" s="46" t="n"/>
      <c r="AO1067" s="46" t="n"/>
      <c r="AP1067" s="46" t="n"/>
      <c r="AQ1067" s="46" t="n"/>
      <c r="AR1067" s="46" t="n"/>
      <c r="AS1067" s="46" t="n"/>
      <c r="AV1067" s="36">
        <f>IF($C1067="","",EMPLOYES!M58)</f>
        <v/>
      </c>
      <c r="AW1067" s="36">
        <f>IF($C1067="",0,SUMPRODUCT(--(O1067:AS1067="C")))</f>
        <v/>
      </c>
      <c r="AX1067" s="36">
        <f>IF($C1067="",0,SUMPRODUCT(--(O1067:AS1067="R")))</f>
        <v/>
      </c>
      <c r="AY1067" s="44" t="n"/>
    </row>
    <row r="1068" hidden="1" outlineLevel="1" ht="15" customHeight="1" s="15">
      <c r="B1068" s="41" t="n">
        <v>5</v>
      </c>
      <c r="C1068" s="42">
        <f>IF(EMPLOYES!C59="","",EMPLOYES!C59)</f>
        <v/>
      </c>
      <c r="D1068" s="43">
        <f>IF(EMPLOYES!C59="","",EMPLOYES!D59)</f>
        <v/>
      </c>
      <c r="E1068" s="44" t="n"/>
      <c r="F1068" s="42" t="n"/>
      <c r="G1068" s="41">
        <f>IF($C1068="",0,MAX(0,$M1068-$N1068))</f>
        <v/>
      </c>
      <c r="H1068" s="45" t="n"/>
      <c r="I1068" s="41">
        <f>IF($C1068="","",IF(H1068="","OK",IF(H1068&gt;EMPLOYES!P59,"⚠ Avance &gt; salaire",IF(H1068&gt;EMPLOYES!P59*PARAMETRES!$C$218,"⚠ Avance élevée","OK"))))</f>
        <v/>
      </c>
      <c r="J1068" s="45" t="n"/>
      <c r="K1068" s="46" t="n"/>
      <c r="L1068" s="46" t="n"/>
      <c r="M1068" s="41">
        <f>IF($C1068="","",SUMPRODUCT((PARAMETRES!$B$38:$B$157=PARAMETRES!$C$29)*(PARAMETRES!$C$38:$C$157=5)*(IF(EMPLOYES!M59="5j",PARAMETRES!$I$38:$I$157,PARAMETRES!$H$38:$H$157))))</f>
        <v/>
      </c>
      <c r="N1068" s="41">
        <f>IF($C1068="","",SUMPRODUCT((O1068:AS1068="P")+(O1068:AS1068="F")+(O1068:AS1068="C")+0.5*(O1068:AS1068="D"),(1-((O1021:AS1021=6)*(EMPLOYES!M59="5j")))))</f>
        <v/>
      </c>
      <c r="O1068" s="46" t="n"/>
      <c r="P1068" s="46" t="n"/>
      <c r="Q1068" s="46" t="n"/>
      <c r="R1068" s="46" t="n"/>
      <c r="S1068" s="46" t="n"/>
      <c r="T1068" s="46" t="n"/>
      <c r="U1068" s="46" t="n"/>
      <c r="V1068" s="46" t="n"/>
      <c r="W1068" s="46" t="n"/>
      <c r="X1068" s="46" t="n"/>
      <c r="Y1068" s="46" t="n"/>
      <c r="Z1068" s="46" t="n"/>
      <c r="AA1068" s="46" t="n"/>
      <c r="AB1068" s="46" t="n"/>
      <c r="AC1068" s="46" t="n"/>
      <c r="AD1068" s="46" t="n"/>
      <c r="AE1068" s="46" t="n"/>
      <c r="AF1068" s="46" t="n"/>
      <c r="AG1068" s="46" t="n"/>
      <c r="AH1068" s="46" t="n"/>
      <c r="AI1068" s="46" t="n"/>
      <c r="AJ1068" s="46" t="n"/>
      <c r="AK1068" s="46" t="n"/>
      <c r="AL1068" s="46" t="n"/>
      <c r="AM1068" s="46" t="n"/>
      <c r="AN1068" s="46" t="n"/>
      <c r="AO1068" s="46" t="n"/>
      <c r="AP1068" s="46" t="n"/>
      <c r="AQ1068" s="46" t="n"/>
      <c r="AR1068" s="46" t="n"/>
      <c r="AS1068" s="46" t="n"/>
      <c r="AV1068" s="36">
        <f>IF($C1068="","",EMPLOYES!M59)</f>
        <v/>
      </c>
      <c r="AW1068" s="36">
        <f>IF($C1068="",0,SUMPRODUCT(--(O1068:AS1068="C")))</f>
        <v/>
      </c>
      <c r="AX1068" s="36">
        <f>IF($C1068="",0,SUMPRODUCT(--(O1068:AS1068="R")))</f>
        <v/>
      </c>
      <c r="AY1068" s="44" t="n"/>
    </row>
    <row r="1069" hidden="1" outlineLevel="1" ht="15" customHeight="1" s="15">
      <c r="B1069" s="41" t="n">
        <v>5</v>
      </c>
      <c r="C1069" s="42">
        <f>IF(EMPLOYES!C60="","",EMPLOYES!C60)</f>
        <v/>
      </c>
      <c r="D1069" s="43">
        <f>IF(EMPLOYES!C60="","",EMPLOYES!D60)</f>
        <v/>
      </c>
      <c r="E1069" s="44" t="n"/>
      <c r="F1069" s="42" t="n"/>
      <c r="G1069" s="41">
        <f>IF($C1069="",0,MAX(0,$M1069-$N1069))</f>
        <v/>
      </c>
      <c r="H1069" s="45" t="n"/>
      <c r="I1069" s="41">
        <f>IF($C1069="","",IF(H1069="","OK",IF(H1069&gt;EMPLOYES!P60,"⚠ Avance &gt; salaire",IF(H1069&gt;EMPLOYES!P60*PARAMETRES!$C$218,"⚠ Avance élevée","OK"))))</f>
        <v/>
      </c>
      <c r="J1069" s="45" t="n"/>
      <c r="K1069" s="46" t="n"/>
      <c r="L1069" s="46" t="n"/>
      <c r="M1069" s="41">
        <f>IF($C1069="","",SUMPRODUCT((PARAMETRES!$B$38:$B$157=PARAMETRES!$C$29)*(PARAMETRES!$C$38:$C$157=5)*(IF(EMPLOYES!M60="5j",PARAMETRES!$I$38:$I$157,PARAMETRES!$H$38:$H$157))))</f>
        <v/>
      </c>
      <c r="N1069" s="41">
        <f>IF($C1069="","",SUMPRODUCT((O1069:AS1069="P")+(O1069:AS1069="F")+(O1069:AS1069="C")+0.5*(O1069:AS1069="D"),(1-((O1021:AS1021=6)*(EMPLOYES!M60="5j")))))</f>
        <v/>
      </c>
      <c r="O1069" s="46" t="n"/>
      <c r="P1069" s="46" t="n"/>
      <c r="Q1069" s="46" t="n"/>
      <c r="R1069" s="46" t="n"/>
      <c r="S1069" s="46" t="n"/>
      <c r="T1069" s="46" t="n"/>
      <c r="U1069" s="46" t="n"/>
      <c r="V1069" s="46" t="n"/>
      <c r="W1069" s="46" t="n"/>
      <c r="X1069" s="46" t="n"/>
      <c r="Y1069" s="46" t="n"/>
      <c r="Z1069" s="46" t="n"/>
      <c r="AA1069" s="46" t="n"/>
      <c r="AB1069" s="46" t="n"/>
      <c r="AC1069" s="46" t="n"/>
      <c r="AD1069" s="46" t="n"/>
      <c r="AE1069" s="46" t="n"/>
      <c r="AF1069" s="46" t="n"/>
      <c r="AG1069" s="46" t="n"/>
      <c r="AH1069" s="46" t="n"/>
      <c r="AI1069" s="46" t="n"/>
      <c r="AJ1069" s="46" t="n"/>
      <c r="AK1069" s="46" t="n"/>
      <c r="AL1069" s="46" t="n"/>
      <c r="AM1069" s="46" t="n"/>
      <c r="AN1069" s="46" t="n"/>
      <c r="AO1069" s="46" t="n"/>
      <c r="AP1069" s="46" t="n"/>
      <c r="AQ1069" s="46" t="n"/>
      <c r="AR1069" s="46" t="n"/>
      <c r="AS1069" s="46" t="n"/>
      <c r="AV1069" s="36">
        <f>IF($C1069="","",EMPLOYES!M60)</f>
        <v/>
      </c>
      <c r="AW1069" s="36">
        <f>IF($C1069="",0,SUMPRODUCT(--(O1069:AS1069="C")))</f>
        <v/>
      </c>
      <c r="AX1069" s="36">
        <f>IF($C1069="",0,SUMPRODUCT(--(O1069:AS1069="R")))</f>
        <v/>
      </c>
      <c r="AY1069" s="44" t="n"/>
    </row>
    <row r="1070" hidden="1" outlineLevel="1" ht="15" customHeight="1" s="15">
      <c r="B1070" s="41" t="n">
        <v>5</v>
      </c>
      <c r="C1070" s="42">
        <f>IF(EMPLOYES!C61="","",EMPLOYES!C61)</f>
        <v/>
      </c>
      <c r="D1070" s="43">
        <f>IF(EMPLOYES!C61="","",EMPLOYES!D61)</f>
        <v/>
      </c>
      <c r="E1070" s="44" t="n"/>
      <c r="F1070" s="42" t="n"/>
      <c r="G1070" s="41">
        <f>IF($C1070="",0,MAX(0,$M1070-$N1070))</f>
        <v/>
      </c>
      <c r="H1070" s="45" t="n"/>
      <c r="I1070" s="41">
        <f>IF($C1070="","",IF(H1070="","OK",IF(H1070&gt;EMPLOYES!P61,"⚠ Avance &gt; salaire",IF(H1070&gt;EMPLOYES!P61*PARAMETRES!$C$218,"⚠ Avance élevée","OK"))))</f>
        <v/>
      </c>
      <c r="J1070" s="45" t="n"/>
      <c r="K1070" s="46" t="n"/>
      <c r="L1070" s="46" t="n"/>
      <c r="M1070" s="41">
        <f>IF($C1070="","",SUMPRODUCT((PARAMETRES!$B$38:$B$157=PARAMETRES!$C$29)*(PARAMETRES!$C$38:$C$157=5)*(IF(EMPLOYES!M61="5j",PARAMETRES!$I$38:$I$157,PARAMETRES!$H$38:$H$157))))</f>
        <v/>
      </c>
      <c r="N1070" s="41">
        <f>IF($C1070="","",SUMPRODUCT((O1070:AS1070="P")+(O1070:AS1070="F")+(O1070:AS1070="C")+0.5*(O1070:AS1070="D"),(1-((O1021:AS1021=6)*(EMPLOYES!M61="5j")))))</f>
        <v/>
      </c>
      <c r="O1070" s="46" t="n"/>
      <c r="P1070" s="46" t="n"/>
      <c r="Q1070" s="46" t="n"/>
      <c r="R1070" s="46" t="n"/>
      <c r="S1070" s="46" t="n"/>
      <c r="T1070" s="46" t="n"/>
      <c r="U1070" s="46" t="n"/>
      <c r="V1070" s="46" t="n"/>
      <c r="W1070" s="46" t="n"/>
      <c r="X1070" s="46" t="n"/>
      <c r="Y1070" s="46" t="n"/>
      <c r="Z1070" s="46" t="n"/>
      <c r="AA1070" s="46" t="n"/>
      <c r="AB1070" s="46" t="n"/>
      <c r="AC1070" s="46" t="n"/>
      <c r="AD1070" s="46" t="n"/>
      <c r="AE1070" s="46" t="n"/>
      <c r="AF1070" s="46" t="n"/>
      <c r="AG1070" s="46" t="n"/>
      <c r="AH1070" s="46" t="n"/>
      <c r="AI1070" s="46" t="n"/>
      <c r="AJ1070" s="46" t="n"/>
      <c r="AK1070" s="46" t="n"/>
      <c r="AL1070" s="46" t="n"/>
      <c r="AM1070" s="46" t="n"/>
      <c r="AN1070" s="46" t="n"/>
      <c r="AO1070" s="46" t="n"/>
      <c r="AP1070" s="46" t="n"/>
      <c r="AQ1070" s="46" t="n"/>
      <c r="AR1070" s="46" t="n"/>
      <c r="AS1070" s="46" t="n"/>
      <c r="AV1070" s="36">
        <f>IF($C1070="","",EMPLOYES!M61)</f>
        <v/>
      </c>
      <c r="AW1070" s="36">
        <f>IF($C1070="",0,SUMPRODUCT(--(O1070:AS1070="C")))</f>
        <v/>
      </c>
      <c r="AX1070" s="36">
        <f>IF($C1070="",0,SUMPRODUCT(--(O1070:AS1070="R")))</f>
        <v/>
      </c>
      <c r="AY1070" s="44" t="n"/>
    </row>
    <row r="1071" hidden="1" outlineLevel="1" ht="15" customHeight="1" s="15">
      <c r="B1071" s="41" t="n">
        <v>5</v>
      </c>
      <c r="C1071" s="42">
        <f>IF(EMPLOYES!C62="","",EMPLOYES!C62)</f>
        <v/>
      </c>
      <c r="D1071" s="43">
        <f>IF(EMPLOYES!C62="","",EMPLOYES!D62)</f>
        <v/>
      </c>
      <c r="E1071" s="44" t="n"/>
      <c r="F1071" s="42" t="n"/>
      <c r="G1071" s="41">
        <f>IF($C1071="",0,MAX(0,$M1071-$N1071))</f>
        <v/>
      </c>
      <c r="H1071" s="45" t="n"/>
      <c r="I1071" s="41">
        <f>IF($C1071="","",IF(H1071="","OK",IF(H1071&gt;EMPLOYES!P62,"⚠ Avance &gt; salaire",IF(H1071&gt;EMPLOYES!P62*PARAMETRES!$C$218,"⚠ Avance élevée","OK"))))</f>
        <v/>
      </c>
      <c r="J1071" s="45" t="n"/>
      <c r="K1071" s="46" t="n"/>
      <c r="L1071" s="46" t="n"/>
      <c r="M1071" s="41">
        <f>IF($C1071="","",SUMPRODUCT((PARAMETRES!$B$38:$B$157=PARAMETRES!$C$29)*(PARAMETRES!$C$38:$C$157=5)*(IF(EMPLOYES!M62="5j",PARAMETRES!$I$38:$I$157,PARAMETRES!$H$38:$H$157))))</f>
        <v/>
      </c>
      <c r="N1071" s="41">
        <f>IF($C1071="","",SUMPRODUCT((O1071:AS1071="P")+(O1071:AS1071="F")+(O1071:AS1071="C")+0.5*(O1071:AS1071="D"),(1-((O1021:AS1021=6)*(EMPLOYES!M62="5j")))))</f>
        <v/>
      </c>
      <c r="O1071" s="46" t="n"/>
      <c r="P1071" s="46" t="n"/>
      <c r="Q1071" s="46" t="n"/>
      <c r="R1071" s="46" t="n"/>
      <c r="S1071" s="46" t="n"/>
      <c r="T1071" s="46" t="n"/>
      <c r="U1071" s="46" t="n"/>
      <c r="V1071" s="46" t="n"/>
      <c r="W1071" s="46" t="n"/>
      <c r="X1071" s="46" t="n"/>
      <c r="Y1071" s="46" t="n"/>
      <c r="Z1071" s="46" t="n"/>
      <c r="AA1071" s="46" t="n"/>
      <c r="AB1071" s="46" t="n"/>
      <c r="AC1071" s="46" t="n"/>
      <c r="AD1071" s="46" t="n"/>
      <c r="AE1071" s="46" t="n"/>
      <c r="AF1071" s="46" t="n"/>
      <c r="AG1071" s="46" t="n"/>
      <c r="AH1071" s="46" t="n"/>
      <c r="AI1071" s="46" t="n"/>
      <c r="AJ1071" s="46" t="n"/>
      <c r="AK1071" s="46" t="n"/>
      <c r="AL1071" s="46" t="n"/>
      <c r="AM1071" s="46" t="n"/>
      <c r="AN1071" s="46" t="n"/>
      <c r="AO1071" s="46" t="n"/>
      <c r="AP1071" s="46" t="n"/>
      <c r="AQ1071" s="46" t="n"/>
      <c r="AR1071" s="46" t="n"/>
      <c r="AS1071" s="46" t="n"/>
      <c r="AV1071" s="36">
        <f>IF($C1071="","",EMPLOYES!M62)</f>
        <v/>
      </c>
      <c r="AW1071" s="36">
        <f>IF($C1071="",0,SUMPRODUCT(--(O1071:AS1071="C")))</f>
        <v/>
      </c>
      <c r="AX1071" s="36">
        <f>IF($C1071="",0,SUMPRODUCT(--(O1071:AS1071="R")))</f>
        <v/>
      </c>
      <c r="AY1071" s="44" t="n"/>
    </row>
    <row r="1072" hidden="1" outlineLevel="1" ht="15" customHeight="1" s="15">
      <c r="B1072" s="41" t="n">
        <v>5</v>
      </c>
      <c r="C1072" s="42">
        <f>IF(EMPLOYES!C63="","",EMPLOYES!C63)</f>
        <v/>
      </c>
      <c r="D1072" s="43">
        <f>IF(EMPLOYES!C63="","",EMPLOYES!D63)</f>
        <v/>
      </c>
      <c r="E1072" s="44" t="n"/>
      <c r="F1072" s="42" t="n"/>
      <c r="G1072" s="41">
        <f>IF($C1072="",0,MAX(0,$M1072-$N1072))</f>
        <v/>
      </c>
      <c r="H1072" s="45" t="n"/>
      <c r="I1072" s="41">
        <f>IF($C1072="","",IF(H1072="","OK",IF(H1072&gt;EMPLOYES!P63,"⚠ Avance &gt; salaire",IF(H1072&gt;EMPLOYES!P63*PARAMETRES!$C$218,"⚠ Avance élevée","OK"))))</f>
        <v/>
      </c>
      <c r="J1072" s="45" t="n"/>
      <c r="K1072" s="46" t="n"/>
      <c r="L1072" s="46" t="n"/>
      <c r="M1072" s="41">
        <f>IF($C1072="","",SUMPRODUCT((PARAMETRES!$B$38:$B$157=PARAMETRES!$C$29)*(PARAMETRES!$C$38:$C$157=5)*(IF(EMPLOYES!M63="5j",PARAMETRES!$I$38:$I$157,PARAMETRES!$H$38:$H$157))))</f>
        <v/>
      </c>
      <c r="N1072" s="41">
        <f>IF($C1072="","",SUMPRODUCT((O1072:AS1072="P")+(O1072:AS1072="F")+(O1072:AS1072="C")+0.5*(O1072:AS1072="D"),(1-((O1021:AS1021=6)*(EMPLOYES!M63="5j")))))</f>
        <v/>
      </c>
      <c r="O1072" s="46" t="n"/>
      <c r="P1072" s="46" t="n"/>
      <c r="Q1072" s="46" t="n"/>
      <c r="R1072" s="46" t="n"/>
      <c r="S1072" s="46" t="n"/>
      <c r="T1072" s="46" t="n"/>
      <c r="U1072" s="46" t="n"/>
      <c r="V1072" s="46" t="n"/>
      <c r="W1072" s="46" t="n"/>
      <c r="X1072" s="46" t="n"/>
      <c r="Y1072" s="46" t="n"/>
      <c r="Z1072" s="46" t="n"/>
      <c r="AA1072" s="46" t="n"/>
      <c r="AB1072" s="46" t="n"/>
      <c r="AC1072" s="46" t="n"/>
      <c r="AD1072" s="46" t="n"/>
      <c r="AE1072" s="46" t="n"/>
      <c r="AF1072" s="46" t="n"/>
      <c r="AG1072" s="46" t="n"/>
      <c r="AH1072" s="46" t="n"/>
      <c r="AI1072" s="46" t="n"/>
      <c r="AJ1072" s="46" t="n"/>
      <c r="AK1072" s="46" t="n"/>
      <c r="AL1072" s="46" t="n"/>
      <c r="AM1072" s="46" t="n"/>
      <c r="AN1072" s="46" t="n"/>
      <c r="AO1072" s="46" t="n"/>
      <c r="AP1072" s="46" t="n"/>
      <c r="AQ1072" s="46" t="n"/>
      <c r="AR1072" s="46" t="n"/>
      <c r="AS1072" s="46" t="n"/>
      <c r="AV1072" s="36">
        <f>IF($C1072="","",EMPLOYES!M63)</f>
        <v/>
      </c>
      <c r="AW1072" s="36">
        <f>IF($C1072="",0,SUMPRODUCT(--(O1072:AS1072="C")))</f>
        <v/>
      </c>
      <c r="AX1072" s="36">
        <f>IF($C1072="",0,SUMPRODUCT(--(O1072:AS1072="R")))</f>
        <v/>
      </c>
      <c r="AY1072" s="44" t="n"/>
    </row>
    <row r="1073" hidden="1" outlineLevel="1" ht="15" customHeight="1" s="15">
      <c r="B1073" s="41" t="n">
        <v>5</v>
      </c>
      <c r="C1073" s="42">
        <f>IF(EMPLOYES!C64="","",EMPLOYES!C64)</f>
        <v/>
      </c>
      <c r="D1073" s="43">
        <f>IF(EMPLOYES!C64="","",EMPLOYES!D64)</f>
        <v/>
      </c>
      <c r="E1073" s="44" t="n"/>
      <c r="F1073" s="42" t="n"/>
      <c r="G1073" s="41">
        <f>IF($C1073="",0,MAX(0,$M1073-$N1073))</f>
        <v/>
      </c>
      <c r="H1073" s="45" t="n"/>
      <c r="I1073" s="41">
        <f>IF($C1073="","",IF(H1073="","OK",IF(H1073&gt;EMPLOYES!P64,"⚠ Avance &gt; salaire",IF(H1073&gt;EMPLOYES!P64*PARAMETRES!$C$218,"⚠ Avance élevée","OK"))))</f>
        <v/>
      </c>
      <c r="J1073" s="45" t="n"/>
      <c r="K1073" s="46" t="n"/>
      <c r="L1073" s="46" t="n"/>
      <c r="M1073" s="41">
        <f>IF($C1073="","",SUMPRODUCT((PARAMETRES!$B$38:$B$157=PARAMETRES!$C$29)*(PARAMETRES!$C$38:$C$157=5)*(IF(EMPLOYES!M64="5j",PARAMETRES!$I$38:$I$157,PARAMETRES!$H$38:$H$157))))</f>
        <v/>
      </c>
      <c r="N1073" s="41">
        <f>IF($C1073="","",SUMPRODUCT((O1073:AS1073="P")+(O1073:AS1073="F")+(O1073:AS1073="C")+0.5*(O1073:AS1073="D"),(1-((O1021:AS1021=6)*(EMPLOYES!M64="5j")))))</f>
        <v/>
      </c>
      <c r="O1073" s="46" t="n"/>
      <c r="P1073" s="46" t="n"/>
      <c r="Q1073" s="46" t="n"/>
      <c r="R1073" s="46" t="n"/>
      <c r="S1073" s="46" t="n"/>
      <c r="T1073" s="46" t="n"/>
      <c r="U1073" s="46" t="n"/>
      <c r="V1073" s="46" t="n"/>
      <c r="W1073" s="46" t="n"/>
      <c r="X1073" s="46" t="n"/>
      <c r="Y1073" s="46" t="n"/>
      <c r="Z1073" s="46" t="n"/>
      <c r="AA1073" s="46" t="n"/>
      <c r="AB1073" s="46" t="n"/>
      <c r="AC1073" s="46" t="n"/>
      <c r="AD1073" s="46" t="n"/>
      <c r="AE1073" s="46" t="n"/>
      <c r="AF1073" s="46" t="n"/>
      <c r="AG1073" s="46" t="n"/>
      <c r="AH1073" s="46" t="n"/>
      <c r="AI1073" s="46" t="n"/>
      <c r="AJ1073" s="46" t="n"/>
      <c r="AK1073" s="46" t="n"/>
      <c r="AL1073" s="46" t="n"/>
      <c r="AM1073" s="46" t="n"/>
      <c r="AN1073" s="46" t="n"/>
      <c r="AO1073" s="46" t="n"/>
      <c r="AP1073" s="46" t="n"/>
      <c r="AQ1073" s="46" t="n"/>
      <c r="AR1073" s="46" t="n"/>
      <c r="AS1073" s="46" t="n"/>
      <c r="AV1073" s="36">
        <f>IF($C1073="","",EMPLOYES!M64)</f>
        <v/>
      </c>
      <c r="AW1073" s="36">
        <f>IF($C1073="",0,SUMPRODUCT(--(O1073:AS1073="C")))</f>
        <v/>
      </c>
      <c r="AX1073" s="36">
        <f>IF($C1073="",0,SUMPRODUCT(--(O1073:AS1073="R")))</f>
        <v/>
      </c>
      <c r="AY1073" s="44" t="n"/>
    </row>
    <row r="1074" hidden="1" outlineLevel="1" ht="15" customHeight="1" s="15">
      <c r="B1074" s="41" t="n">
        <v>5</v>
      </c>
      <c r="C1074" s="42">
        <f>IF(EMPLOYES!C65="","",EMPLOYES!C65)</f>
        <v/>
      </c>
      <c r="D1074" s="43">
        <f>IF(EMPLOYES!C65="","",EMPLOYES!D65)</f>
        <v/>
      </c>
      <c r="E1074" s="44" t="n"/>
      <c r="F1074" s="42" t="n"/>
      <c r="G1074" s="41">
        <f>IF($C1074="",0,MAX(0,$M1074-$N1074))</f>
        <v/>
      </c>
      <c r="H1074" s="45" t="n"/>
      <c r="I1074" s="41">
        <f>IF($C1074="","",IF(H1074="","OK",IF(H1074&gt;EMPLOYES!P65,"⚠ Avance &gt; salaire",IF(H1074&gt;EMPLOYES!P65*PARAMETRES!$C$218,"⚠ Avance élevée","OK"))))</f>
        <v/>
      </c>
      <c r="J1074" s="45" t="n"/>
      <c r="K1074" s="46" t="n"/>
      <c r="L1074" s="46" t="n"/>
      <c r="M1074" s="41">
        <f>IF($C1074="","",SUMPRODUCT((PARAMETRES!$B$38:$B$157=PARAMETRES!$C$29)*(PARAMETRES!$C$38:$C$157=5)*(IF(EMPLOYES!M65="5j",PARAMETRES!$I$38:$I$157,PARAMETRES!$H$38:$H$157))))</f>
        <v/>
      </c>
      <c r="N1074" s="41">
        <f>IF($C1074="","",SUMPRODUCT((O1074:AS1074="P")+(O1074:AS1074="F")+(O1074:AS1074="C")+0.5*(O1074:AS1074="D"),(1-((O1021:AS1021=6)*(EMPLOYES!M65="5j")))))</f>
        <v/>
      </c>
      <c r="O1074" s="46" t="n"/>
      <c r="P1074" s="46" t="n"/>
      <c r="Q1074" s="46" t="n"/>
      <c r="R1074" s="46" t="n"/>
      <c r="S1074" s="46" t="n"/>
      <c r="T1074" s="46" t="n"/>
      <c r="U1074" s="46" t="n"/>
      <c r="V1074" s="46" t="n"/>
      <c r="W1074" s="46" t="n"/>
      <c r="X1074" s="46" t="n"/>
      <c r="Y1074" s="46" t="n"/>
      <c r="Z1074" s="46" t="n"/>
      <c r="AA1074" s="46" t="n"/>
      <c r="AB1074" s="46" t="n"/>
      <c r="AC1074" s="46" t="n"/>
      <c r="AD1074" s="46" t="n"/>
      <c r="AE1074" s="46" t="n"/>
      <c r="AF1074" s="46" t="n"/>
      <c r="AG1074" s="46" t="n"/>
      <c r="AH1074" s="46" t="n"/>
      <c r="AI1074" s="46" t="n"/>
      <c r="AJ1074" s="46" t="n"/>
      <c r="AK1074" s="46" t="n"/>
      <c r="AL1074" s="46" t="n"/>
      <c r="AM1074" s="46" t="n"/>
      <c r="AN1074" s="46" t="n"/>
      <c r="AO1074" s="46" t="n"/>
      <c r="AP1074" s="46" t="n"/>
      <c r="AQ1074" s="46" t="n"/>
      <c r="AR1074" s="46" t="n"/>
      <c r="AS1074" s="46" t="n"/>
      <c r="AV1074" s="36">
        <f>IF($C1074="","",EMPLOYES!M65)</f>
        <v/>
      </c>
      <c r="AW1074" s="36">
        <f>IF($C1074="",0,SUMPRODUCT(--(O1074:AS1074="C")))</f>
        <v/>
      </c>
      <c r="AX1074" s="36">
        <f>IF($C1074="",0,SUMPRODUCT(--(O1074:AS1074="R")))</f>
        <v/>
      </c>
      <c r="AY1074" s="44" t="n"/>
    </row>
    <row r="1075" hidden="1" outlineLevel="1" ht="15" customHeight="1" s="15">
      <c r="B1075" s="41" t="n">
        <v>5</v>
      </c>
      <c r="C1075" s="42">
        <f>IF(EMPLOYES!C66="","",EMPLOYES!C66)</f>
        <v/>
      </c>
      <c r="D1075" s="43">
        <f>IF(EMPLOYES!C66="","",EMPLOYES!D66)</f>
        <v/>
      </c>
      <c r="E1075" s="44" t="n"/>
      <c r="F1075" s="42" t="n"/>
      <c r="G1075" s="41">
        <f>IF($C1075="",0,MAX(0,$M1075-$N1075))</f>
        <v/>
      </c>
      <c r="H1075" s="45" t="n"/>
      <c r="I1075" s="41">
        <f>IF($C1075="","",IF(H1075="","OK",IF(H1075&gt;EMPLOYES!P66,"⚠ Avance &gt; salaire",IF(H1075&gt;EMPLOYES!P66*PARAMETRES!$C$218,"⚠ Avance élevée","OK"))))</f>
        <v/>
      </c>
      <c r="J1075" s="45" t="n"/>
      <c r="K1075" s="46" t="n"/>
      <c r="L1075" s="46" t="n"/>
      <c r="M1075" s="41">
        <f>IF($C1075="","",SUMPRODUCT((PARAMETRES!$B$38:$B$157=PARAMETRES!$C$29)*(PARAMETRES!$C$38:$C$157=5)*(IF(EMPLOYES!M66="5j",PARAMETRES!$I$38:$I$157,PARAMETRES!$H$38:$H$157))))</f>
        <v/>
      </c>
      <c r="N1075" s="41">
        <f>IF($C1075="","",SUMPRODUCT((O1075:AS1075="P")+(O1075:AS1075="F")+(O1075:AS1075="C")+0.5*(O1075:AS1075="D"),(1-((O1021:AS1021=6)*(EMPLOYES!M66="5j")))))</f>
        <v/>
      </c>
      <c r="O1075" s="46" t="n"/>
      <c r="P1075" s="46" t="n"/>
      <c r="Q1075" s="46" t="n"/>
      <c r="R1075" s="46" t="n"/>
      <c r="S1075" s="46" t="n"/>
      <c r="T1075" s="46" t="n"/>
      <c r="U1075" s="46" t="n"/>
      <c r="V1075" s="46" t="n"/>
      <c r="W1075" s="46" t="n"/>
      <c r="X1075" s="46" t="n"/>
      <c r="Y1075" s="46" t="n"/>
      <c r="Z1075" s="46" t="n"/>
      <c r="AA1075" s="46" t="n"/>
      <c r="AB1075" s="46" t="n"/>
      <c r="AC1075" s="46" t="n"/>
      <c r="AD1075" s="46" t="n"/>
      <c r="AE1075" s="46" t="n"/>
      <c r="AF1075" s="46" t="n"/>
      <c r="AG1075" s="46" t="n"/>
      <c r="AH1075" s="46" t="n"/>
      <c r="AI1075" s="46" t="n"/>
      <c r="AJ1075" s="46" t="n"/>
      <c r="AK1075" s="46" t="n"/>
      <c r="AL1075" s="46" t="n"/>
      <c r="AM1075" s="46" t="n"/>
      <c r="AN1075" s="46" t="n"/>
      <c r="AO1075" s="46" t="n"/>
      <c r="AP1075" s="46" t="n"/>
      <c r="AQ1075" s="46" t="n"/>
      <c r="AR1075" s="46" t="n"/>
      <c r="AS1075" s="46" t="n"/>
      <c r="AV1075" s="36">
        <f>IF($C1075="","",EMPLOYES!M66)</f>
        <v/>
      </c>
      <c r="AW1075" s="36">
        <f>IF($C1075="",0,SUMPRODUCT(--(O1075:AS1075="C")))</f>
        <v/>
      </c>
      <c r="AX1075" s="36">
        <f>IF($C1075="",0,SUMPRODUCT(--(O1075:AS1075="R")))</f>
        <v/>
      </c>
      <c r="AY1075" s="44" t="n"/>
    </row>
    <row r="1076" hidden="1" outlineLevel="1" ht="15" customHeight="1" s="15">
      <c r="B1076" s="41" t="n">
        <v>5</v>
      </c>
      <c r="C1076" s="42">
        <f>IF(EMPLOYES!C67="","",EMPLOYES!C67)</f>
        <v/>
      </c>
      <c r="D1076" s="43">
        <f>IF(EMPLOYES!C67="","",EMPLOYES!D67)</f>
        <v/>
      </c>
      <c r="E1076" s="44" t="n"/>
      <c r="F1076" s="42" t="n"/>
      <c r="G1076" s="41">
        <f>IF($C1076="",0,MAX(0,$M1076-$N1076))</f>
        <v/>
      </c>
      <c r="H1076" s="45" t="n"/>
      <c r="I1076" s="41">
        <f>IF($C1076="","",IF(H1076="","OK",IF(H1076&gt;EMPLOYES!P67,"⚠ Avance &gt; salaire",IF(H1076&gt;EMPLOYES!P67*PARAMETRES!$C$218,"⚠ Avance élevée","OK"))))</f>
        <v/>
      </c>
      <c r="J1076" s="45" t="n"/>
      <c r="K1076" s="46" t="n"/>
      <c r="L1076" s="46" t="n"/>
      <c r="M1076" s="41">
        <f>IF($C1076="","",SUMPRODUCT((PARAMETRES!$B$38:$B$157=PARAMETRES!$C$29)*(PARAMETRES!$C$38:$C$157=5)*(IF(EMPLOYES!M67="5j",PARAMETRES!$I$38:$I$157,PARAMETRES!$H$38:$H$157))))</f>
        <v/>
      </c>
      <c r="N1076" s="41">
        <f>IF($C1076="","",SUMPRODUCT((O1076:AS1076="P")+(O1076:AS1076="F")+(O1076:AS1076="C")+0.5*(O1076:AS1076="D"),(1-((O1021:AS1021=6)*(EMPLOYES!M67="5j")))))</f>
        <v/>
      </c>
      <c r="O1076" s="46" t="n"/>
      <c r="P1076" s="46" t="n"/>
      <c r="Q1076" s="46" t="n"/>
      <c r="R1076" s="46" t="n"/>
      <c r="S1076" s="46" t="n"/>
      <c r="T1076" s="46" t="n"/>
      <c r="U1076" s="46" t="n"/>
      <c r="V1076" s="46" t="n"/>
      <c r="W1076" s="46" t="n"/>
      <c r="X1076" s="46" t="n"/>
      <c r="Y1076" s="46" t="n"/>
      <c r="Z1076" s="46" t="n"/>
      <c r="AA1076" s="46" t="n"/>
      <c r="AB1076" s="46" t="n"/>
      <c r="AC1076" s="46" t="n"/>
      <c r="AD1076" s="46" t="n"/>
      <c r="AE1076" s="46" t="n"/>
      <c r="AF1076" s="46" t="n"/>
      <c r="AG1076" s="46" t="n"/>
      <c r="AH1076" s="46" t="n"/>
      <c r="AI1076" s="46" t="n"/>
      <c r="AJ1076" s="46" t="n"/>
      <c r="AK1076" s="46" t="n"/>
      <c r="AL1076" s="46" t="n"/>
      <c r="AM1076" s="46" t="n"/>
      <c r="AN1076" s="46" t="n"/>
      <c r="AO1076" s="46" t="n"/>
      <c r="AP1076" s="46" t="n"/>
      <c r="AQ1076" s="46" t="n"/>
      <c r="AR1076" s="46" t="n"/>
      <c r="AS1076" s="46" t="n"/>
      <c r="AV1076" s="36">
        <f>IF($C1076="","",EMPLOYES!M67)</f>
        <v/>
      </c>
      <c r="AW1076" s="36">
        <f>IF($C1076="",0,SUMPRODUCT(--(O1076:AS1076="C")))</f>
        <v/>
      </c>
      <c r="AX1076" s="36">
        <f>IF($C1076="",0,SUMPRODUCT(--(O1076:AS1076="R")))</f>
        <v/>
      </c>
      <c r="AY1076" s="44" t="n"/>
    </row>
    <row r="1077" hidden="1" outlineLevel="1" ht="15" customHeight="1" s="15">
      <c r="B1077" s="41" t="n">
        <v>5</v>
      </c>
      <c r="C1077" s="42">
        <f>IF(EMPLOYES!C68="","",EMPLOYES!C68)</f>
        <v/>
      </c>
      <c r="D1077" s="43">
        <f>IF(EMPLOYES!C68="","",EMPLOYES!D68)</f>
        <v/>
      </c>
      <c r="E1077" s="44" t="n"/>
      <c r="F1077" s="42" t="n"/>
      <c r="G1077" s="41">
        <f>IF($C1077="",0,MAX(0,$M1077-$N1077))</f>
        <v/>
      </c>
      <c r="H1077" s="45" t="n"/>
      <c r="I1077" s="41">
        <f>IF($C1077="","",IF(H1077="","OK",IF(H1077&gt;EMPLOYES!P68,"⚠ Avance &gt; salaire",IF(H1077&gt;EMPLOYES!P68*PARAMETRES!$C$218,"⚠ Avance élevée","OK"))))</f>
        <v/>
      </c>
      <c r="J1077" s="45" t="n"/>
      <c r="K1077" s="46" t="n"/>
      <c r="L1077" s="46" t="n"/>
      <c r="M1077" s="41">
        <f>IF($C1077="","",SUMPRODUCT((PARAMETRES!$B$38:$B$157=PARAMETRES!$C$29)*(PARAMETRES!$C$38:$C$157=5)*(IF(EMPLOYES!M68="5j",PARAMETRES!$I$38:$I$157,PARAMETRES!$H$38:$H$157))))</f>
        <v/>
      </c>
      <c r="N1077" s="41">
        <f>IF($C1077="","",SUMPRODUCT((O1077:AS1077="P")+(O1077:AS1077="F")+(O1077:AS1077="C")+0.5*(O1077:AS1077="D"),(1-((O1021:AS1021=6)*(EMPLOYES!M68="5j")))))</f>
        <v/>
      </c>
      <c r="O1077" s="46" t="n"/>
      <c r="P1077" s="46" t="n"/>
      <c r="Q1077" s="46" t="n"/>
      <c r="R1077" s="46" t="n"/>
      <c r="S1077" s="46" t="n"/>
      <c r="T1077" s="46" t="n"/>
      <c r="U1077" s="46" t="n"/>
      <c r="V1077" s="46" t="n"/>
      <c r="W1077" s="46" t="n"/>
      <c r="X1077" s="46" t="n"/>
      <c r="Y1077" s="46" t="n"/>
      <c r="Z1077" s="46" t="n"/>
      <c r="AA1077" s="46" t="n"/>
      <c r="AB1077" s="46" t="n"/>
      <c r="AC1077" s="46" t="n"/>
      <c r="AD1077" s="46" t="n"/>
      <c r="AE1077" s="46" t="n"/>
      <c r="AF1077" s="46" t="n"/>
      <c r="AG1077" s="46" t="n"/>
      <c r="AH1077" s="46" t="n"/>
      <c r="AI1077" s="46" t="n"/>
      <c r="AJ1077" s="46" t="n"/>
      <c r="AK1077" s="46" t="n"/>
      <c r="AL1077" s="46" t="n"/>
      <c r="AM1077" s="46" t="n"/>
      <c r="AN1077" s="46" t="n"/>
      <c r="AO1077" s="46" t="n"/>
      <c r="AP1077" s="46" t="n"/>
      <c r="AQ1077" s="46" t="n"/>
      <c r="AR1077" s="46" t="n"/>
      <c r="AS1077" s="46" t="n"/>
      <c r="AV1077" s="36">
        <f>IF($C1077="","",EMPLOYES!M68)</f>
        <v/>
      </c>
      <c r="AW1077" s="36">
        <f>IF($C1077="",0,SUMPRODUCT(--(O1077:AS1077="C")))</f>
        <v/>
      </c>
      <c r="AX1077" s="36">
        <f>IF($C1077="",0,SUMPRODUCT(--(O1077:AS1077="R")))</f>
        <v/>
      </c>
      <c r="AY1077" s="44" t="n"/>
    </row>
    <row r="1078" hidden="1" outlineLevel="1" ht="15" customHeight="1" s="15">
      <c r="B1078" s="41" t="n">
        <v>5</v>
      </c>
      <c r="C1078" s="42">
        <f>IF(EMPLOYES!C69="","",EMPLOYES!C69)</f>
        <v/>
      </c>
      <c r="D1078" s="43">
        <f>IF(EMPLOYES!C69="","",EMPLOYES!D69)</f>
        <v/>
      </c>
      <c r="E1078" s="44" t="n"/>
      <c r="F1078" s="42" t="n"/>
      <c r="G1078" s="41">
        <f>IF($C1078="",0,MAX(0,$M1078-$N1078))</f>
        <v/>
      </c>
      <c r="H1078" s="45" t="n"/>
      <c r="I1078" s="41">
        <f>IF($C1078="","",IF(H1078="","OK",IF(H1078&gt;EMPLOYES!P69,"⚠ Avance &gt; salaire",IF(H1078&gt;EMPLOYES!P69*PARAMETRES!$C$218,"⚠ Avance élevée","OK"))))</f>
        <v/>
      </c>
      <c r="J1078" s="45" t="n"/>
      <c r="K1078" s="46" t="n"/>
      <c r="L1078" s="46" t="n"/>
      <c r="M1078" s="41">
        <f>IF($C1078="","",SUMPRODUCT((PARAMETRES!$B$38:$B$157=PARAMETRES!$C$29)*(PARAMETRES!$C$38:$C$157=5)*(IF(EMPLOYES!M69="5j",PARAMETRES!$I$38:$I$157,PARAMETRES!$H$38:$H$157))))</f>
        <v/>
      </c>
      <c r="N1078" s="41">
        <f>IF($C1078="","",SUMPRODUCT((O1078:AS1078="P")+(O1078:AS1078="F")+(O1078:AS1078="C")+0.5*(O1078:AS1078="D"),(1-((O1021:AS1021=6)*(EMPLOYES!M69="5j")))))</f>
        <v/>
      </c>
      <c r="O1078" s="46" t="n"/>
      <c r="P1078" s="46" t="n"/>
      <c r="Q1078" s="46" t="n"/>
      <c r="R1078" s="46" t="n"/>
      <c r="S1078" s="46" t="n"/>
      <c r="T1078" s="46" t="n"/>
      <c r="U1078" s="46" t="n"/>
      <c r="V1078" s="46" t="n"/>
      <c r="W1078" s="46" t="n"/>
      <c r="X1078" s="46" t="n"/>
      <c r="Y1078" s="46" t="n"/>
      <c r="Z1078" s="46" t="n"/>
      <c r="AA1078" s="46" t="n"/>
      <c r="AB1078" s="46" t="n"/>
      <c r="AC1078" s="46" t="n"/>
      <c r="AD1078" s="46" t="n"/>
      <c r="AE1078" s="46" t="n"/>
      <c r="AF1078" s="46" t="n"/>
      <c r="AG1078" s="46" t="n"/>
      <c r="AH1078" s="46" t="n"/>
      <c r="AI1078" s="46" t="n"/>
      <c r="AJ1078" s="46" t="n"/>
      <c r="AK1078" s="46" t="n"/>
      <c r="AL1078" s="46" t="n"/>
      <c r="AM1078" s="46" t="n"/>
      <c r="AN1078" s="46" t="n"/>
      <c r="AO1078" s="46" t="n"/>
      <c r="AP1078" s="46" t="n"/>
      <c r="AQ1078" s="46" t="n"/>
      <c r="AR1078" s="46" t="n"/>
      <c r="AS1078" s="46" t="n"/>
      <c r="AV1078" s="36">
        <f>IF($C1078="","",EMPLOYES!M69)</f>
        <v/>
      </c>
      <c r="AW1078" s="36">
        <f>IF($C1078="",0,SUMPRODUCT(--(O1078:AS1078="C")))</f>
        <v/>
      </c>
      <c r="AX1078" s="36">
        <f>IF($C1078="",0,SUMPRODUCT(--(O1078:AS1078="R")))</f>
        <v/>
      </c>
      <c r="AY1078" s="44" t="n"/>
    </row>
    <row r="1079" hidden="1" outlineLevel="1" ht="15" customHeight="1" s="15">
      <c r="B1079" s="41" t="n">
        <v>5</v>
      </c>
      <c r="C1079" s="42">
        <f>IF(EMPLOYES!C70="","",EMPLOYES!C70)</f>
        <v/>
      </c>
      <c r="D1079" s="43">
        <f>IF(EMPLOYES!C70="","",EMPLOYES!D70)</f>
        <v/>
      </c>
      <c r="E1079" s="44" t="n"/>
      <c r="F1079" s="42" t="n"/>
      <c r="G1079" s="41">
        <f>IF($C1079="",0,MAX(0,$M1079-$N1079))</f>
        <v/>
      </c>
      <c r="H1079" s="45" t="n"/>
      <c r="I1079" s="41">
        <f>IF($C1079="","",IF(H1079="","OK",IF(H1079&gt;EMPLOYES!P70,"⚠ Avance &gt; salaire",IF(H1079&gt;EMPLOYES!P70*PARAMETRES!$C$218,"⚠ Avance élevée","OK"))))</f>
        <v/>
      </c>
      <c r="J1079" s="45" t="n"/>
      <c r="K1079" s="46" t="n"/>
      <c r="L1079" s="46" t="n"/>
      <c r="M1079" s="41">
        <f>IF($C1079="","",SUMPRODUCT((PARAMETRES!$B$38:$B$157=PARAMETRES!$C$29)*(PARAMETRES!$C$38:$C$157=5)*(IF(EMPLOYES!M70="5j",PARAMETRES!$I$38:$I$157,PARAMETRES!$H$38:$H$157))))</f>
        <v/>
      </c>
      <c r="N1079" s="41">
        <f>IF($C1079="","",SUMPRODUCT((O1079:AS1079="P")+(O1079:AS1079="F")+(O1079:AS1079="C")+0.5*(O1079:AS1079="D"),(1-((O1021:AS1021=6)*(EMPLOYES!M70="5j")))))</f>
        <v/>
      </c>
      <c r="O1079" s="46" t="n"/>
      <c r="P1079" s="46" t="n"/>
      <c r="Q1079" s="46" t="n"/>
      <c r="R1079" s="46" t="n"/>
      <c r="S1079" s="46" t="n"/>
      <c r="T1079" s="46" t="n"/>
      <c r="U1079" s="46" t="n"/>
      <c r="V1079" s="46" t="n"/>
      <c r="W1079" s="46" t="n"/>
      <c r="X1079" s="46" t="n"/>
      <c r="Y1079" s="46" t="n"/>
      <c r="Z1079" s="46" t="n"/>
      <c r="AA1079" s="46" t="n"/>
      <c r="AB1079" s="46" t="n"/>
      <c r="AC1079" s="46" t="n"/>
      <c r="AD1079" s="46" t="n"/>
      <c r="AE1079" s="46" t="n"/>
      <c r="AF1079" s="46" t="n"/>
      <c r="AG1079" s="46" t="n"/>
      <c r="AH1079" s="46" t="n"/>
      <c r="AI1079" s="46" t="n"/>
      <c r="AJ1079" s="46" t="n"/>
      <c r="AK1079" s="46" t="n"/>
      <c r="AL1079" s="46" t="n"/>
      <c r="AM1079" s="46" t="n"/>
      <c r="AN1079" s="46" t="n"/>
      <c r="AO1079" s="46" t="n"/>
      <c r="AP1079" s="46" t="n"/>
      <c r="AQ1079" s="46" t="n"/>
      <c r="AR1079" s="46" t="n"/>
      <c r="AS1079" s="46" t="n"/>
      <c r="AV1079" s="36">
        <f>IF($C1079="","",EMPLOYES!M70)</f>
        <v/>
      </c>
      <c r="AW1079" s="36">
        <f>IF($C1079="",0,SUMPRODUCT(--(O1079:AS1079="C")))</f>
        <v/>
      </c>
      <c r="AX1079" s="36">
        <f>IF($C1079="",0,SUMPRODUCT(--(O1079:AS1079="R")))</f>
        <v/>
      </c>
      <c r="AY1079" s="44" t="n"/>
    </row>
    <row r="1080" hidden="1" outlineLevel="1" ht="15" customHeight="1" s="15">
      <c r="B1080" s="41" t="n">
        <v>5</v>
      </c>
      <c r="C1080" s="42">
        <f>IF(EMPLOYES!C71="","",EMPLOYES!C71)</f>
        <v/>
      </c>
      <c r="D1080" s="43">
        <f>IF(EMPLOYES!C71="","",EMPLOYES!D71)</f>
        <v/>
      </c>
      <c r="E1080" s="44" t="n"/>
      <c r="F1080" s="42" t="n"/>
      <c r="G1080" s="41">
        <f>IF($C1080="",0,MAX(0,$M1080-$N1080))</f>
        <v/>
      </c>
      <c r="H1080" s="45" t="n"/>
      <c r="I1080" s="41">
        <f>IF($C1080="","",IF(H1080="","OK",IF(H1080&gt;EMPLOYES!P71,"⚠ Avance &gt; salaire",IF(H1080&gt;EMPLOYES!P71*PARAMETRES!$C$218,"⚠ Avance élevée","OK"))))</f>
        <v/>
      </c>
      <c r="J1080" s="45" t="n"/>
      <c r="K1080" s="46" t="n"/>
      <c r="L1080" s="46" t="n"/>
      <c r="M1080" s="41">
        <f>IF($C1080="","",SUMPRODUCT((PARAMETRES!$B$38:$B$157=PARAMETRES!$C$29)*(PARAMETRES!$C$38:$C$157=5)*(IF(EMPLOYES!M71="5j",PARAMETRES!$I$38:$I$157,PARAMETRES!$H$38:$H$157))))</f>
        <v/>
      </c>
      <c r="N1080" s="41">
        <f>IF($C1080="","",SUMPRODUCT((O1080:AS1080="P")+(O1080:AS1080="F")+(O1080:AS1080="C")+0.5*(O1080:AS1080="D"),(1-((O1021:AS1021=6)*(EMPLOYES!M71="5j")))))</f>
        <v/>
      </c>
      <c r="O1080" s="46" t="n"/>
      <c r="P1080" s="46" t="n"/>
      <c r="Q1080" s="46" t="n"/>
      <c r="R1080" s="46" t="n"/>
      <c r="S1080" s="46" t="n"/>
      <c r="T1080" s="46" t="n"/>
      <c r="U1080" s="46" t="n"/>
      <c r="V1080" s="46" t="n"/>
      <c r="W1080" s="46" t="n"/>
      <c r="X1080" s="46" t="n"/>
      <c r="Y1080" s="46" t="n"/>
      <c r="Z1080" s="46" t="n"/>
      <c r="AA1080" s="46" t="n"/>
      <c r="AB1080" s="46" t="n"/>
      <c r="AC1080" s="46" t="n"/>
      <c r="AD1080" s="46" t="n"/>
      <c r="AE1080" s="46" t="n"/>
      <c r="AF1080" s="46" t="n"/>
      <c r="AG1080" s="46" t="n"/>
      <c r="AH1080" s="46" t="n"/>
      <c r="AI1080" s="46" t="n"/>
      <c r="AJ1080" s="46" t="n"/>
      <c r="AK1080" s="46" t="n"/>
      <c r="AL1080" s="46" t="n"/>
      <c r="AM1080" s="46" t="n"/>
      <c r="AN1080" s="46" t="n"/>
      <c r="AO1080" s="46" t="n"/>
      <c r="AP1080" s="46" t="n"/>
      <c r="AQ1080" s="46" t="n"/>
      <c r="AR1080" s="46" t="n"/>
      <c r="AS1080" s="46" t="n"/>
      <c r="AV1080" s="36">
        <f>IF($C1080="","",EMPLOYES!M71)</f>
        <v/>
      </c>
      <c r="AW1080" s="36">
        <f>IF($C1080="",0,SUMPRODUCT(--(O1080:AS1080="C")))</f>
        <v/>
      </c>
      <c r="AX1080" s="36">
        <f>IF($C1080="",0,SUMPRODUCT(--(O1080:AS1080="R")))</f>
        <v/>
      </c>
      <c r="AY1080" s="44" t="n"/>
    </row>
    <row r="1081" hidden="1" outlineLevel="1" ht="15" customHeight="1" s="15">
      <c r="B1081" s="41" t="n">
        <v>5</v>
      </c>
      <c r="C1081" s="42">
        <f>IF(EMPLOYES!C72="","",EMPLOYES!C72)</f>
        <v/>
      </c>
      <c r="D1081" s="43">
        <f>IF(EMPLOYES!C72="","",EMPLOYES!D72)</f>
        <v/>
      </c>
      <c r="E1081" s="44" t="n"/>
      <c r="F1081" s="42" t="n"/>
      <c r="G1081" s="41">
        <f>IF($C1081="",0,MAX(0,$M1081-$N1081))</f>
        <v/>
      </c>
      <c r="H1081" s="45" t="n"/>
      <c r="I1081" s="41">
        <f>IF($C1081="","",IF(H1081="","OK",IF(H1081&gt;EMPLOYES!P72,"⚠ Avance &gt; salaire",IF(H1081&gt;EMPLOYES!P72*PARAMETRES!$C$218,"⚠ Avance élevée","OK"))))</f>
        <v/>
      </c>
      <c r="J1081" s="45" t="n"/>
      <c r="K1081" s="46" t="n"/>
      <c r="L1081" s="46" t="n"/>
      <c r="M1081" s="41">
        <f>IF($C1081="","",SUMPRODUCT((PARAMETRES!$B$38:$B$157=PARAMETRES!$C$29)*(PARAMETRES!$C$38:$C$157=5)*(IF(EMPLOYES!M72="5j",PARAMETRES!$I$38:$I$157,PARAMETRES!$H$38:$H$157))))</f>
        <v/>
      </c>
      <c r="N1081" s="41">
        <f>IF($C1081="","",SUMPRODUCT((O1081:AS1081="P")+(O1081:AS1081="F")+(O1081:AS1081="C")+0.5*(O1081:AS1081="D"),(1-((O1021:AS1021=6)*(EMPLOYES!M72="5j")))))</f>
        <v/>
      </c>
      <c r="O1081" s="46" t="n"/>
      <c r="P1081" s="46" t="n"/>
      <c r="Q1081" s="46" t="n"/>
      <c r="R1081" s="46" t="n"/>
      <c r="S1081" s="46" t="n"/>
      <c r="T1081" s="46" t="n"/>
      <c r="U1081" s="46" t="n"/>
      <c r="V1081" s="46" t="n"/>
      <c r="W1081" s="46" t="n"/>
      <c r="X1081" s="46" t="n"/>
      <c r="Y1081" s="46" t="n"/>
      <c r="Z1081" s="46" t="n"/>
      <c r="AA1081" s="46" t="n"/>
      <c r="AB1081" s="46" t="n"/>
      <c r="AC1081" s="46" t="n"/>
      <c r="AD1081" s="46" t="n"/>
      <c r="AE1081" s="46" t="n"/>
      <c r="AF1081" s="46" t="n"/>
      <c r="AG1081" s="46" t="n"/>
      <c r="AH1081" s="46" t="n"/>
      <c r="AI1081" s="46" t="n"/>
      <c r="AJ1081" s="46" t="n"/>
      <c r="AK1081" s="46" t="n"/>
      <c r="AL1081" s="46" t="n"/>
      <c r="AM1081" s="46" t="n"/>
      <c r="AN1081" s="46" t="n"/>
      <c r="AO1081" s="46" t="n"/>
      <c r="AP1081" s="46" t="n"/>
      <c r="AQ1081" s="46" t="n"/>
      <c r="AR1081" s="46" t="n"/>
      <c r="AS1081" s="46" t="n"/>
      <c r="AV1081" s="36">
        <f>IF($C1081="","",EMPLOYES!M72)</f>
        <v/>
      </c>
      <c r="AW1081" s="36">
        <f>IF($C1081="",0,SUMPRODUCT(--(O1081:AS1081="C")))</f>
        <v/>
      </c>
      <c r="AX1081" s="36">
        <f>IF($C1081="",0,SUMPRODUCT(--(O1081:AS1081="R")))</f>
        <v/>
      </c>
      <c r="AY1081" s="44" t="n"/>
    </row>
    <row r="1082" hidden="1" outlineLevel="1" ht="15" customHeight="1" s="15">
      <c r="B1082" s="41" t="n">
        <v>5</v>
      </c>
      <c r="C1082" s="42">
        <f>IF(EMPLOYES!C73="","",EMPLOYES!C73)</f>
        <v/>
      </c>
      <c r="D1082" s="43">
        <f>IF(EMPLOYES!C73="","",EMPLOYES!D73)</f>
        <v/>
      </c>
      <c r="E1082" s="44" t="n"/>
      <c r="F1082" s="42" t="n"/>
      <c r="G1082" s="41">
        <f>IF($C1082="",0,MAX(0,$M1082-$N1082))</f>
        <v/>
      </c>
      <c r="H1082" s="45" t="n"/>
      <c r="I1082" s="41">
        <f>IF($C1082="","",IF(H1082="","OK",IF(H1082&gt;EMPLOYES!P73,"⚠ Avance &gt; salaire",IF(H1082&gt;EMPLOYES!P73*PARAMETRES!$C$218,"⚠ Avance élevée","OK"))))</f>
        <v/>
      </c>
      <c r="J1082" s="45" t="n"/>
      <c r="K1082" s="46" t="n"/>
      <c r="L1082" s="46" t="n"/>
      <c r="M1082" s="41">
        <f>IF($C1082="","",SUMPRODUCT((PARAMETRES!$B$38:$B$157=PARAMETRES!$C$29)*(PARAMETRES!$C$38:$C$157=5)*(IF(EMPLOYES!M73="5j",PARAMETRES!$I$38:$I$157,PARAMETRES!$H$38:$H$157))))</f>
        <v/>
      </c>
      <c r="N1082" s="41">
        <f>IF($C1082="","",SUMPRODUCT((O1082:AS1082="P")+(O1082:AS1082="F")+(O1082:AS1082="C")+0.5*(O1082:AS1082="D"),(1-((O1021:AS1021=6)*(EMPLOYES!M73="5j")))))</f>
        <v/>
      </c>
      <c r="O1082" s="46" t="n"/>
      <c r="P1082" s="46" t="n"/>
      <c r="Q1082" s="46" t="n"/>
      <c r="R1082" s="46" t="n"/>
      <c r="S1082" s="46" t="n"/>
      <c r="T1082" s="46" t="n"/>
      <c r="U1082" s="46" t="n"/>
      <c r="V1082" s="46" t="n"/>
      <c r="W1082" s="46" t="n"/>
      <c r="X1082" s="46" t="n"/>
      <c r="Y1082" s="46" t="n"/>
      <c r="Z1082" s="46" t="n"/>
      <c r="AA1082" s="46" t="n"/>
      <c r="AB1082" s="46" t="n"/>
      <c r="AC1082" s="46" t="n"/>
      <c r="AD1082" s="46" t="n"/>
      <c r="AE1082" s="46" t="n"/>
      <c r="AF1082" s="46" t="n"/>
      <c r="AG1082" s="46" t="n"/>
      <c r="AH1082" s="46" t="n"/>
      <c r="AI1082" s="46" t="n"/>
      <c r="AJ1082" s="46" t="n"/>
      <c r="AK1082" s="46" t="n"/>
      <c r="AL1082" s="46" t="n"/>
      <c r="AM1082" s="46" t="n"/>
      <c r="AN1082" s="46" t="n"/>
      <c r="AO1082" s="46" t="n"/>
      <c r="AP1082" s="46" t="n"/>
      <c r="AQ1082" s="46" t="n"/>
      <c r="AR1082" s="46" t="n"/>
      <c r="AS1082" s="46" t="n"/>
      <c r="AV1082" s="36">
        <f>IF($C1082="","",EMPLOYES!M73)</f>
        <v/>
      </c>
      <c r="AW1082" s="36">
        <f>IF($C1082="",0,SUMPRODUCT(--(O1082:AS1082="C")))</f>
        <v/>
      </c>
      <c r="AX1082" s="36">
        <f>IF($C1082="",0,SUMPRODUCT(--(O1082:AS1082="R")))</f>
        <v/>
      </c>
      <c r="AY1082" s="44" t="n"/>
    </row>
    <row r="1083" hidden="1" outlineLevel="1" ht="15" customHeight="1" s="15">
      <c r="B1083" s="41" t="n">
        <v>5</v>
      </c>
      <c r="C1083" s="42">
        <f>IF(EMPLOYES!C74="","",EMPLOYES!C74)</f>
        <v/>
      </c>
      <c r="D1083" s="43">
        <f>IF(EMPLOYES!C74="","",EMPLOYES!D74)</f>
        <v/>
      </c>
      <c r="E1083" s="44" t="n"/>
      <c r="F1083" s="42" t="n"/>
      <c r="G1083" s="41">
        <f>IF($C1083="",0,MAX(0,$M1083-$N1083))</f>
        <v/>
      </c>
      <c r="H1083" s="45" t="n"/>
      <c r="I1083" s="41">
        <f>IF($C1083="","",IF(H1083="","OK",IF(H1083&gt;EMPLOYES!P74,"⚠ Avance &gt; salaire",IF(H1083&gt;EMPLOYES!P74*PARAMETRES!$C$218,"⚠ Avance élevée","OK"))))</f>
        <v/>
      </c>
      <c r="J1083" s="45" t="n"/>
      <c r="K1083" s="46" t="n"/>
      <c r="L1083" s="46" t="n"/>
      <c r="M1083" s="41">
        <f>IF($C1083="","",SUMPRODUCT((PARAMETRES!$B$38:$B$157=PARAMETRES!$C$29)*(PARAMETRES!$C$38:$C$157=5)*(IF(EMPLOYES!M74="5j",PARAMETRES!$I$38:$I$157,PARAMETRES!$H$38:$H$157))))</f>
        <v/>
      </c>
      <c r="N1083" s="41">
        <f>IF($C1083="","",SUMPRODUCT((O1083:AS1083="P")+(O1083:AS1083="F")+(O1083:AS1083="C")+0.5*(O1083:AS1083="D"),(1-((O1021:AS1021=6)*(EMPLOYES!M74="5j")))))</f>
        <v/>
      </c>
      <c r="O1083" s="46" t="n"/>
      <c r="P1083" s="46" t="n"/>
      <c r="Q1083" s="46" t="n"/>
      <c r="R1083" s="46" t="n"/>
      <c r="S1083" s="46" t="n"/>
      <c r="T1083" s="46" t="n"/>
      <c r="U1083" s="46" t="n"/>
      <c r="V1083" s="46" t="n"/>
      <c r="W1083" s="46" t="n"/>
      <c r="X1083" s="46" t="n"/>
      <c r="Y1083" s="46" t="n"/>
      <c r="Z1083" s="46" t="n"/>
      <c r="AA1083" s="46" t="n"/>
      <c r="AB1083" s="46" t="n"/>
      <c r="AC1083" s="46" t="n"/>
      <c r="AD1083" s="46" t="n"/>
      <c r="AE1083" s="46" t="n"/>
      <c r="AF1083" s="46" t="n"/>
      <c r="AG1083" s="46" t="n"/>
      <c r="AH1083" s="46" t="n"/>
      <c r="AI1083" s="46" t="n"/>
      <c r="AJ1083" s="46" t="n"/>
      <c r="AK1083" s="46" t="n"/>
      <c r="AL1083" s="46" t="n"/>
      <c r="AM1083" s="46" t="n"/>
      <c r="AN1083" s="46" t="n"/>
      <c r="AO1083" s="46" t="n"/>
      <c r="AP1083" s="46" t="n"/>
      <c r="AQ1083" s="46" t="n"/>
      <c r="AR1083" s="46" t="n"/>
      <c r="AS1083" s="46" t="n"/>
      <c r="AV1083" s="36">
        <f>IF($C1083="","",EMPLOYES!M74)</f>
        <v/>
      </c>
      <c r="AW1083" s="36">
        <f>IF($C1083="",0,SUMPRODUCT(--(O1083:AS1083="C")))</f>
        <v/>
      </c>
      <c r="AX1083" s="36">
        <f>IF($C1083="",0,SUMPRODUCT(--(O1083:AS1083="R")))</f>
        <v/>
      </c>
      <c r="AY1083" s="44" t="n"/>
    </row>
    <row r="1084" hidden="1" ht="15" customHeight="1" s="15">
      <c r="B1084" s="36" t="inlineStr">
        <is>
          <t>Jour sem. (réf. grisage)</t>
        </is>
      </c>
      <c r="O1084" s="37">
        <f>IF(1&gt;DAY(EOMONTH(DATE(PARAMETRES!$C$29,5,1),0)),"",WEEKDAY(DATE(PARAMETRES!$C$29,5,1),2))</f>
        <v/>
      </c>
      <c r="P1084" s="37">
        <f>IF(2&gt;DAY(EOMONTH(DATE(PARAMETRES!$C$29,5,1),0)),"",WEEKDAY(DATE(PARAMETRES!$C$29,5,2),2))</f>
        <v/>
      </c>
      <c r="Q1084" s="37">
        <f>IF(3&gt;DAY(EOMONTH(DATE(PARAMETRES!$C$29,5,1),0)),"",WEEKDAY(DATE(PARAMETRES!$C$29,5,3),2))</f>
        <v/>
      </c>
      <c r="R1084" s="37">
        <f>IF(4&gt;DAY(EOMONTH(DATE(PARAMETRES!$C$29,5,1),0)),"",WEEKDAY(DATE(PARAMETRES!$C$29,5,4),2))</f>
        <v/>
      </c>
      <c r="S1084" s="37">
        <f>IF(5&gt;DAY(EOMONTH(DATE(PARAMETRES!$C$29,5,1),0)),"",WEEKDAY(DATE(PARAMETRES!$C$29,5,5),2))</f>
        <v/>
      </c>
      <c r="T1084" s="37">
        <f>IF(6&gt;DAY(EOMONTH(DATE(PARAMETRES!$C$29,5,1),0)),"",WEEKDAY(DATE(PARAMETRES!$C$29,5,6),2))</f>
        <v/>
      </c>
      <c r="U1084" s="37">
        <f>IF(7&gt;DAY(EOMONTH(DATE(PARAMETRES!$C$29,5,1),0)),"",WEEKDAY(DATE(PARAMETRES!$C$29,5,7),2))</f>
        <v/>
      </c>
      <c r="V1084" s="37">
        <f>IF(8&gt;DAY(EOMONTH(DATE(PARAMETRES!$C$29,5,1),0)),"",WEEKDAY(DATE(PARAMETRES!$C$29,5,8),2))</f>
        <v/>
      </c>
      <c r="W1084" s="37">
        <f>IF(9&gt;DAY(EOMONTH(DATE(PARAMETRES!$C$29,5,1),0)),"",WEEKDAY(DATE(PARAMETRES!$C$29,5,9),2))</f>
        <v/>
      </c>
      <c r="X1084" s="37">
        <f>IF(10&gt;DAY(EOMONTH(DATE(PARAMETRES!$C$29,5,1),0)),"",WEEKDAY(DATE(PARAMETRES!$C$29,5,10),2))</f>
        <v/>
      </c>
      <c r="Y1084" s="37">
        <f>IF(11&gt;DAY(EOMONTH(DATE(PARAMETRES!$C$29,5,1),0)),"",WEEKDAY(DATE(PARAMETRES!$C$29,5,11),2))</f>
        <v/>
      </c>
      <c r="Z1084" s="37">
        <f>IF(12&gt;DAY(EOMONTH(DATE(PARAMETRES!$C$29,5,1),0)),"",WEEKDAY(DATE(PARAMETRES!$C$29,5,12),2))</f>
        <v/>
      </c>
      <c r="AA1084" s="37">
        <f>IF(13&gt;DAY(EOMONTH(DATE(PARAMETRES!$C$29,5,1),0)),"",WEEKDAY(DATE(PARAMETRES!$C$29,5,13),2))</f>
        <v/>
      </c>
      <c r="AB1084" s="37">
        <f>IF(14&gt;DAY(EOMONTH(DATE(PARAMETRES!$C$29,5,1),0)),"",WEEKDAY(DATE(PARAMETRES!$C$29,5,14),2))</f>
        <v/>
      </c>
      <c r="AC1084" s="37">
        <f>IF(15&gt;DAY(EOMONTH(DATE(PARAMETRES!$C$29,5,1),0)),"",WEEKDAY(DATE(PARAMETRES!$C$29,5,15),2))</f>
        <v/>
      </c>
      <c r="AD1084" s="37">
        <f>IF(16&gt;DAY(EOMONTH(DATE(PARAMETRES!$C$29,5,1),0)),"",WEEKDAY(DATE(PARAMETRES!$C$29,5,16),2))</f>
        <v/>
      </c>
      <c r="AE1084" s="37">
        <f>IF(17&gt;DAY(EOMONTH(DATE(PARAMETRES!$C$29,5,1),0)),"",WEEKDAY(DATE(PARAMETRES!$C$29,5,17),2))</f>
        <v/>
      </c>
      <c r="AF1084" s="37">
        <f>IF(18&gt;DAY(EOMONTH(DATE(PARAMETRES!$C$29,5,1),0)),"",WEEKDAY(DATE(PARAMETRES!$C$29,5,18),2))</f>
        <v/>
      </c>
      <c r="AG1084" s="37">
        <f>IF(19&gt;DAY(EOMONTH(DATE(PARAMETRES!$C$29,5,1),0)),"",WEEKDAY(DATE(PARAMETRES!$C$29,5,19),2))</f>
        <v/>
      </c>
      <c r="AH1084" s="37">
        <f>IF(20&gt;DAY(EOMONTH(DATE(PARAMETRES!$C$29,5,1),0)),"",WEEKDAY(DATE(PARAMETRES!$C$29,5,20),2))</f>
        <v/>
      </c>
      <c r="AI1084" s="37">
        <f>IF(21&gt;DAY(EOMONTH(DATE(PARAMETRES!$C$29,5,1),0)),"",WEEKDAY(DATE(PARAMETRES!$C$29,5,21),2))</f>
        <v/>
      </c>
      <c r="AJ1084" s="37">
        <f>IF(22&gt;DAY(EOMONTH(DATE(PARAMETRES!$C$29,5,1),0)),"",WEEKDAY(DATE(PARAMETRES!$C$29,5,22),2))</f>
        <v/>
      </c>
      <c r="AK1084" s="37">
        <f>IF(23&gt;DAY(EOMONTH(DATE(PARAMETRES!$C$29,5,1),0)),"",WEEKDAY(DATE(PARAMETRES!$C$29,5,23),2))</f>
        <v/>
      </c>
      <c r="AL1084" s="37">
        <f>IF(24&gt;DAY(EOMONTH(DATE(PARAMETRES!$C$29,5,1),0)),"",WEEKDAY(DATE(PARAMETRES!$C$29,5,24),2))</f>
        <v/>
      </c>
      <c r="AM1084" s="37">
        <f>IF(25&gt;DAY(EOMONTH(DATE(PARAMETRES!$C$29,5,1),0)),"",WEEKDAY(DATE(PARAMETRES!$C$29,5,25),2))</f>
        <v/>
      </c>
      <c r="AN1084" s="37">
        <f>IF(26&gt;DAY(EOMONTH(DATE(PARAMETRES!$C$29,5,1),0)),"",WEEKDAY(DATE(PARAMETRES!$C$29,5,26),2))</f>
        <v/>
      </c>
      <c r="AO1084" s="37">
        <f>IF(27&gt;DAY(EOMONTH(DATE(PARAMETRES!$C$29,5,1),0)),"",WEEKDAY(DATE(PARAMETRES!$C$29,5,27),2))</f>
        <v/>
      </c>
      <c r="AP1084" s="37">
        <f>IF(28&gt;DAY(EOMONTH(DATE(PARAMETRES!$C$29,5,1),0)),"",WEEKDAY(DATE(PARAMETRES!$C$29,5,28),2))</f>
        <v/>
      </c>
      <c r="AQ1084" s="37">
        <f>IF(29&gt;DAY(EOMONTH(DATE(PARAMETRES!$C$29,5,1),0)),"",WEEKDAY(DATE(PARAMETRES!$C$29,5,29),2))</f>
        <v/>
      </c>
      <c r="AR1084" s="37">
        <f>IF(30&gt;DAY(EOMONTH(DATE(PARAMETRES!$C$29,5,1),0)),"",WEEKDAY(DATE(PARAMETRES!$C$29,5,30),2))</f>
        <v/>
      </c>
      <c r="AS1084" s="37">
        <f>IF(31&gt;DAY(EOMONTH(DATE(PARAMETRES!$C$29,5,1),0)),"",WEEKDAY(DATE(PARAMETRES!$C$29,5,31),2))</f>
        <v/>
      </c>
    </row>
    <row r="1085" hidden="1" outlineLevel="1" ht="15" customHeight="1" s="15">
      <c r="AT1085" s="36">
        <f>IF(OR(O1021="",O1021=7),"","P")</f>
        <v/>
      </c>
      <c r="AU1085" s="36">
        <f>IF(OR(O1021="",O1021&gt;=6),"","P")</f>
        <v/>
      </c>
    </row>
    <row r="1086" hidden="1" outlineLevel="1" ht="15" customHeight="1" s="15">
      <c r="AT1086" s="36">
        <f>IF(OR(O1021="",O1021=7),"","D")</f>
        <v/>
      </c>
      <c r="AU1086" s="36">
        <f>IF(OR(O1021="",O1021&gt;=6),"","D")</f>
        <v/>
      </c>
    </row>
    <row r="1087" hidden="1" outlineLevel="1" ht="15" customHeight="1" s="15">
      <c r="AT1087" s="36">
        <f>IF(OR(O1021="",O1021=7),"","A")</f>
        <v/>
      </c>
      <c r="AU1087" s="36">
        <f>IF(OR(O1021="",O1021&gt;=6),"","A")</f>
        <v/>
      </c>
    </row>
    <row r="1088" hidden="1" outlineLevel="1" ht="15" customHeight="1" s="15">
      <c r="AT1088" s="36">
        <f>IF(OR(O1021="",O1021=7),"","F")</f>
        <v/>
      </c>
      <c r="AU1088" s="36">
        <f>IF(OR(O1021="",O1021&gt;=6),"","F")</f>
        <v/>
      </c>
    </row>
    <row r="1089" hidden="1" outlineLevel="1" ht="15" customHeight="1" s="15">
      <c r="AT1089" s="36">
        <f>IF(OR(O1021="",O1021=7),"","C")</f>
        <v/>
      </c>
      <c r="AU1089" s="36">
        <f>IF(OR(O1021="",O1021&gt;=6),"","C")</f>
        <v/>
      </c>
    </row>
    <row r="1090" hidden="1" outlineLevel="1" ht="15" customHeight="1" s="15">
      <c r="AT1090" s="36">
        <f>IF(AND(O1021&lt;&gt;"",O1021=7),"R","")</f>
        <v/>
      </c>
      <c r="AU1090" s="36">
        <f>IF(AND(O1021&lt;&gt;"",O1021&gt;=6),"R","")</f>
        <v/>
      </c>
    </row>
    <row r="1091" hidden="1" outlineLevel="1" ht="15" customHeight="1" s="15">
      <c r="AT1091" s="36">
        <f>IF(OR(P1021="",P1021=7),"","P")</f>
        <v/>
      </c>
      <c r="AU1091" s="36">
        <f>IF(OR(P1021="",P1021&gt;=6),"","P")</f>
        <v/>
      </c>
    </row>
    <row r="1092" hidden="1" outlineLevel="1" ht="15" customHeight="1" s="15">
      <c r="AT1092" s="36">
        <f>IF(OR(P1021="",P1021=7),"","D")</f>
        <v/>
      </c>
      <c r="AU1092" s="36">
        <f>IF(OR(P1021="",P1021&gt;=6),"","D")</f>
        <v/>
      </c>
    </row>
    <row r="1093" hidden="1" outlineLevel="1" ht="15" customHeight="1" s="15">
      <c r="AT1093" s="36">
        <f>IF(OR(P1021="",P1021=7),"","A")</f>
        <v/>
      </c>
      <c r="AU1093" s="36">
        <f>IF(OR(P1021="",P1021&gt;=6),"","A")</f>
        <v/>
      </c>
    </row>
    <row r="1094" hidden="1" outlineLevel="1" ht="15" customHeight="1" s="15">
      <c r="AT1094" s="36">
        <f>IF(OR(P1021="",P1021=7),"","F")</f>
        <v/>
      </c>
      <c r="AU1094" s="36">
        <f>IF(OR(P1021="",P1021&gt;=6),"","F")</f>
        <v/>
      </c>
    </row>
    <row r="1095" hidden="1" outlineLevel="1" ht="15" customHeight="1" s="15">
      <c r="AT1095" s="36">
        <f>IF(OR(P1021="",P1021=7),"","C")</f>
        <v/>
      </c>
      <c r="AU1095" s="36">
        <f>IF(OR(P1021="",P1021&gt;=6),"","C")</f>
        <v/>
      </c>
    </row>
    <row r="1096" hidden="1" outlineLevel="1" ht="15" customHeight="1" s="15">
      <c r="AT1096" s="36">
        <f>IF(AND(P1021&lt;&gt;"",P1021=7),"R","")</f>
        <v/>
      </c>
      <c r="AU1096" s="36">
        <f>IF(AND(P1021&lt;&gt;"",P1021&gt;=6),"R","")</f>
        <v/>
      </c>
    </row>
    <row r="1097" hidden="1" outlineLevel="1" ht="15" customHeight="1" s="15">
      <c r="AT1097" s="36">
        <f>IF(OR(Q1021="",Q1021=7),"","P")</f>
        <v/>
      </c>
      <c r="AU1097" s="36">
        <f>IF(OR(Q1021="",Q1021&gt;=6),"","P")</f>
        <v/>
      </c>
    </row>
    <row r="1098" hidden="1" outlineLevel="1" ht="15" customHeight="1" s="15">
      <c r="AT1098" s="36">
        <f>IF(OR(Q1021="",Q1021=7),"","D")</f>
        <v/>
      </c>
      <c r="AU1098" s="36">
        <f>IF(OR(Q1021="",Q1021&gt;=6),"","D")</f>
        <v/>
      </c>
    </row>
    <row r="1099" hidden="1" outlineLevel="1" ht="15" customHeight="1" s="15">
      <c r="AT1099" s="36">
        <f>IF(OR(Q1021="",Q1021=7),"","A")</f>
        <v/>
      </c>
      <c r="AU1099" s="36">
        <f>IF(OR(Q1021="",Q1021&gt;=6),"","A")</f>
        <v/>
      </c>
    </row>
    <row r="1100" hidden="1" outlineLevel="1" ht="15" customHeight="1" s="15">
      <c r="AT1100" s="36">
        <f>IF(OR(Q1021="",Q1021=7),"","F")</f>
        <v/>
      </c>
      <c r="AU1100" s="36">
        <f>IF(OR(Q1021="",Q1021&gt;=6),"","F")</f>
        <v/>
      </c>
    </row>
    <row r="1101" hidden="1" outlineLevel="1" ht="15" customHeight="1" s="15">
      <c r="AT1101" s="36">
        <f>IF(OR(Q1021="",Q1021=7),"","C")</f>
        <v/>
      </c>
      <c r="AU1101" s="36">
        <f>IF(OR(Q1021="",Q1021&gt;=6),"","C")</f>
        <v/>
      </c>
    </row>
    <row r="1102" hidden="1" outlineLevel="1" ht="15" customHeight="1" s="15">
      <c r="AT1102" s="36">
        <f>IF(AND(Q1021&lt;&gt;"",Q1021=7),"R","")</f>
        <v/>
      </c>
      <c r="AU1102" s="36">
        <f>IF(AND(Q1021&lt;&gt;"",Q1021&gt;=6),"R","")</f>
        <v/>
      </c>
    </row>
    <row r="1103" hidden="1" outlineLevel="1" ht="15" customHeight="1" s="15">
      <c r="AT1103" s="36">
        <f>IF(OR(R1021="",R1021=7),"","P")</f>
        <v/>
      </c>
      <c r="AU1103" s="36">
        <f>IF(OR(R1021="",R1021&gt;=6),"","P")</f>
        <v/>
      </c>
    </row>
    <row r="1104" hidden="1" outlineLevel="1" ht="15" customHeight="1" s="15">
      <c r="AT1104" s="36">
        <f>IF(OR(R1021="",R1021=7),"","D")</f>
        <v/>
      </c>
      <c r="AU1104" s="36">
        <f>IF(OR(R1021="",R1021&gt;=6),"","D")</f>
        <v/>
      </c>
    </row>
    <row r="1105" hidden="1" outlineLevel="1" ht="15" customHeight="1" s="15">
      <c r="AT1105" s="36">
        <f>IF(OR(R1021="",R1021=7),"","A")</f>
        <v/>
      </c>
      <c r="AU1105" s="36">
        <f>IF(OR(R1021="",R1021&gt;=6),"","A")</f>
        <v/>
      </c>
    </row>
    <row r="1106" hidden="1" outlineLevel="1" ht="15" customHeight="1" s="15">
      <c r="AT1106" s="36">
        <f>IF(OR(R1021="",R1021=7),"","F")</f>
        <v/>
      </c>
      <c r="AU1106" s="36">
        <f>IF(OR(R1021="",R1021&gt;=6),"","F")</f>
        <v/>
      </c>
    </row>
    <row r="1107" hidden="1" outlineLevel="1" ht="15" customHeight="1" s="15">
      <c r="AT1107" s="36">
        <f>IF(OR(R1021="",R1021=7),"","C")</f>
        <v/>
      </c>
      <c r="AU1107" s="36">
        <f>IF(OR(R1021="",R1021&gt;=6),"","C")</f>
        <v/>
      </c>
    </row>
    <row r="1108" hidden="1" outlineLevel="1" ht="15" customHeight="1" s="15">
      <c r="AT1108" s="36">
        <f>IF(AND(R1021&lt;&gt;"",R1021=7),"R","")</f>
        <v/>
      </c>
      <c r="AU1108" s="36">
        <f>IF(AND(R1021&lt;&gt;"",R1021&gt;=6),"R","")</f>
        <v/>
      </c>
    </row>
    <row r="1109" hidden="1" outlineLevel="1" ht="15" customHeight="1" s="15">
      <c r="AT1109" s="36">
        <f>IF(OR(S1021="",S1021=7),"","P")</f>
        <v/>
      </c>
      <c r="AU1109" s="36">
        <f>IF(OR(S1021="",S1021&gt;=6),"","P")</f>
        <v/>
      </c>
    </row>
    <row r="1110" hidden="1" outlineLevel="1" ht="15" customHeight="1" s="15">
      <c r="AT1110" s="36">
        <f>IF(OR(S1021="",S1021=7),"","D")</f>
        <v/>
      </c>
      <c r="AU1110" s="36">
        <f>IF(OR(S1021="",S1021&gt;=6),"","D")</f>
        <v/>
      </c>
    </row>
    <row r="1111" hidden="1" outlineLevel="1" ht="15" customHeight="1" s="15">
      <c r="AT1111" s="36">
        <f>IF(OR(S1021="",S1021=7),"","A")</f>
        <v/>
      </c>
      <c r="AU1111" s="36">
        <f>IF(OR(S1021="",S1021&gt;=6),"","A")</f>
        <v/>
      </c>
    </row>
    <row r="1112" hidden="1" outlineLevel="1" ht="15" customHeight="1" s="15">
      <c r="AT1112" s="36">
        <f>IF(OR(S1021="",S1021=7),"","F")</f>
        <v/>
      </c>
      <c r="AU1112" s="36">
        <f>IF(OR(S1021="",S1021&gt;=6),"","F")</f>
        <v/>
      </c>
    </row>
    <row r="1113" hidden="1" outlineLevel="1" ht="15" customHeight="1" s="15">
      <c r="AT1113" s="36">
        <f>IF(OR(S1021="",S1021=7),"","C")</f>
        <v/>
      </c>
      <c r="AU1113" s="36">
        <f>IF(OR(S1021="",S1021&gt;=6),"","C")</f>
        <v/>
      </c>
    </row>
    <row r="1114" hidden="1" outlineLevel="1" ht="15" customHeight="1" s="15">
      <c r="AT1114" s="36">
        <f>IF(AND(S1021&lt;&gt;"",S1021=7),"R","")</f>
        <v/>
      </c>
      <c r="AU1114" s="36">
        <f>IF(AND(S1021&lt;&gt;"",S1021&gt;=6),"R","")</f>
        <v/>
      </c>
    </row>
    <row r="1115" hidden="1" outlineLevel="1" ht="15" customHeight="1" s="15">
      <c r="AT1115" s="36">
        <f>IF(OR(T1021="",T1021=7),"","P")</f>
        <v/>
      </c>
      <c r="AU1115" s="36">
        <f>IF(OR(T1021="",T1021&gt;=6),"","P")</f>
        <v/>
      </c>
    </row>
    <row r="1116" hidden="1" outlineLevel="1" ht="15" customHeight="1" s="15">
      <c r="AT1116" s="36">
        <f>IF(OR(T1021="",T1021=7),"","D")</f>
        <v/>
      </c>
      <c r="AU1116" s="36">
        <f>IF(OR(T1021="",T1021&gt;=6),"","D")</f>
        <v/>
      </c>
    </row>
    <row r="1117" hidden="1" outlineLevel="1" ht="15" customHeight="1" s="15">
      <c r="AT1117" s="36">
        <f>IF(OR(T1021="",T1021=7),"","A")</f>
        <v/>
      </c>
      <c r="AU1117" s="36">
        <f>IF(OR(T1021="",T1021&gt;=6),"","A")</f>
        <v/>
      </c>
    </row>
    <row r="1118" hidden="1" outlineLevel="1" ht="15" customHeight="1" s="15">
      <c r="AT1118" s="36">
        <f>IF(OR(T1021="",T1021=7),"","F")</f>
        <v/>
      </c>
      <c r="AU1118" s="36">
        <f>IF(OR(T1021="",T1021&gt;=6),"","F")</f>
        <v/>
      </c>
    </row>
    <row r="1119" hidden="1" outlineLevel="1" ht="15" customHeight="1" s="15">
      <c r="AT1119" s="36">
        <f>IF(OR(T1021="",T1021=7),"","C")</f>
        <v/>
      </c>
      <c r="AU1119" s="36">
        <f>IF(OR(T1021="",T1021&gt;=6),"","C")</f>
        <v/>
      </c>
    </row>
    <row r="1120" hidden="1" outlineLevel="1" ht="15" customHeight="1" s="15">
      <c r="AT1120" s="36">
        <f>IF(AND(T1021&lt;&gt;"",T1021=7),"R","")</f>
        <v/>
      </c>
      <c r="AU1120" s="36">
        <f>IF(AND(T1021&lt;&gt;"",T1021&gt;=6),"R","")</f>
        <v/>
      </c>
    </row>
    <row r="1121" hidden="1" outlineLevel="1" ht="15" customHeight="1" s="15">
      <c r="AT1121" s="36">
        <f>IF(OR(U1021="",U1021=7),"","P")</f>
        <v/>
      </c>
      <c r="AU1121" s="36">
        <f>IF(OR(U1021="",U1021&gt;=6),"","P")</f>
        <v/>
      </c>
    </row>
    <row r="1122" hidden="1" outlineLevel="1" ht="15" customHeight="1" s="15">
      <c r="AT1122" s="36">
        <f>IF(OR(U1021="",U1021=7),"","D")</f>
        <v/>
      </c>
      <c r="AU1122" s="36">
        <f>IF(OR(U1021="",U1021&gt;=6),"","D")</f>
        <v/>
      </c>
    </row>
    <row r="1123" hidden="1" outlineLevel="1" ht="15" customHeight="1" s="15">
      <c r="AT1123" s="36">
        <f>IF(OR(U1021="",U1021=7),"","A")</f>
        <v/>
      </c>
      <c r="AU1123" s="36">
        <f>IF(OR(U1021="",U1021&gt;=6),"","A")</f>
        <v/>
      </c>
    </row>
    <row r="1124" hidden="1" outlineLevel="1" ht="15" customHeight="1" s="15">
      <c r="AT1124" s="36">
        <f>IF(OR(U1021="",U1021=7),"","F")</f>
        <v/>
      </c>
      <c r="AU1124" s="36">
        <f>IF(OR(U1021="",U1021&gt;=6),"","F")</f>
        <v/>
      </c>
    </row>
    <row r="1125" hidden="1" outlineLevel="1" ht="15" customHeight="1" s="15">
      <c r="AT1125" s="36">
        <f>IF(OR(U1021="",U1021=7),"","C")</f>
        <v/>
      </c>
      <c r="AU1125" s="36">
        <f>IF(OR(U1021="",U1021&gt;=6),"","C")</f>
        <v/>
      </c>
    </row>
    <row r="1126" hidden="1" outlineLevel="1" ht="15" customHeight="1" s="15">
      <c r="AT1126" s="36">
        <f>IF(AND(U1021&lt;&gt;"",U1021=7),"R","")</f>
        <v/>
      </c>
      <c r="AU1126" s="36">
        <f>IF(AND(U1021&lt;&gt;"",U1021&gt;=6),"R","")</f>
        <v/>
      </c>
    </row>
    <row r="1127" hidden="1" outlineLevel="1" ht="15" customHeight="1" s="15">
      <c r="AT1127" s="36">
        <f>IF(OR(V1021="",V1021=7),"","P")</f>
        <v/>
      </c>
      <c r="AU1127" s="36">
        <f>IF(OR(V1021="",V1021&gt;=6),"","P")</f>
        <v/>
      </c>
    </row>
    <row r="1128" hidden="1" outlineLevel="1" ht="15" customHeight="1" s="15">
      <c r="AT1128" s="36">
        <f>IF(OR(V1021="",V1021=7),"","D")</f>
        <v/>
      </c>
      <c r="AU1128" s="36">
        <f>IF(OR(V1021="",V1021&gt;=6),"","D")</f>
        <v/>
      </c>
    </row>
    <row r="1129" hidden="1" outlineLevel="1" ht="15" customHeight="1" s="15">
      <c r="AT1129" s="36">
        <f>IF(OR(V1021="",V1021=7),"","A")</f>
        <v/>
      </c>
      <c r="AU1129" s="36">
        <f>IF(OR(V1021="",V1021&gt;=6),"","A")</f>
        <v/>
      </c>
    </row>
    <row r="1130" hidden="1" outlineLevel="1" ht="15" customHeight="1" s="15">
      <c r="AT1130" s="36">
        <f>IF(OR(V1021="",V1021=7),"","F")</f>
        <v/>
      </c>
      <c r="AU1130" s="36">
        <f>IF(OR(V1021="",V1021&gt;=6),"","F")</f>
        <v/>
      </c>
    </row>
    <row r="1131" hidden="1" outlineLevel="1" ht="15" customHeight="1" s="15">
      <c r="AT1131" s="36">
        <f>IF(OR(V1021="",V1021=7),"","C")</f>
        <v/>
      </c>
      <c r="AU1131" s="36">
        <f>IF(OR(V1021="",V1021&gt;=6),"","C")</f>
        <v/>
      </c>
    </row>
    <row r="1132" hidden="1" outlineLevel="1" ht="15" customHeight="1" s="15">
      <c r="AT1132" s="36">
        <f>IF(AND(V1021&lt;&gt;"",V1021=7),"R","")</f>
        <v/>
      </c>
      <c r="AU1132" s="36">
        <f>IF(AND(V1021&lt;&gt;"",V1021&gt;=6),"R","")</f>
        <v/>
      </c>
    </row>
    <row r="1133" hidden="1" outlineLevel="1" ht="15" customHeight="1" s="15">
      <c r="AT1133" s="36">
        <f>IF(OR(W1021="",W1021=7),"","P")</f>
        <v/>
      </c>
      <c r="AU1133" s="36">
        <f>IF(OR(W1021="",W1021&gt;=6),"","P")</f>
        <v/>
      </c>
    </row>
    <row r="1134" hidden="1" outlineLevel="1" ht="15" customHeight="1" s="15">
      <c r="AT1134" s="36">
        <f>IF(OR(W1021="",W1021=7),"","D")</f>
        <v/>
      </c>
      <c r="AU1134" s="36">
        <f>IF(OR(W1021="",W1021&gt;=6),"","D")</f>
        <v/>
      </c>
    </row>
    <row r="1135" hidden="1" outlineLevel="1" ht="15" customHeight="1" s="15">
      <c r="AT1135" s="36">
        <f>IF(OR(W1021="",W1021=7),"","A")</f>
        <v/>
      </c>
      <c r="AU1135" s="36">
        <f>IF(OR(W1021="",W1021&gt;=6),"","A")</f>
        <v/>
      </c>
    </row>
    <row r="1136" hidden="1" outlineLevel="1" ht="15" customHeight="1" s="15">
      <c r="AT1136" s="36">
        <f>IF(OR(W1021="",W1021=7),"","F")</f>
        <v/>
      </c>
      <c r="AU1136" s="36">
        <f>IF(OR(W1021="",W1021&gt;=6),"","F")</f>
        <v/>
      </c>
    </row>
    <row r="1137" hidden="1" outlineLevel="1" ht="15" customHeight="1" s="15">
      <c r="AT1137" s="36">
        <f>IF(OR(W1021="",W1021=7),"","C")</f>
        <v/>
      </c>
      <c r="AU1137" s="36">
        <f>IF(OR(W1021="",W1021&gt;=6),"","C")</f>
        <v/>
      </c>
    </row>
    <row r="1138" hidden="1" outlineLevel="1" ht="15" customHeight="1" s="15">
      <c r="AT1138" s="36">
        <f>IF(AND(W1021&lt;&gt;"",W1021=7),"R","")</f>
        <v/>
      </c>
      <c r="AU1138" s="36">
        <f>IF(AND(W1021&lt;&gt;"",W1021&gt;=6),"R","")</f>
        <v/>
      </c>
    </row>
    <row r="1139" hidden="1" outlineLevel="1" ht="15" customHeight="1" s="15">
      <c r="AT1139" s="36">
        <f>IF(OR(X1021="",X1021=7),"","P")</f>
        <v/>
      </c>
      <c r="AU1139" s="36">
        <f>IF(OR(X1021="",X1021&gt;=6),"","P")</f>
        <v/>
      </c>
    </row>
    <row r="1140" hidden="1" outlineLevel="1" ht="15" customHeight="1" s="15">
      <c r="AT1140" s="36">
        <f>IF(OR(X1021="",X1021=7),"","D")</f>
        <v/>
      </c>
      <c r="AU1140" s="36">
        <f>IF(OR(X1021="",X1021&gt;=6),"","D")</f>
        <v/>
      </c>
    </row>
    <row r="1141" hidden="1" outlineLevel="1" ht="15" customHeight="1" s="15">
      <c r="AT1141" s="36">
        <f>IF(OR(X1021="",X1021=7),"","A")</f>
        <v/>
      </c>
      <c r="AU1141" s="36">
        <f>IF(OR(X1021="",X1021&gt;=6),"","A")</f>
        <v/>
      </c>
    </row>
    <row r="1142" hidden="1" outlineLevel="1" ht="15" customHeight="1" s="15">
      <c r="AT1142" s="36">
        <f>IF(OR(X1021="",X1021=7),"","F")</f>
        <v/>
      </c>
      <c r="AU1142" s="36">
        <f>IF(OR(X1021="",X1021&gt;=6),"","F")</f>
        <v/>
      </c>
    </row>
    <row r="1143" hidden="1" outlineLevel="1" ht="15" customHeight="1" s="15">
      <c r="AT1143" s="36">
        <f>IF(OR(X1021="",X1021=7),"","C")</f>
        <v/>
      </c>
      <c r="AU1143" s="36">
        <f>IF(OR(X1021="",X1021&gt;=6),"","C")</f>
        <v/>
      </c>
    </row>
    <row r="1144" hidden="1" outlineLevel="1" ht="15" customHeight="1" s="15">
      <c r="AT1144" s="36">
        <f>IF(AND(X1021&lt;&gt;"",X1021=7),"R","")</f>
        <v/>
      </c>
      <c r="AU1144" s="36">
        <f>IF(AND(X1021&lt;&gt;"",X1021&gt;=6),"R","")</f>
        <v/>
      </c>
    </row>
    <row r="1145" hidden="1" outlineLevel="1" ht="15" customHeight="1" s="15">
      <c r="AT1145" s="36">
        <f>IF(OR(Y1021="",Y1021=7),"","P")</f>
        <v/>
      </c>
      <c r="AU1145" s="36">
        <f>IF(OR(Y1021="",Y1021&gt;=6),"","P")</f>
        <v/>
      </c>
    </row>
    <row r="1146" hidden="1" outlineLevel="1" ht="15" customHeight="1" s="15">
      <c r="AT1146" s="36">
        <f>IF(OR(Y1021="",Y1021=7),"","D")</f>
        <v/>
      </c>
      <c r="AU1146" s="36">
        <f>IF(OR(Y1021="",Y1021&gt;=6),"","D")</f>
        <v/>
      </c>
    </row>
    <row r="1147" hidden="1" outlineLevel="1" ht="15" customHeight="1" s="15">
      <c r="AT1147" s="36">
        <f>IF(OR(Y1021="",Y1021=7),"","A")</f>
        <v/>
      </c>
      <c r="AU1147" s="36">
        <f>IF(OR(Y1021="",Y1021&gt;=6),"","A")</f>
        <v/>
      </c>
    </row>
    <row r="1148" hidden="1" outlineLevel="1" ht="15" customHeight="1" s="15">
      <c r="AT1148" s="36">
        <f>IF(OR(Y1021="",Y1021=7),"","F")</f>
        <v/>
      </c>
      <c r="AU1148" s="36">
        <f>IF(OR(Y1021="",Y1021&gt;=6),"","F")</f>
        <v/>
      </c>
    </row>
    <row r="1149" hidden="1" outlineLevel="1" ht="15" customHeight="1" s="15">
      <c r="AT1149" s="36">
        <f>IF(OR(Y1021="",Y1021=7),"","C")</f>
        <v/>
      </c>
      <c r="AU1149" s="36">
        <f>IF(OR(Y1021="",Y1021&gt;=6),"","C")</f>
        <v/>
      </c>
    </row>
    <row r="1150" hidden="1" outlineLevel="1" ht="15" customHeight="1" s="15">
      <c r="AT1150" s="36">
        <f>IF(AND(Y1021&lt;&gt;"",Y1021=7),"R","")</f>
        <v/>
      </c>
      <c r="AU1150" s="36">
        <f>IF(AND(Y1021&lt;&gt;"",Y1021&gt;=6),"R","")</f>
        <v/>
      </c>
    </row>
    <row r="1151" hidden="1" outlineLevel="1" ht="15" customHeight="1" s="15">
      <c r="AT1151" s="36">
        <f>IF(OR(Z1021="",Z1021=7),"","P")</f>
        <v/>
      </c>
      <c r="AU1151" s="36">
        <f>IF(OR(Z1021="",Z1021&gt;=6),"","P")</f>
        <v/>
      </c>
    </row>
    <row r="1152" hidden="1" outlineLevel="1" ht="15" customHeight="1" s="15">
      <c r="AT1152" s="36">
        <f>IF(OR(Z1021="",Z1021=7),"","D")</f>
        <v/>
      </c>
      <c r="AU1152" s="36">
        <f>IF(OR(Z1021="",Z1021&gt;=6),"","D")</f>
        <v/>
      </c>
    </row>
    <row r="1153" hidden="1" outlineLevel="1" ht="15" customHeight="1" s="15">
      <c r="AT1153" s="36">
        <f>IF(OR(Z1021="",Z1021=7),"","A")</f>
        <v/>
      </c>
      <c r="AU1153" s="36">
        <f>IF(OR(Z1021="",Z1021&gt;=6),"","A")</f>
        <v/>
      </c>
    </row>
    <row r="1154" hidden="1" outlineLevel="1" ht="15" customHeight="1" s="15">
      <c r="AT1154" s="36">
        <f>IF(OR(Z1021="",Z1021=7),"","F")</f>
        <v/>
      </c>
      <c r="AU1154" s="36">
        <f>IF(OR(Z1021="",Z1021&gt;=6),"","F")</f>
        <v/>
      </c>
    </row>
    <row r="1155" hidden="1" outlineLevel="1" ht="15" customHeight="1" s="15">
      <c r="AT1155" s="36">
        <f>IF(OR(Z1021="",Z1021=7),"","C")</f>
        <v/>
      </c>
      <c r="AU1155" s="36">
        <f>IF(OR(Z1021="",Z1021&gt;=6),"","C")</f>
        <v/>
      </c>
    </row>
    <row r="1156" hidden="1" outlineLevel="1" ht="15" customHeight="1" s="15">
      <c r="AT1156" s="36">
        <f>IF(AND(Z1021&lt;&gt;"",Z1021=7),"R","")</f>
        <v/>
      </c>
      <c r="AU1156" s="36">
        <f>IF(AND(Z1021&lt;&gt;"",Z1021&gt;=6),"R","")</f>
        <v/>
      </c>
    </row>
    <row r="1157" hidden="1" outlineLevel="1" ht="15" customHeight="1" s="15">
      <c r="AT1157" s="36">
        <f>IF(OR(AA1021="",AA1021=7),"","P")</f>
        <v/>
      </c>
      <c r="AU1157" s="36">
        <f>IF(OR(AA1021="",AA1021&gt;=6),"","P")</f>
        <v/>
      </c>
    </row>
    <row r="1158" hidden="1" outlineLevel="1" ht="15" customHeight="1" s="15">
      <c r="AT1158" s="36">
        <f>IF(OR(AA1021="",AA1021=7),"","D")</f>
        <v/>
      </c>
      <c r="AU1158" s="36">
        <f>IF(OR(AA1021="",AA1021&gt;=6),"","D")</f>
        <v/>
      </c>
    </row>
    <row r="1159" hidden="1" outlineLevel="1" ht="15" customHeight="1" s="15">
      <c r="AT1159" s="36">
        <f>IF(OR(AA1021="",AA1021=7),"","A")</f>
        <v/>
      </c>
      <c r="AU1159" s="36">
        <f>IF(OR(AA1021="",AA1021&gt;=6),"","A")</f>
        <v/>
      </c>
    </row>
    <row r="1160" hidden="1" outlineLevel="1" ht="15" customHeight="1" s="15">
      <c r="AT1160" s="36">
        <f>IF(OR(AA1021="",AA1021=7),"","F")</f>
        <v/>
      </c>
      <c r="AU1160" s="36">
        <f>IF(OR(AA1021="",AA1021&gt;=6),"","F")</f>
        <v/>
      </c>
    </row>
    <row r="1161" hidden="1" outlineLevel="1" ht="15" customHeight="1" s="15">
      <c r="AT1161" s="36">
        <f>IF(OR(AA1021="",AA1021=7),"","C")</f>
        <v/>
      </c>
      <c r="AU1161" s="36">
        <f>IF(OR(AA1021="",AA1021&gt;=6),"","C")</f>
        <v/>
      </c>
    </row>
    <row r="1162" hidden="1" outlineLevel="1" ht="15" customHeight="1" s="15">
      <c r="AT1162" s="36">
        <f>IF(AND(AA1021&lt;&gt;"",AA1021=7),"R","")</f>
        <v/>
      </c>
      <c r="AU1162" s="36">
        <f>IF(AND(AA1021&lt;&gt;"",AA1021&gt;=6),"R","")</f>
        <v/>
      </c>
    </row>
    <row r="1163" hidden="1" outlineLevel="1" ht="15" customHeight="1" s="15">
      <c r="AT1163" s="36">
        <f>IF(OR(AB1021="",AB1021=7),"","P")</f>
        <v/>
      </c>
      <c r="AU1163" s="36">
        <f>IF(OR(AB1021="",AB1021&gt;=6),"","P")</f>
        <v/>
      </c>
    </row>
    <row r="1164" hidden="1" outlineLevel="1" ht="15" customHeight="1" s="15">
      <c r="AT1164" s="36">
        <f>IF(OR(AB1021="",AB1021=7),"","D")</f>
        <v/>
      </c>
      <c r="AU1164" s="36">
        <f>IF(OR(AB1021="",AB1021&gt;=6),"","D")</f>
        <v/>
      </c>
    </row>
    <row r="1165" hidden="1" outlineLevel="1" ht="15" customHeight="1" s="15">
      <c r="AT1165" s="36">
        <f>IF(OR(AB1021="",AB1021=7),"","A")</f>
        <v/>
      </c>
      <c r="AU1165" s="36">
        <f>IF(OR(AB1021="",AB1021&gt;=6),"","A")</f>
        <v/>
      </c>
    </row>
    <row r="1166" hidden="1" outlineLevel="1" ht="15" customHeight="1" s="15">
      <c r="AT1166" s="36">
        <f>IF(OR(AB1021="",AB1021=7),"","F")</f>
        <v/>
      </c>
      <c r="AU1166" s="36">
        <f>IF(OR(AB1021="",AB1021&gt;=6),"","F")</f>
        <v/>
      </c>
    </row>
    <row r="1167" hidden="1" outlineLevel="1" ht="15" customHeight="1" s="15">
      <c r="AT1167" s="36">
        <f>IF(OR(AB1021="",AB1021=7),"","C")</f>
        <v/>
      </c>
      <c r="AU1167" s="36">
        <f>IF(OR(AB1021="",AB1021&gt;=6),"","C")</f>
        <v/>
      </c>
    </row>
    <row r="1168" hidden="1" outlineLevel="1" ht="15" customHeight="1" s="15">
      <c r="AT1168" s="36">
        <f>IF(AND(AB1021&lt;&gt;"",AB1021=7),"R","")</f>
        <v/>
      </c>
      <c r="AU1168" s="36">
        <f>IF(AND(AB1021&lt;&gt;"",AB1021&gt;=6),"R","")</f>
        <v/>
      </c>
    </row>
    <row r="1169" hidden="1" outlineLevel="1" ht="15" customHeight="1" s="15">
      <c r="AT1169" s="36">
        <f>IF(OR(AC1021="",AC1021=7),"","P")</f>
        <v/>
      </c>
      <c r="AU1169" s="36">
        <f>IF(OR(AC1021="",AC1021&gt;=6),"","P")</f>
        <v/>
      </c>
    </row>
    <row r="1170" hidden="1" outlineLevel="1" ht="15" customHeight="1" s="15">
      <c r="AT1170" s="36">
        <f>IF(OR(AC1021="",AC1021=7),"","D")</f>
        <v/>
      </c>
      <c r="AU1170" s="36">
        <f>IF(OR(AC1021="",AC1021&gt;=6),"","D")</f>
        <v/>
      </c>
    </row>
    <row r="1171" hidden="1" outlineLevel="1" ht="15" customHeight="1" s="15">
      <c r="AT1171" s="36">
        <f>IF(OR(AC1021="",AC1021=7),"","A")</f>
        <v/>
      </c>
      <c r="AU1171" s="36">
        <f>IF(OR(AC1021="",AC1021&gt;=6),"","A")</f>
        <v/>
      </c>
    </row>
    <row r="1172" hidden="1" outlineLevel="1" ht="15" customHeight="1" s="15">
      <c r="AT1172" s="36">
        <f>IF(OR(AC1021="",AC1021=7),"","F")</f>
        <v/>
      </c>
      <c r="AU1172" s="36">
        <f>IF(OR(AC1021="",AC1021&gt;=6),"","F")</f>
        <v/>
      </c>
    </row>
    <row r="1173" hidden="1" outlineLevel="1" ht="15" customHeight="1" s="15">
      <c r="AT1173" s="36">
        <f>IF(OR(AC1021="",AC1021=7),"","C")</f>
        <v/>
      </c>
      <c r="AU1173" s="36">
        <f>IF(OR(AC1021="",AC1021&gt;=6),"","C")</f>
        <v/>
      </c>
    </row>
    <row r="1174" hidden="1" outlineLevel="1" ht="15" customHeight="1" s="15">
      <c r="AT1174" s="36">
        <f>IF(AND(AC1021&lt;&gt;"",AC1021=7),"R","")</f>
        <v/>
      </c>
      <c r="AU1174" s="36">
        <f>IF(AND(AC1021&lt;&gt;"",AC1021&gt;=6),"R","")</f>
        <v/>
      </c>
    </row>
    <row r="1175" hidden="1" outlineLevel="1" ht="15" customHeight="1" s="15">
      <c r="AT1175" s="36">
        <f>IF(OR(AD1021="",AD1021=7),"","P")</f>
        <v/>
      </c>
      <c r="AU1175" s="36">
        <f>IF(OR(AD1021="",AD1021&gt;=6),"","P")</f>
        <v/>
      </c>
    </row>
    <row r="1176" hidden="1" outlineLevel="1" ht="15" customHeight="1" s="15">
      <c r="AT1176" s="36">
        <f>IF(OR(AD1021="",AD1021=7),"","D")</f>
        <v/>
      </c>
      <c r="AU1176" s="36">
        <f>IF(OR(AD1021="",AD1021&gt;=6),"","D")</f>
        <v/>
      </c>
    </row>
    <row r="1177" hidden="1" outlineLevel="1" ht="15" customHeight="1" s="15">
      <c r="AT1177" s="36">
        <f>IF(OR(AD1021="",AD1021=7),"","A")</f>
        <v/>
      </c>
      <c r="AU1177" s="36">
        <f>IF(OR(AD1021="",AD1021&gt;=6),"","A")</f>
        <v/>
      </c>
    </row>
    <row r="1178" hidden="1" outlineLevel="1" ht="15" customHeight="1" s="15">
      <c r="AT1178" s="36">
        <f>IF(OR(AD1021="",AD1021=7),"","F")</f>
        <v/>
      </c>
      <c r="AU1178" s="36">
        <f>IF(OR(AD1021="",AD1021&gt;=6),"","F")</f>
        <v/>
      </c>
    </row>
    <row r="1179" hidden="1" outlineLevel="1" ht="15" customHeight="1" s="15">
      <c r="AT1179" s="36">
        <f>IF(OR(AD1021="",AD1021=7),"","C")</f>
        <v/>
      </c>
      <c r="AU1179" s="36">
        <f>IF(OR(AD1021="",AD1021&gt;=6),"","C")</f>
        <v/>
      </c>
    </row>
    <row r="1180" hidden="1" outlineLevel="1" ht="15" customHeight="1" s="15">
      <c r="AT1180" s="36">
        <f>IF(AND(AD1021&lt;&gt;"",AD1021=7),"R","")</f>
        <v/>
      </c>
      <c r="AU1180" s="36">
        <f>IF(AND(AD1021&lt;&gt;"",AD1021&gt;=6),"R","")</f>
        <v/>
      </c>
    </row>
    <row r="1181" hidden="1" outlineLevel="1" ht="15" customHeight="1" s="15">
      <c r="AT1181" s="36">
        <f>IF(OR(AE1021="",AE1021=7),"","P")</f>
        <v/>
      </c>
      <c r="AU1181" s="36">
        <f>IF(OR(AE1021="",AE1021&gt;=6),"","P")</f>
        <v/>
      </c>
    </row>
    <row r="1182" hidden="1" outlineLevel="1" ht="15" customHeight="1" s="15">
      <c r="AT1182" s="36">
        <f>IF(OR(AE1021="",AE1021=7),"","D")</f>
        <v/>
      </c>
      <c r="AU1182" s="36">
        <f>IF(OR(AE1021="",AE1021&gt;=6),"","D")</f>
        <v/>
      </c>
    </row>
    <row r="1183" hidden="1" outlineLevel="1" ht="15" customHeight="1" s="15">
      <c r="AT1183" s="36">
        <f>IF(OR(AE1021="",AE1021=7),"","A")</f>
        <v/>
      </c>
      <c r="AU1183" s="36">
        <f>IF(OR(AE1021="",AE1021&gt;=6),"","A")</f>
        <v/>
      </c>
    </row>
    <row r="1184" hidden="1" outlineLevel="1" ht="15" customHeight="1" s="15">
      <c r="AT1184" s="36">
        <f>IF(OR(AE1021="",AE1021=7),"","F")</f>
        <v/>
      </c>
      <c r="AU1184" s="36">
        <f>IF(OR(AE1021="",AE1021&gt;=6),"","F")</f>
        <v/>
      </c>
    </row>
    <row r="1185" hidden="1" outlineLevel="1" ht="15" customHeight="1" s="15">
      <c r="AT1185" s="36">
        <f>IF(OR(AE1021="",AE1021=7),"","C")</f>
        <v/>
      </c>
      <c r="AU1185" s="36">
        <f>IF(OR(AE1021="",AE1021&gt;=6),"","C")</f>
        <v/>
      </c>
    </row>
    <row r="1186" hidden="1" outlineLevel="1" ht="15" customHeight="1" s="15">
      <c r="AT1186" s="36">
        <f>IF(AND(AE1021&lt;&gt;"",AE1021=7),"R","")</f>
        <v/>
      </c>
      <c r="AU1186" s="36">
        <f>IF(AND(AE1021&lt;&gt;"",AE1021&gt;=6),"R","")</f>
        <v/>
      </c>
    </row>
    <row r="1187" hidden="1" outlineLevel="1" ht="15" customHeight="1" s="15">
      <c r="AT1187" s="36">
        <f>IF(OR(AF1021="",AF1021=7),"","P")</f>
        <v/>
      </c>
      <c r="AU1187" s="36">
        <f>IF(OR(AF1021="",AF1021&gt;=6),"","P")</f>
        <v/>
      </c>
    </row>
    <row r="1188" hidden="1" outlineLevel="1" ht="15" customHeight="1" s="15">
      <c r="AT1188" s="36">
        <f>IF(OR(AF1021="",AF1021=7),"","D")</f>
        <v/>
      </c>
      <c r="AU1188" s="36">
        <f>IF(OR(AF1021="",AF1021&gt;=6),"","D")</f>
        <v/>
      </c>
    </row>
    <row r="1189" hidden="1" outlineLevel="1" ht="15" customHeight="1" s="15">
      <c r="AT1189" s="36">
        <f>IF(OR(AF1021="",AF1021=7),"","A")</f>
        <v/>
      </c>
      <c r="AU1189" s="36">
        <f>IF(OR(AF1021="",AF1021&gt;=6),"","A")</f>
        <v/>
      </c>
    </row>
    <row r="1190" hidden="1" outlineLevel="1" ht="15" customHeight="1" s="15">
      <c r="AT1190" s="36">
        <f>IF(OR(AF1021="",AF1021=7),"","F")</f>
        <v/>
      </c>
      <c r="AU1190" s="36">
        <f>IF(OR(AF1021="",AF1021&gt;=6),"","F")</f>
        <v/>
      </c>
    </row>
    <row r="1191" hidden="1" outlineLevel="1" ht="15" customHeight="1" s="15">
      <c r="AT1191" s="36">
        <f>IF(OR(AF1021="",AF1021=7),"","C")</f>
        <v/>
      </c>
      <c r="AU1191" s="36">
        <f>IF(OR(AF1021="",AF1021&gt;=6),"","C")</f>
        <v/>
      </c>
    </row>
    <row r="1192" hidden="1" outlineLevel="1" ht="15" customHeight="1" s="15">
      <c r="AT1192" s="36">
        <f>IF(AND(AF1021&lt;&gt;"",AF1021=7),"R","")</f>
        <v/>
      </c>
      <c r="AU1192" s="36">
        <f>IF(AND(AF1021&lt;&gt;"",AF1021&gt;=6),"R","")</f>
        <v/>
      </c>
    </row>
    <row r="1193" hidden="1" outlineLevel="1" ht="15" customHeight="1" s="15">
      <c r="AT1193" s="36">
        <f>IF(OR(AG1021="",AG1021=7),"","P")</f>
        <v/>
      </c>
      <c r="AU1193" s="36">
        <f>IF(OR(AG1021="",AG1021&gt;=6),"","P")</f>
        <v/>
      </c>
    </row>
    <row r="1194" hidden="1" outlineLevel="1" ht="15" customHeight="1" s="15">
      <c r="AT1194" s="36">
        <f>IF(OR(AG1021="",AG1021=7),"","D")</f>
        <v/>
      </c>
      <c r="AU1194" s="36">
        <f>IF(OR(AG1021="",AG1021&gt;=6),"","D")</f>
        <v/>
      </c>
    </row>
    <row r="1195" hidden="1" outlineLevel="1" ht="15" customHeight="1" s="15">
      <c r="AT1195" s="36">
        <f>IF(OR(AG1021="",AG1021=7),"","A")</f>
        <v/>
      </c>
      <c r="AU1195" s="36">
        <f>IF(OR(AG1021="",AG1021&gt;=6),"","A")</f>
        <v/>
      </c>
    </row>
    <row r="1196" hidden="1" outlineLevel="1" ht="15" customHeight="1" s="15">
      <c r="AT1196" s="36">
        <f>IF(OR(AG1021="",AG1021=7),"","F")</f>
        <v/>
      </c>
      <c r="AU1196" s="36">
        <f>IF(OR(AG1021="",AG1021&gt;=6),"","F")</f>
        <v/>
      </c>
    </row>
    <row r="1197" hidden="1" outlineLevel="1" ht="15" customHeight="1" s="15">
      <c r="AT1197" s="36">
        <f>IF(OR(AG1021="",AG1021=7),"","C")</f>
        <v/>
      </c>
      <c r="AU1197" s="36">
        <f>IF(OR(AG1021="",AG1021&gt;=6),"","C")</f>
        <v/>
      </c>
    </row>
    <row r="1198" hidden="1" outlineLevel="1" ht="15" customHeight="1" s="15">
      <c r="AT1198" s="36">
        <f>IF(AND(AG1021&lt;&gt;"",AG1021=7),"R","")</f>
        <v/>
      </c>
      <c r="AU1198" s="36">
        <f>IF(AND(AG1021&lt;&gt;"",AG1021&gt;=6),"R","")</f>
        <v/>
      </c>
    </row>
    <row r="1199" hidden="1" outlineLevel="1" ht="15" customHeight="1" s="15">
      <c r="AT1199" s="36">
        <f>IF(OR(AH1021="",AH1021=7),"","P")</f>
        <v/>
      </c>
      <c r="AU1199" s="36">
        <f>IF(OR(AH1021="",AH1021&gt;=6),"","P")</f>
        <v/>
      </c>
    </row>
    <row r="1200" hidden="1" outlineLevel="1" ht="15" customHeight="1" s="15">
      <c r="AT1200" s="36">
        <f>IF(OR(AH1021="",AH1021=7),"","D")</f>
        <v/>
      </c>
      <c r="AU1200" s="36">
        <f>IF(OR(AH1021="",AH1021&gt;=6),"","D")</f>
        <v/>
      </c>
    </row>
    <row r="1201" hidden="1" outlineLevel="1" ht="15" customHeight="1" s="15">
      <c r="AT1201" s="36">
        <f>IF(OR(AH1021="",AH1021=7),"","A")</f>
        <v/>
      </c>
      <c r="AU1201" s="36">
        <f>IF(OR(AH1021="",AH1021&gt;=6),"","A")</f>
        <v/>
      </c>
    </row>
    <row r="1202" hidden="1" outlineLevel="1" ht="15" customHeight="1" s="15">
      <c r="AT1202" s="36">
        <f>IF(OR(AH1021="",AH1021=7),"","F")</f>
        <v/>
      </c>
      <c r="AU1202" s="36">
        <f>IF(OR(AH1021="",AH1021&gt;=6),"","F")</f>
        <v/>
      </c>
    </row>
    <row r="1203" hidden="1" outlineLevel="1" ht="15" customHeight="1" s="15">
      <c r="AT1203" s="36">
        <f>IF(OR(AH1021="",AH1021=7),"","C")</f>
        <v/>
      </c>
      <c r="AU1203" s="36">
        <f>IF(OR(AH1021="",AH1021&gt;=6),"","C")</f>
        <v/>
      </c>
    </row>
    <row r="1204" hidden="1" outlineLevel="1" ht="15" customHeight="1" s="15">
      <c r="AT1204" s="36">
        <f>IF(AND(AH1021&lt;&gt;"",AH1021=7),"R","")</f>
        <v/>
      </c>
      <c r="AU1204" s="36">
        <f>IF(AND(AH1021&lt;&gt;"",AH1021&gt;=6),"R","")</f>
        <v/>
      </c>
    </row>
    <row r="1205" hidden="1" outlineLevel="1" ht="15" customHeight="1" s="15">
      <c r="AT1205" s="36">
        <f>IF(OR(AI1021="",AI1021=7),"","P")</f>
        <v/>
      </c>
      <c r="AU1205" s="36">
        <f>IF(OR(AI1021="",AI1021&gt;=6),"","P")</f>
        <v/>
      </c>
    </row>
    <row r="1206" hidden="1" outlineLevel="1" ht="15" customHeight="1" s="15">
      <c r="AT1206" s="36">
        <f>IF(OR(AI1021="",AI1021=7),"","D")</f>
        <v/>
      </c>
      <c r="AU1206" s="36">
        <f>IF(OR(AI1021="",AI1021&gt;=6),"","D")</f>
        <v/>
      </c>
    </row>
    <row r="1207" hidden="1" outlineLevel="1" ht="15" customHeight="1" s="15">
      <c r="AT1207" s="36">
        <f>IF(OR(AI1021="",AI1021=7),"","A")</f>
        <v/>
      </c>
      <c r="AU1207" s="36">
        <f>IF(OR(AI1021="",AI1021&gt;=6),"","A")</f>
        <v/>
      </c>
    </row>
    <row r="1208" hidden="1" outlineLevel="1" ht="15" customHeight="1" s="15">
      <c r="AT1208" s="36">
        <f>IF(OR(AI1021="",AI1021=7),"","F")</f>
        <v/>
      </c>
      <c r="AU1208" s="36">
        <f>IF(OR(AI1021="",AI1021&gt;=6),"","F")</f>
        <v/>
      </c>
    </row>
    <row r="1209" hidden="1" outlineLevel="1" ht="15" customHeight="1" s="15">
      <c r="AT1209" s="36">
        <f>IF(OR(AI1021="",AI1021=7),"","C")</f>
        <v/>
      </c>
      <c r="AU1209" s="36">
        <f>IF(OR(AI1021="",AI1021&gt;=6),"","C")</f>
        <v/>
      </c>
    </row>
    <row r="1210" hidden="1" outlineLevel="1" ht="15" customHeight="1" s="15">
      <c r="AT1210" s="36">
        <f>IF(AND(AI1021&lt;&gt;"",AI1021=7),"R","")</f>
        <v/>
      </c>
      <c r="AU1210" s="36">
        <f>IF(AND(AI1021&lt;&gt;"",AI1021&gt;=6),"R","")</f>
        <v/>
      </c>
    </row>
    <row r="1211" hidden="1" outlineLevel="1" ht="15" customHeight="1" s="15">
      <c r="AT1211" s="36">
        <f>IF(OR(AJ1021="",AJ1021=7),"","P")</f>
        <v/>
      </c>
      <c r="AU1211" s="36">
        <f>IF(OR(AJ1021="",AJ1021&gt;=6),"","P")</f>
        <v/>
      </c>
    </row>
    <row r="1212" hidden="1" outlineLevel="1" ht="15" customHeight="1" s="15">
      <c r="AT1212" s="36">
        <f>IF(OR(AJ1021="",AJ1021=7),"","D")</f>
        <v/>
      </c>
      <c r="AU1212" s="36">
        <f>IF(OR(AJ1021="",AJ1021&gt;=6),"","D")</f>
        <v/>
      </c>
    </row>
    <row r="1213" hidden="1" outlineLevel="1" ht="15" customHeight="1" s="15">
      <c r="AT1213" s="36">
        <f>IF(OR(AJ1021="",AJ1021=7),"","A")</f>
        <v/>
      </c>
      <c r="AU1213" s="36">
        <f>IF(OR(AJ1021="",AJ1021&gt;=6),"","A")</f>
        <v/>
      </c>
    </row>
    <row r="1214" hidden="1" outlineLevel="1" ht="15" customHeight="1" s="15">
      <c r="AT1214" s="36">
        <f>IF(OR(AJ1021="",AJ1021=7),"","F")</f>
        <v/>
      </c>
      <c r="AU1214" s="36">
        <f>IF(OR(AJ1021="",AJ1021&gt;=6),"","F")</f>
        <v/>
      </c>
    </row>
    <row r="1215" hidden="1" outlineLevel="1" ht="15" customHeight="1" s="15">
      <c r="AT1215" s="36">
        <f>IF(OR(AJ1021="",AJ1021=7),"","C")</f>
        <v/>
      </c>
      <c r="AU1215" s="36">
        <f>IF(OR(AJ1021="",AJ1021&gt;=6),"","C")</f>
        <v/>
      </c>
    </row>
    <row r="1216" hidden="1" outlineLevel="1" ht="15" customHeight="1" s="15">
      <c r="AT1216" s="36">
        <f>IF(AND(AJ1021&lt;&gt;"",AJ1021=7),"R","")</f>
        <v/>
      </c>
      <c r="AU1216" s="36">
        <f>IF(AND(AJ1021&lt;&gt;"",AJ1021&gt;=6),"R","")</f>
        <v/>
      </c>
    </row>
    <row r="1217" hidden="1" outlineLevel="1" ht="15" customHeight="1" s="15">
      <c r="AT1217" s="36">
        <f>IF(OR(AK1021="",AK1021=7),"","P")</f>
        <v/>
      </c>
      <c r="AU1217" s="36">
        <f>IF(OR(AK1021="",AK1021&gt;=6),"","P")</f>
        <v/>
      </c>
    </row>
    <row r="1218" hidden="1" outlineLevel="1" ht="15" customHeight="1" s="15">
      <c r="AT1218" s="36">
        <f>IF(OR(AK1021="",AK1021=7),"","D")</f>
        <v/>
      </c>
      <c r="AU1218" s="36">
        <f>IF(OR(AK1021="",AK1021&gt;=6),"","D")</f>
        <v/>
      </c>
    </row>
    <row r="1219" hidden="1" outlineLevel="1" ht="15" customHeight="1" s="15">
      <c r="AT1219" s="36">
        <f>IF(OR(AK1021="",AK1021=7),"","A")</f>
        <v/>
      </c>
      <c r="AU1219" s="36">
        <f>IF(OR(AK1021="",AK1021&gt;=6),"","A")</f>
        <v/>
      </c>
    </row>
    <row r="1220" hidden="1" outlineLevel="1" ht="15" customHeight="1" s="15">
      <c r="AT1220" s="36">
        <f>IF(OR(AK1021="",AK1021=7),"","F")</f>
        <v/>
      </c>
      <c r="AU1220" s="36">
        <f>IF(OR(AK1021="",AK1021&gt;=6),"","F")</f>
        <v/>
      </c>
    </row>
    <row r="1221" hidden="1" outlineLevel="1" ht="15" customHeight="1" s="15">
      <c r="AT1221" s="36">
        <f>IF(OR(AK1021="",AK1021=7),"","C")</f>
        <v/>
      </c>
      <c r="AU1221" s="36">
        <f>IF(OR(AK1021="",AK1021&gt;=6),"","C")</f>
        <v/>
      </c>
    </row>
    <row r="1222" hidden="1" outlineLevel="1" ht="15" customHeight="1" s="15">
      <c r="AT1222" s="36">
        <f>IF(AND(AK1021&lt;&gt;"",AK1021=7),"R","")</f>
        <v/>
      </c>
      <c r="AU1222" s="36">
        <f>IF(AND(AK1021&lt;&gt;"",AK1021&gt;=6),"R","")</f>
        <v/>
      </c>
    </row>
    <row r="1223" hidden="1" outlineLevel="1" ht="15" customHeight="1" s="15">
      <c r="AT1223" s="36">
        <f>IF(OR(AL1021="",AL1021=7),"","P")</f>
        <v/>
      </c>
      <c r="AU1223" s="36">
        <f>IF(OR(AL1021="",AL1021&gt;=6),"","P")</f>
        <v/>
      </c>
    </row>
    <row r="1224" hidden="1" outlineLevel="1" ht="15" customHeight="1" s="15">
      <c r="AT1224" s="36">
        <f>IF(OR(AL1021="",AL1021=7),"","D")</f>
        <v/>
      </c>
      <c r="AU1224" s="36">
        <f>IF(OR(AL1021="",AL1021&gt;=6),"","D")</f>
        <v/>
      </c>
    </row>
    <row r="1225" hidden="1" outlineLevel="1" ht="15" customHeight="1" s="15">
      <c r="AT1225" s="36">
        <f>IF(OR(AL1021="",AL1021=7),"","A")</f>
        <v/>
      </c>
      <c r="AU1225" s="36">
        <f>IF(OR(AL1021="",AL1021&gt;=6),"","A")</f>
        <v/>
      </c>
    </row>
    <row r="1226" hidden="1" outlineLevel="1" ht="15" customHeight="1" s="15">
      <c r="AT1226" s="36">
        <f>IF(OR(AL1021="",AL1021=7),"","F")</f>
        <v/>
      </c>
      <c r="AU1226" s="36">
        <f>IF(OR(AL1021="",AL1021&gt;=6),"","F")</f>
        <v/>
      </c>
    </row>
    <row r="1227" hidden="1" outlineLevel="1" ht="15" customHeight="1" s="15">
      <c r="AT1227" s="36">
        <f>IF(OR(AL1021="",AL1021=7),"","C")</f>
        <v/>
      </c>
      <c r="AU1227" s="36">
        <f>IF(OR(AL1021="",AL1021&gt;=6),"","C")</f>
        <v/>
      </c>
    </row>
    <row r="1228" hidden="1" outlineLevel="1" ht="15" customHeight="1" s="15">
      <c r="AT1228" s="36">
        <f>IF(AND(AL1021&lt;&gt;"",AL1021=7),"R","")</f>
        <v/>
      </c>
      <c r="AU1228" s="36">
        <f>IF(AND(AL1021&lt;&gt;"",AL1021&gt;=6),"R","")</f>
        <v/>
      </c>
    </row>
    <row r="1229" hidden="1" outlineLevel="1" ht="15" customHeight="1" s="15">
      <c r="AT1229" s="36">
        <f>IF(OR(AM1021="",AM1021=7),"","P")</f>
        <v/>
      </c>
      <c r="AU1229" s="36">
        <f>IF(OR(AM1021="",AM1021&gt;=6),"","P")</f>
        <v/>
      </c>
    </row>
    <row r="1230" hidden="1" outlineLevel="1" ht="15" customHeight="1" s="15">
      <c r="AT1230" s="36">
        <f>IF(OR(AM1021="",AM1021=7),"","D")</f>
        <v/>
      </c>
      <c r="AU1230" s="36">
        <f>IF(OR(AM1021="",AM1021&gt;=6),"","D")</f>
        <v/>
      </c>
    </row>
    <row r="1231" hidden="1" outlineLevel="1" ht="15" customHeight="1" s="15">
      <c r="AT1231" s="36">
        <f>IF(OR(AM1021="",AM1021=7),"","A")</f>
        <v/>
      </c>
      <c r="AU1231" s="36">
        <f>IF(OR(AM1021="",AM1021&gt;=6),"","A")</f>
        <v/>
      </c>
    </row>
    <row r="1232" hidden="1" outlineLevel="1" ht="15" customHeight="1" s="15">
      <c r="AT1232" s="36">
        <f>IF(OR(AM1021="",AM1021=7),"","F")</f>
        <v/>
      </c>
      <c r="AU1232" s="36">
        <f>IF(OR(AM1021="",AM1021&gt;=6),"","F")</f>
        <v/>
      </c>
    </row>
    <row r="1233" hidden="1" outlineLevel="1" ht="15" customHeight="1" s="15">
      <c r="AT1233" s="36">
        <f>IF(OR(AM1021="",AM1021=7),"","C")</f>
        <v/>
      </c>
      <c r="AU1233" s="36">
        <f>IF(OR(AM1021="",AM1021&gt;=6),"","C")</f>
        <v/>
      </c>
    </row>
    <row r="1234" hidden="1" outlineLevel="1" ht="15" customHeight="1" s="15">
      <c r="AT1234" s="36">
        <f>IF(AND(AM1021&lt;&gt;"",AM1021=7),"R","")</f>
        <v/>
      </c>
      <c r="AU1234" s="36">
        <f>IF(AND(AM1021&lt;&gt;"",AM1021&gt;=6),"R","")</f>
        <v/>
      </c>
    </row>
    <row r="1235" hidden="1" outlineLevel="1" ht="15" customHeight="1" s="15">
      <c r="AT1235" s="36">
        <f>IF(OR(AN1021="",AN1021=7),"","P")</f>
        <v/>
      </c>
      <c r="AU1235" s="36">
        <f>IF(OR(AN1021="",AN1021&gt;=6),"","P")</f>
        <v/>
      </c>
    </row>
    <row r="1236" hidden="1" outlineLevel="1" ht="15" customHeight="1" s="15">
      <c r="AT1236" s="36">
        <f>IF(OR(AN1021="",AN1021=7),"","D")</f>
        <v/>
      </c>
      <c r="AU1236" s="36">
        <f>IF(OR(AN1021="",AN1021&gt;=6),"","D")</f>
        <v/>
      </c>
    </row>
    <row r="1237" hidden="1" outlineLevel="1" ht="15" customHeight="1" s="15">
      <c r="AT1237" s="36">
        <f>IF(OR(AN1021="",AN1021=7),"","A")</f>
        <v/>
      </c>
      <c r="AU1237" s="36">
        <f>IF(OR(AN1021="",AN1021&gt;=6),"","A")</f>
        <v/>
      </c>
    </row>
    <row r="1238" hidden="1" outlineLevel="1" ht="15" customHeight="1" s="15">
      <c r="AT1238" s="36">
        <f>IF(OR(AN1021="",AN1021=7),"","F")</f>
        <v/>
      </c>
      <c r="AU1238" s="36">
        <f>IF(OR(AN1021="",AN1021&gt;=6),"","F")</f>
        <v/>
      </c>
    </row>
    <row r="1239" hidden="1" outlineLevel="1" ht="15" customHeight="1" s="15">
      <c r="AT1239" s="36">
        <f>IF(OR(AN1021="",AN1021=7),"","C")</f>
        <v/>
      </c>
      <c r="AU1239" s="36">
        <f>IF(OR(AN1021="",AN1021&gt;=6),"","C")</f>
        <v/>
      </c>
    </row>
    <row r="1240" hidden="1" outlineLevel="1" ht="15" customHeight="1" s="15">
      <c r="AT1240" s="36">
        <f>IF(AND(AN1021&lt;&gt;"",AN1021=7),"R","")</f>
        <v/>
      </c>
      <c r="AU1240" s="36">
        <f>IF(AND(AN1021&lt;&gt;"",AN1021&gt;=6),"R","")</f>
        <v/>
      </c>
    </row>
    <row r="1241" hidden="1" outlineLevel="1" ht="15" customHeight="1" s="15">
      <c r="AT1241" s="36">
        <f>IF(OR(AO1021="",AO1021=7),"","P")</f>
        <v/>
      </c>
      <c r="AU1241" s="36">
        <f>IF(OR(AO1021="",AO1021&gt;=6),"","P")</f>
        <v/>
      </c>
    </row>
    <row r="1242" hidden="1" outlineLevel="1" ht="15" customHeight="1" s="15">
      <c r="AT1242" s="36">
        <f>IF(OR(AO1021="",AO1021=7),"","D")</f>
        <v/>
      </c>
      <c r="AU1242" s="36">
        <f>IF(OR(AO1021="",AO1021&gt;=6),"","D")</f>
        <v/>
      </c>
    </row>
    <row r="1243" hidden="1" outlineLevel="1" ht="15" customHeight="1" s="15">
      <c r="AT1243" s="36">
        <f>IF(OR(AO1021="",AO1021=7),"","A")</f>
        <v/>
      </c>
      <c r="AU1243" s="36">
        <f>IF(OR(AO1021="",AO1021&gt;=6),"","A")</f>
        <v/>
      </c>
    </row>
    <row r="1244" hidden="1" outlineLevel="1" ht="15" customHeight="1" s="15">
      <c r="AT1244" s="36">
        <f>IF(OR(AO1021="",AO1021=7),"","F")</f>
        <v/>
      </c>
      <c r="AU1244" s="36">
        <f>IF(OR(AO1021="",AO1021&gt;=6),"","F")</f>
        <v/>
      </c>
    </row>
    <row r="1245" hidden="1" outlineLevel="1" ht="15" customHeight="1" s="15">
      <c r="AT1245" s="36">
        <f>IF(OR(AO1021="",AO1021=7),"","C")</f>
        <v/>
      </c>
      <c r="AU1245" s="36">
        <f>IF(OR(AO1021="",AO1021&gt;=6),"","C")</f>
        <v/>
      </c>
    </row>
    <row r="1246" hidden="1" outlineLevel="1" ht="15" customHeight="1" s="15">
      <c r="AT1246" s="36">
        <f>IF(AND(AO1021&lt;&gt;"",AO1021=7),"R","")</f>
        <v/>
      </c>
      <c r="AU1246" s="36">
        <f>IF(AND(AO1021&lt;&gt;"",AO1021&gt;=6),"R","")</f>
        <v/>
      </c>
    </row>
    <row r="1247" hidden="1" outlineLevel="1" ht="15" customHeight="1" s="15">
      <c r="AT1247" s="36">
        <f>IF(OR(AP1021="",AP1021=7),"","P")</f>
        <v/>
      </c>
      <c r="AU1247" s="36">
        <f>IF(OR(AP1021="",AP1021&gt;=6),"","P")</f>
        <v/>
      </c>
    </row>
    <row r="1248" hidden="1" outlineLevel="1" ht="15" customHeight="1" s="15">
      <c r="AT1248" s="36">
        <f>IF(OR(AP1021="",AP1021=7),"","D")</f>
        <v/>
      </c>
      <c r="AU1248" s="36">
        <f>IF(OR(AP1021="",AP1021&gt;=6),"","D")</f>
        <v/>
      </c>
    </row>
    <row r="1249" hidden="1" outlineLevel="1" ht="15" customHeight="1" s="15">
      <c r="AT1249" s="36">
        <f>IF(OR(AP1021="",AP1021=7),"","A")</f>
        <v/>
      </c>
      <c r="AU1249" s="36">
        <f>IF(OR(AP1021="",AP1021&gt;=6),"","A")</f>
        <v/>
      </c>
    </row>
    <row r="1250" hidden="1" outlineLevel="1" ht="15" customHeight="1" s="15">
      <c r="AT1250" s="36">
        <f>IF(OR(AP1021="",AP1021=7),"","F")</f>
        <v/>
      </c>
      <c r="AU1250" s="36">
        <f>IF(OR(AP1021="",AP1021&gt;=6),"","F")</f>
        <v/>
      </c>
    </row>
    <row r="1251" hidden="1" outlineLevel="1" ht="15" customHeight="1" s="15">
      <c r="AT1251" s="36">
        <f>IF(OR(AP1021="",AP1021=7),"","C")</f>
        <v/>
      </c>
      <c r="AU1251" s="36">
        <f>IF(OR(AP1021="",AP1021&gt;=6),"","C")</f>
        <v/>
      </c>
    </row>
    <row r="1252" hidden="1" outlineLevel="1" ht="15" customHeight="1" s="15">
      <c r="AT1252" s="36">
        <f>IF(AND(AP1021&lt;&gt;"",AP1021=7),"R","")</f>
        <v/>
      </c>
      <c r="AU1252" s="36">
        <f>IF(AND(AP1021&lt;&gt;"",AP1021&gt;=6),"R","")</f>
        <v/>
      </c>
    </row>
    <row r="1253" hidden="1" outlineLevel="1" ht="15" customHeight="1" s="15">
      <c r="AT1253" s="36">
        <f>IF(OR(AQ1021="",AQ1021=7),"","P")</f>
        <v/>
      </c>
      <c r="AU1253" s="36">
        <f>IF(OR(AQ1021="",AQ1021&gt;=6),"","P")</f>
        <v/>
      </c>
    </row>
    <row r="1254" hidden="1" outlineLevel="1" ht="15" customHeight="1" s="15">
      <c r="AT1254" s="36">
        <f>IF(OR(AQ1021="",AQ1021=7),"","D")</f>
        <v/>
      </c>
      <c r="AU1254" s="36">
        <f>IF(OR(AQ1021="",AQ1021&gt;=6),"","D")</f>
        <v/>
      </c>
    </row>
    <row r="1255" hidden="1" outlineLevel="1" ht="15" customHeight="1" s="15">
      <c r="AT1255" s="36">
        <f>IF(OR(AQ1021="",AQ1021=7),"","A")</f>
        <v/>
      </c>
      <c r="AU1255" s="36">
        <f>IF(OR(AQ1021="",AQ1021&gt;=6),"","A")</f>
        <v/>
      </c>
    </row>
    <row r="1256" hidden="1" outlineLevel="1" ht="15" customHeight="1" s="15">
      <c r="AT1256" s="36">
        <f>IF(OR(AQ1021="",AQ1021=7),"","F")</f>
        <v/>
      </c>
      <c r="AU1256" s="36">
        <f>IF(OR(AQ1021="",AQ1021&gt;=6),"","F")</f>
        <v/>
      </c>
    </row>
    <row r="1257" hidden="1" outlineLevel="1" ht="15" customHeight="1" s="15">
      <c r="AT1257" s="36">
        <f>IF(OR(AQ1021="",AQ1021=7),"","C")</f>
        <v/>
      </c>
      <c r="AU1257" s="36">
        <f>IF(OR(AQ1021="",AQ1021&gt;=6),"","C")</f>
        <v/>
      </c>
    </row>
    <row r="1258" hidden="1" outlineLevel="1" ht="15" customHeight="1" s="15">
      <c r="AT1258" s="36">
        <f>IF(AND(AQ1021&lt;&gt;"",AQ1021=7),"R","")</f>
        <v/>
      </c>
      <c r="AU1258" s="36">
        <f>IF(AND(AQ1021&lt;&gt;"",AQ1021&gt;=6),"R","")</f>
        <v/>
      </c>
    </row>
    <row r="1259" hidden="1" outlineLevel="1" ht="15" customHeight="1" s="15">
      <c r="AT1259" s="36">
        <f>IF(OR(AR1021="",AR1021=7),"","P")</f>
        <v/>
      </c>
      <c r="AU1259" s="36">
        <f>IF(OR(AR1021="",AR1021&gt;=6),"","P")</f>
        <v/>
      </c>
    </row>
    <row r="1260" hidden="1" outlineLevel="1" ht="15" customHeight="1" s="15">
      <c r="AT1260" s="36">
        <f>IF(OR(AR1021="",AR1021=7),"","D")</f>
        <v/>
      </c>
      <c r="AU1260" s="36">
        <f>IF(OR(AR1021="",AR1021&gt;=6),"","D")</f>
        <v/>
      </c>
    </row>
    <row r="1261" hidden="1" outlineLevel="1" ht="15" customHeight="1" s="15">
      <c r="AT1261" s="36">
        <f>IF(OR(AR1021="",AR1021=7),"","A")</f>
        <v/>
      </c>
      <c r="AU1261" s="36">
        <f>IF(OR(AR1021="",AR1021&gt;=6),"","A")</f>
        <v/>
      </c>
    </row>
    <row r="1262" hidden="1" outlineLevel="1" ht="15" customHeight="1" s="15">
      <c r="AT1262" s="36">
        <f>IF(OR(AR1021="",AR1021=7),"","F")</f>
        <v/>
      </c>
      <c r="AU1262" s="36">
        <f>IF(OR(AR1021="",AR1021&gt;=6),"","F")</f>
        <v/>
      </c>
    </row>
    <row r="1263" hidden="1" outlineLevel="1" ht="15" customHeight="1" s="15">
      <c r="AT1263" s="36">
        <f>IF(OR(AR1021="",AR1021=7),"","C")</f>
        <v/>
      </c>
      <c r="AU1263" s="36">
        <f>IF(OR(AR1021="",AR1021&gt;=6),"","C")</f>
        <v/>
      </c>
    </row>
    <row r="1264" hidden="1" outlineLevel="1" ht="15" customHeight="1" s="15">
      <c r="AT1264" s="36">
        <f>IF(AND(AR1021&lt;&gt;"",AR1021=7),"R","")</f>
        <v/>
      </c>
      <c r="AU1264" s="36">
        <f>IF(AND(AR1021&lt;&gt;"",AR1021&gt;=6),"R","")</f>
        <v/>
      </c>
    </row>
    <row r="1265" hidden="1" outlineLevel="1" ht="15" customHeight="1" s="15">
      <c r="AT1265" s="36">
        <f>IF(OR(AS1021="",AS1021=7),"","P")</f>
        <v/>
      </c>
      <c r="AU1265" s="36">
        <f>IF(OR(AS1021="",AS1021&gt;=6),"","P")</f>
        <v/>
      </c>
    </row>
    <row r="1266" hidden="1" outlineLevel="1" ht="15" customHeight="1" s="15">
      <c r="AT1266" s="36">
        <f>IF(OR(AS1021="",AS1021=7),"","D")</f>
        <v/>
      </c>
      <c r="AU1266" s="36">
        <f>IF(OR(AS1021="",AS1021&gt;=6),"","D")</f>
        <v/>
      </c>
    </row>
    <row r="1267" hidden="1" outlineLevel="1" ht="15" customHeight="1" s="15">
      <c r="AT1267" s="36">
        <f>IF(OR(AS1021="",AS1021=7),"","A")</f>
        <v/>
      </c>
      <c r="AU1267" s="36">
        <f>IF(OR(AS1021="",AS1021&gt;=6),"","A")</f>
        <v/>
      </c>
    </row>
    <row r="1268" hidden="1" outlineLevel="1" ht="15" customHeight="1" s="15">
      <c r="AT1268" s="36">
        <f>IF(OR(AS1021="",AS1021=7),"","F")</f>
        <v/>
      </c>
      <c r="AU1268" s="36">
        <f>IF(OR(AS1021="",AS1021&gt;=6),"","F")</f>
        <v/>
      </c>
    </row>
    <row r="1269" hidden="1" outlineLevel="1" ht="15" customHeight="1" s="15">
      <c r="AT1269" s="36">
        <f>IF(OR(AS1021="",AS1021=7),"","C")</f>
        <v/>
      </c>
      <c r="AU1269" s="36">
        <f>IF(OR(AS1021="",AS1021&gt;=6),"","C")</f>
        <v/>
      </c>
    </row>
    <row r="1270" hidden="1" outlineLevel="1" ht="15" customHeight="1" s="15">
      <c r="AT1270" s="36">
        <f>IF(AND(AS1021&lt;&gt;"",AS1021=7),"R","")</f>
        <v/>
      </c>
      <c r="AU1270" s="36">
        <f>IF(AND(AS1021&lt;&gt;"",AS1021&gt;=6),"R","")</f>
        <v/>
      </c>
    </row>
    <row r="1271" ht="21.75" customHeight="1" s="15">
      <c r="B1271" s="6" t="inlineStr">
        <is>
          <t>ℹ  Grille de pointage Mai — P/D/A/F/C/R, jours prévus/réels/absence calculés (jours ouvrables réels, WEEKDAY). R ne se propose que le jour de repos (repos exceptionnellement travaillé, +majoration). Listes techniques et ligne de calendrier repliées par défaut.</t>
        </is>
      </c>
    </row>
    <row r="1273" ht="19.5" customHeight="1" s="15">
      <c r="B1273" s="71">
        <f>"  JUIN " &amp; PARAMETRES!$C$29</f>
        <v/>
      </c>
    </row>
    <row r="1274" hidden="1" ht="15" customHeight="1" s="15">
      <c r="B1274" s="36" t="inlineStr">
        <is>
          <t>Jour sem. (technique)</t>
        </is>
      </c>
      <c r="O1274" s="37">
        <f>IF(1&gt;DAY(EOMONTH(DATE(PARAMETRES!$C$29,6,1),0)),"",WEEKDAY(DATE(PARAMETRES!$C$29,6,1),2))</f>
        <v/>
      </c>
      <c r="P1274" s="37">
        <f>IF(2&gt;DAY(EOMONTH(DATE(PARAMETRES!$C$29,6,1),0)),"",WEEKDAY(DATE(PARAMETRES!$C$29,6,2),2))</f>
        <v/>
      </c>
      <c r="Q1274" s="37">
        <f>IF(3&gt;DAY(EOMONTH(DATE(PARAMETRES!$C$29,6,1),0)),"",WEEKDAY(DATE(PARAMETRES!$C$29,6,3),2))</f>
        <v/>
      </c>
      <c r="R1274" s="37">
        <f>IF(4&gt;DAY(EOMONTH(DATE(PARAMETRES!$C$29,6,1),0)),"",WEEKDAY(DATE(PARAMETRES!$C$29,6,4),2))</f>
        <v/>
      </c>
      <c r="S1274" s="37">
        <f>IF(5&gt;DAY(EOMONTH(DATE(PARAMETRES!$C$29,6,1),0)),"",WEEKDAY(DATE(PARAMETRES!$C$29,6,5),2))</f>
        <v/>
      </c>
      <c r="T1274" s="37">
        <f>IF(6&gt;DAY(EOMONTH(DATE(PARAMETRES!$C$29,6,1),0)),"",WEEKDAY(DATE(PARAMETRES!$C$29,6,6),2))</f>
        <v/>
      </c>
      <c r="U1274" s="37">
        <f>IF(7&gt;DAY(EOMONTH(DATE(PARAMETRES!$C$29,6,1),0)),"",WEEKDAY(DATE(PARAMETRES!$C$29,6,7),2))</f>
        <v/>
      </c>
      <c r="V1274" s="37">
        <f>IF(8&gt;DAY(EOMONTH(DATE(PARAMETRES!$C$29,6,1),0)),"",WEEKDAY(DATE(PARAMETRES!$C$29,6,8),2))</f>
        <v/>
      </c>
      <c r="W1274" s="37">
        <f>IF(9&gt;DAY(EOMONTH(DATE(PARAMETRES!$C$29,6,1),0)),"",WEEKDAY(DATE(PARAMETRES!$C$29,6,9),2))</f>
        <v/>
      </c>
      <c r="X1274" s="37">
        <f>IF(10&gt;DAY(EOMONTH(DATE(PARAMETRES!$C$29,6,1),0)),"",WEEKDAY(DATE(PARAMETRES!$C$29,6,10),2))</f>
        <v/>
      </c>
      <c r="Y1274" s="37">
        <f>IF(11&gt;DAY(EOMONTH(DATE(PARAMETRES!$C$29,6,1),0)),"",WEEKDAY(DATE(PARAMETRES!$C$29,6,11),2))</f>
        <v/>
      </c>
      <c r="Z1274" s="37">
        <f>IF(12&gt;DAY(EOMONTH(DATE(PARAMETRES!$C$29,6,1),0)),"",WEEKDAY(DATE(PARAMETRES!$C$29,6,12),2))</f>
        <v/>
      </c>
      <c r="AA1274" s="37">
        <f>IF(13&gt;DAY(EOMONTH(DATE(PARAMETRES!$C$29,6,1),0)),"",WEEKDAY(DATE(PARAMETRES!$C$29,6,13),2))</f>
        <v/>
      </c>
      <c r="AB1274" s="37">
        <f>IF(14&gt;DAY(EOMONTH(DATE(PARAMETRES!$C$29,6,1),0)),"",WEEKDAY(DATE(PARAMETRES!$C$29,6,14),2))</f>
        <v/>
      </c>
      <c r="AC1274" s="37">
        <f>IF(15&gt;DAY(EOMONTH(DATE(PARAMETRES!$C$29,6,1),0)),"",WEEKDAY(DATE(PARAMETRES!$C$29,6,15),2))</f>
        <v/>
      </c>
      <c r="AD1274" s="37">
        <f>IF(16&gt;DAY(EOMONTH(DATE(PARAMETRES!$C$29,6,1),0)),"",WEEKDAY(DATE(PARAMETRES!$C$29,6,16),2))</f>
        <v/>
      </c>
      <c r="AE1274" s="37">
        <f>IF(17&gt;DAY(EOMONTH(DATE(PARAMETRES!$C$29,6,1),0)),"",WEEKDAY(DATE(PARAMETRES!$C$29,6,17),2))</f>
        <v/>
      </c>
      <c r="AF1274" s="37">
        <f>IF(18&gt;DAY(EOMONTH(DATE(PARAMETRES!$C$29,6,1),0)),"",WEEKDAY(DATE(PARAMETRES!$C$29,6,18),2))</f>
        <v/>
      </c>
      <c r="AG1274" s="37">
        <f>IF(19&gt;DAY(EOMONTH(DATE(PARAMETRES!$C$29,6,1),0)),"",WEEKDAY(DATE(PARAMETRES!$C$29,6,19),2))</f>
        <v/>
      </c>
      <c r="AH1274" s="37">
        <f>IF(20&gt;DAY(EOMONTH(DATE(PARAMETRES!$C$29,6,1),0)),"",WEEKDAY(DATE(PARAMETRES!$C$29,6,20),2))</f>
        <v/>
      </c>
      <c r="AI1274" s="37">
        <f>IF(21&gt;DAY(EOMONTH(DATE(PARAMETRES!$C$29,6,1),0)),"",WEEKDAY(DATE(PARAMETRES!$C$29,6,21),2))</f>
        <v/>
      </c>
      <c r="AJ1274" s="37">
        <f>IF(22&gt;DAY(EOMONTH(DATE(PARAMETRES!$C$29,6,1),0)),"",WEEKDAY(DATE(PARAMETRES!$C$29,6,22),2))</f>
        <v/>
      </c>
      <c r="AK1274" s="37">
        <f>IF(23&gt;DAY(EOMONTH(DATE(PARAMETRES!$C$29,6,1),0)),"",WEEKDAY(DATE(PARAMETRES!$C$29,6,23),2))</f>
        <v/>
      </c>
      <c r="AL1274" s="37">
        <f>IF(24&gt;DAY(EOMONTH(DATE(PARAMETRES!$C$29,6,1),0)),"",WEEKDAY(DATE(PARAMETRES!$C$29,6,24),2))</f>
        <v/>
      </c>
      <c r="AM1274" s="37">
        <f>IF(25&gt;DAY(EOMONTH(DATE(PARAMETRES!$C$29,6,1),0)),"",WEEKDAY(DATE(PARAMETRES!$C$29,6,25),2))</f>
        <v/>
      </c>
      <c r="AN1274" s="37">
        <f>IF(26&gt;DAY(EOMONTH(DATE(PARAMETRES!$C$29,6,1),0)),"",WEEKDAY(DATE(PARAMETRES!$C$29,6,26),2))</f>
        <v/>
      </c>
      <c r="AO1274" s="37">
        <f>IF(27&gt;DAY(EOMONTH(DATE(PARAMETRES!$C$29,6,1),0)),"",WEEKDAY(DATE(PARAMETRES!$C$29,6,27),2))</f>
        <v/>
      </c>
      <c r="AP1274" s="37">
        <f>IF(28&gt;DAY(EOMONTH(DATE(PARAMETRES!$C$29,6,1),0)),"",WEEKDAY(DATE(PARAMETRES!$C$29,6,28),2))</f>
        <v/>
      </c>
      <c r="AQ1274" s="37">
        <f>IF(29&gt;DAY(EOMONTH(DATE(PARAMETRES!$C$29,6,1),0)),"",WEEKDAY(DATE(PARAMETRES!$C$29,6,29),2))</f>
        <v/>
      </c>
      <c r="AR1274" s="37">
        <f>IF(30&gt;DAY(EOMONTH(DATE(PARAMETRES!$C$29,6,1),0)),"",WEEKDAY(DATE(PARAMETRES!$C$29,6,30),2))</f>
        <v/>
      </c>
      <c r="AS1274" s="37">
        <f>IF(31&gt;DAY(EOMONTH(DATE(PARAMETRES!$C$29,6,1),0)),"",WEEKDAY(DATE(PARAMETRES!$C$29,6,31),2))</f>
        <v/>
      </c>
    </row>
    <row r="1275" ht="15" customHeight="1" s="15">
      <c r="B1275" s="38" t="inlineStr">
        <is>
          <t>Jour</t>
        </is>
      </c>
      <c r="O1275" s="39">
        <f>IF(O1274="","",CHOOSE(O1274,"L","M","M","J","V","S","D"))</f>
        <v/>
      </c>
      <c r="P1275" s="39">
        <f>IF(P1274="","",CHOOSE(P1274,"L","M","M","J","V","S","D"))</f>
        <v/>
      </c>
      <c r="Q1275" s="39">
        <f>IF(Q1274="","",CHOOSE(Q1274,"L","M","M","J","V","S","D"))</f>
        <v/>
      </c>
      <c r="R1275" s="39">
        <f>IF(R1274="","",CHOOSE(R1274,"L","M","M","J","V","S","D"))</f>
        <v/>
      </c>
      <c r="S1275" s="39">
        <f>IF(S1274="","",CHOOSE(S1274,"L","M","M","J","V","S","D"))</f>
        <v/>
      </c>
      <c r="T1275" s="39">
        <f>IF(T1274="","",CHOOSE(T1274,"L","M","M","J","V","S","D"))</f>
        <v/>
      </c>
      <c r="U1275" s="39">
        <f>IF(U1274="","",CHOOSE(U1274,"L","M","M","J","V","S","D"))</f>
        <v/>
      </c>
      <c r="V1275" s="39">
        <f>IF(V1274="","",CHOOSE(V1274,"L","M","M","J","V","S","D"))</f>
        <v/>
      </c>
      <c r="W1275" s="39">
        <f>IF(W1274="","",CHOOSE(W1274,"L","M","M","J","V","S","D"))</f>
        <v/>
      </c>
      <c r="X1275" s="39">
        <f>IF(X1274="","",CHOOSE(X1274,"L","M","M","J","V","S","D"))</f>
        <v/>
      </c>
      <c r="Y1275" s="39">
        <f>IF(Y1274="","",CHOOSE(Y1274,"L","M","M","J","V","S","D"))</f>
        <v/>
      </c>
      <c r="Z1275" s="39">
        <f>IF(Z1274="","",CHOOSE(Z1274,"L","M","M","J","V","S","D"))</f>
        <v/>
      </c>
      <c r="AA1275" s="39">
        <f>IF(AA1274="","",CHOOSE(AA1274,"L","M","M","J","V","S","D"))</f>
        <v/>
      </c>
      <c r="AB1275" s="39">
        <f>IF(AB1274="","",CHOOSE(AB1274,"L","M","M","J","V","S","D"))</f>
        <v/>
      </c>
      <c r="AC1275" s="39">
        <f>IF(AC1274="","",CHOOSE(AC1274,"L","M","M","J","V","S","D"))</f>
        <v/>
      </c>
      <c r="AD1275" s="39">
        <f>IF(AD1274="","",CHOOSE(AD1274,"L","M","M","J","V","S","D"))</f>
        <v/>
      </c>
      <c r="AE1275" s="39">
        <f>IF(AE1274="","",CHOOSE(AE1274,"L","M","M","J","V","S","D"))</f>
        <v/>
      </c>
      <c r="AF1275" s="39">
        <f>IF(AF1274="","",CHOOSE(AF1274,"L","M","M","J","V","S","D"))</f>
        <v/>
      </c>
      <c r="AG1275" s="39">
        <f>IF(AG1274="","",CHOOSE(AG1274,"L","M","M","J","V","S","D"))</f>
        <v/>
      </c>
      <c r="AH1275" s="39">
        <f>IF(AH1274="","",CHOOSE(AH1274,"L","M","M","J","V","S","D"))</f>
        <v/>
      </c>
      <c r="AI1275" s="39">
        <f>IF(AI1274="","",CHOOSE(AI1274,"L","M","M","J","V","S","D"))</f>
        <v/>
      </c>
      <c r="AJ1275" s="39">
        <f>IF(AJ1274="","",CHOOSE(AJ1274,"L","M","M","J","V","S","D"))</f>
        <v/>
      </c>
      <c r="AK1275" s="39">
        <f>IF(AK1274="","",CHOOSE(AK1274,"L","M","M","J","V","S","D"))</f>
        <v/>
      </c>
      <c r="AL1275" s="39">
        <f>IF(AL1274="","",CHOOSE(AL1274,"L","M","M","J","V","S","D"))</f>
        <v/>
      </c>
      <c r="AM1275" s="39">
        <f>IF(AM1274="","",CHOOSE(AM1274,"L","M","M","J","V","S","D"))</f>
        <v/>
      </c>
      <c r="AN1275" s="39">
        <f>IF(AN1274="","",CHOOSE(AN1274,"L","M","M","J","V","S","D"))</f>
        <v/>
      </c>
      <c r="AO1275" s="39">
        <f>IF(AO1274="","",CHOOSE(AO1274,"L","M","M","J","V","S","D"))</f>
        <v/>
      </c>
      <c r="AP1275" s="39">
        <f>IF(AP1274="","",CHOOSE(AP1274,"L","M","M","J","V","S","D"))</f>
        <v/>
      </c>
      <c r="AQ1275" s="39">
        <f>IF(AQ1274="","",CHOOSE(AQ1274,"L","M","M","J","V","S","D"))</f>
        <v/>
      </c>
      <c r="AR1275" s="39">
        <f>IF(AR1274="","",CHOOSE(AR1274,"L","M","M","J","V","S","D"))</f>
        <v/>
      </c>
      <c r="AS1275" s="39">
        <f>IF(AS1274="","",CHOOSE(AS1274,"L","M","M","J","V","S","D"))</f>
        <v/>
      </c>
    </row>
    <row r="1276" ht="24" customHeight="1" s="15">
      <c r="B1276" s="40" t="inlineStr">
        <is>
          <t>Mois</t>
        </is>
      </c>
      <c r="C1276" s="40" t="inlineStr">
        <is>
          <t>Matricule</t>
        </is>
      </c>
      <c r="D1276" s="40" t="inlineStr">
        <is>
          <t>Nom complet</t>
        </is>
      </c>
      <c r="E1276" s="40" t="inlineStr">
        <is>
          <t>Heures
sup.</t>
        </is>
      </c>
      <c r="F1276" s="40" t="inlineStr">
        <is>
          <t>Primes
(CDF)</t>
        </is>
      </c>
      <c r="G1276" s="40" t="inlineStr">
        <is>
          <t>Jours
abs.</t>
        </is>
      </c>
      <c r="H1276" s="40" t="inlineStr">
        <is>
          <t>Avance
(CDF)</t>
        </is>
      </c>
      <c r="I1276" s="40" t="inlineStr">
        <is>
          <t>Contrôle
auto.</t>
        </is>
      </c>
      <c r="J1276" s="40" t="inlineStr">
        <is>
          <t>Retenues
(CDF)</t>
        </is>
      </c>
      <c r="K1276" s="40" t="inlineStr">
        <is>
          <t>Motif</t>
        </is>
      </c>
      <c r="L1276" s="40" t="inlineStr">
        <is>
          <t>Observ.</t>
        </is>
      </c>
      <c r="M1276" s="40" t="inlineStr">
        <is>
          <t>Jours
prévus</t>
        </is>
      </c>
      <c r="N1276" s="40" t="inlineStr">
        <is>
          <t>Jours
réels</t>
        </is>
      </c>
      <c r="O1276" s="40" t="n">
        <v>1</v>
      </c>
      <c r="P1276" s="40" t="n">
        <v>2</v>
      </c>
      <c r="Q1276" s="40" t="n">
        <v>3</v>
      </c>
      <c r="R1276" s="40" t="n">
        <v>4</v>
      </c>
      <c r="S1276" s="40" t="n">
        <v>5</v>
      </c>
      <c r="T1276" s="40" t="n">
        <v>6</v>
      </c>
      <c r="U1276" s="40" t="n">
        <v>7</v>
      </c>
      <c r="V1276" s="40" t="n">
        <v>8</v>
      </c>
      <c r="W1276" s="40" t="n">
        <v>9</v>
      </c>
      <c r="X1276" s="40" t="n">
        <v>10</v>
      </c>
      <c r="Y1276" s="40" t="n">
        <v>11</v>
      </c>
      <c r="Z1276" s="40" t="n">
        <v>12</v>
      </c>
      <c r="AA1276" s="40" t="n">
        <v>13</v>
      </c>
      <c r="AB1276" s="40" t="n">
        <v>14</v>
      </c>
      <c r="AC1276" s="40" t="n">
        <v>15</v>
      </c>
      <c r="AD1276" s="40" t="n">
        <v>16</v>
      </c>
      <c r="AE1276" s="40" t="n">
        <v>17</v>
      </c>
      <c r="AF1276" s="40" t="n">
        <v>18</v>
      </c>
      <c r="AG1276" s="40" t="n">
        <v>19</v>
      </c>
      <c r="AH1276" s="40" t="n">
        <v>20</v>
      </c>
      <c r="AI1276" s="40" t="n">
        <v>21</v>
      </c>
      <c r="AJ1276" s="40" t="n">
        <v>22</v>
      </c>
      <c r="AK1276" s="40" t="n">
        <v>23</v>
      </c>
      <c r="AL1276" s="40" t="n">
        <v>24</v>
      </c>
      <c r="AM1276" s="40" t="n">
        <v>25</v>
      </c>
      <c r="AN1276" s="40" t="n">
        <v>26</v>
      </c>
      <c r="AO1276" s="40" t="n">
        <v>27</v>
      </c>
      <c r="AP1276" s="40" t="n">
        <v>28</v>
      </c>
      <c r="AQ1276" s="40" t="n">
        <v>29</v>
      </c>
      <c r="AR1276" s="40" t="n">
        <v>30</v>
      </c>
      <c r="AS1276" s="40" t="n">
        <v>31</v>
      </c>
      <c r="AY1276" s="40" t="inlineStr">
        <is>
          <t>Heures
nuit</t>
        </is>
      </c>
    </row>
    <row r="1277" hidden="1" outlineLevel="1" ht="15" customHeight="1" s="15">
      <c r="B1277" s="41" t="n">
        <v>6</v>
      </c>
      <c r="C1277" s="42">
        <f>IF(EMPLOYES!C15="","",EMPLOYES!C15)</f>
        <v/>
      </c>
      <c r="D1277" s="43">
        <f>IF(EMPLOYES!C15="","",EMPLOYES!D15)</f>
        <v/>
      </c>
      <c r="E1277" s="44" t="n"/>
      <c r="F1277" s="42" t="n"/>
      <c r="G1277" s="41">
        <f>IF($C1277="",0,MAX(0,$M1277-$N1277))</f>
        <v/>
      </c>
      <c r="H1277" s="45" t="n"/>
      <c r="I1277" s="41">
        <f>IF($C1277="","",IF(H1277="","OK",IF(H1277&gt;EMPLOYES!P15,"⚠ Avance &gt; salaire",IF(H1277&gt;EMPLOYES!P15*PARAMETRES!$C$218,"⚠ Avance élevée","OK"))))</f>
        <v/>
      </c>
      <c r="J1277" s="45" t="n"/>
      <c r="K1277" s="46" t="n"/>
      <c r="L1277" s="46" t="n"/>
      <c r="M1277" s="41">
        <f>IF($C1277="","",SUMPRODUCT((PARAMETRES!$B$38:$B$157=PARAMETRES!$C$29)*(PARAMETRES!$C$38:$C$157=6)*(IF(EMPLOYES!M15="5j",PARAMETRES!$I$38:$I$157,PARAMETRES!$H$38:$H$157))))</f>
        <v/>
      </c>
      <c r="N1277" s="41">
        <f>IF($C1277="","",SUMPRODUCT((O1277:AS1277="P")+(O1277:AS1277="F")+(O1277:AS1277="C")+0.5*(O1277:AS1277="D"),(1-((O1274:AS1274=6)*(EMPLOYES!M15="5j")))))</f>
        <v/>
      </c>
      <c r="O1277" s="46" t="n"/>
      <c r="P1277" s="46" t="n"/>
      <c r="Q1277" s="46" t="n"/>
      <c r="R1277" s="46" t="n"/>
      <c r="S1277" s="46" t="n"/>
      <c r="T1277" s="46" t="n"/>
      <c r="U1277" s="46" t="n"/>
      <c r="V1277" s="46" t="n"/>
      <c r="W1277" s="46" t="n"/>
      <c r="X1277" s="46" t="n"/>
      <c r="Y1277" s="46" t="n"/>
      <c r="Z1277" s="46" t="n"/>
      <c r="AA1277" s="46" t="n"/>
      <c r="AB1277" s="46" t="n"/>
      <c r="AC1277" s="46" t="n"/>
      <c r="AD1277" s="46" t="n"/>
      <c r="AE1277" s="46" t="n"/>
      <c r="AF1277" s="46" t="n"/>
      <c r="AG1277" s="46" t="n"/>
      <c r="AH1277" s="46" t="n"/>
      <c r="AI1277" s="46" t="n"/>
      <c r="AJ1277" s="46" t="n"/>
      <c r="AK1277" s="46" t="n"/>
      <c r="AL1277" s="46" t="n"/>
      <c r="AM1277" s="46" t="n"/>
      <c r="AN1277" s="46" t="n"/>
      <c r="AO1277" s="46" t="n"/>
      <c r="AP1277" s="46" t="n"/>
      <c r="AQ1277" s="46" t="n"/>
      <c r="AR1277" s="46" t="n"/>
      <c r="AS1277" s="46" t="n"/>
      <c r="AV1277" s="36">
        <f>IF($C1277="","",EMPLOYES!M15)</f>
        <v/>
      </c>
      <c r="AW1277" s="36">
        <f>IF($C1277="",0,SUMPRODUCT(--(O1277:AS1277="C")))</f>
        <v/>
      </c>
      <c r="AX1277" s="36">
        <f>IF($C1277="",0,SUMPRODUCT(--(O1277:AS1277="R")))</f>
        <v/>
      </c>
      <c r="AY1277" s="44" t="n"/>
    </row>
    <row r="1278" hidden="1" outlineLevel="1" ht="15" customHeight="1" s="15">
      <c r="B1278" s="41" t="n">
        <v>6</v>
      </c>
      <c r="C1278" s="42">
        <f>IF(EMPLOYES!C16="","",EMPLOYES!C16)</f>
        <v/>
      </c>
      <c r="D1278" s="43">
        <f>IF(EMPLOYES!C16="","",EMPLOYES!D16)</f>
        <v/>
      </c>
      <c r="E1278" s="44" t="n"/>
      <c r="F1278" s="42" t="n"/>
      <c r="G1278" s="41">
        <f>IF($C1278="",0,MAX(0,$M1278-$N1278))</f>
        <v/>
      </c>
      <c r="H1278" s="45" t="n"/>
      <c r="I1278" s="41">
        <f>IF($C1278="","",IF(H1278="","OK",IF(H1278&gt;EMPLOYES!P16,"⚠ Avance &gt; salaire",IF(H1278&gt;EMPLOYES!P16*PARAMETRES!$C$218,"⚠ Avance élevée","OK"))))</f>
        <v/>
      </c>
      <c r="J1278" s="45" t="n"/>
      <c r="K1278" s="46" t="n"/>
      <c r="L1278" s="46" t="n"/>
      <c r="M1278" s="41">
        <f>IF($C1278="","",SUMPRODUCT((PARAMETRES!$B$38:$B$157=PARAMETRES!$C$29)*(PARAMETRES!$C$38:$C$157=6)*(IF(EMPLOYES!M16="5j",PARAMETRES!$I$38:$I$157,PARAMETRES!$H$38:$H$157))))</f>
        <v/>
      </c>
      <c r="N1278" s="41">
        <f>IF($C1278="","",SUMPRODUCT((O1278:AS1278="P")+(O1278:AS1278="F")+(O1278:AS1278="C")+0.5*(O1278:AS1278="D"),(1-((O1274:AS1274=6)*(EMPLOYES!M16="5j")))))</f>
        <v/>
      </c>
      <c r="O1278" s="46" t="n"/>
      <c r="P1278" s="46" t="n"/>
      <c r="Q1278" s="46" t="n"/>
      <c r="R1278" s="46" t="n"/>
      <c r="S1278" s="46" t="n"/>
      <c r="T1278" s="46" t="n"/>
      <c r="U1278" s="46" t="n"/>
      <c r="V1278" s="46" t="n"/>
      <c r="W1278" s="46" t="n"/>
      <c r="X1278" s="46" t="n"/>
      <c r="Y1278" s="46" t="n"/>
      <c r="Z1278" s="46" t="n"/>
      <c r="AA1278" s="46" t="n"/>
      <c r="AB1278" s="46" t="n"/>
      <c r="AC1278" s="46" t="n"/>
      <c r="AD1278" s="46" t="n"/>
      <c r="AE1278" s="46" t="n"/>
      <c r="AF1278" s="46" t="n"/>
      <c r="AG1278" s="46" t="n"/>
      <c r="AH1278" s="46" t="n"/>
      <c r="AI1278" s="46" t="n"/>
      <c r="AJ1278" s="46" t="n"/>
      <c r="AK1278" s="46" t="n"/>
      <c r="AL1278" s="46" t="n"/>
      <c r="AM1278" s="46" t="n"/>
      <c r="AN1278" s="46" t="n"/>
      <c r="AO1278" s="46" t="n"/>
      <c r="AP1278" s="46" t="n"/>
      <c r="AQ1278" s="46" t="n"/>
      <c r="AR1278" s="46" t="n"/>
      <c r="AS1278" s="46" t="n"/>
      <c r="AV1278" s="36">
        <f>IF($C1278="","",EMPLOYES!M16)</f>
        <v/>
      </c>
      <c r="AW1278" s="36">
        <f>IF($C1278="",0,SUMPRODUCT(--(O1278:AS1278="C")))</f>
        <v/>
      </c>
      <c r="AX1278" s="36">
        <f>IF($C1278="",0,SUMPRODUCT(--(O1278:AS1278="R")))</f>
        <v/>
      </c>
      <c r="AY1278" s="44" t="n"/>
    </row>
    <row r="1279" hidden="1" outlineLevel="1" ht="15" customHeight="1" s="15">
      <c r="B1279" s="41" t="n">
        <v>6</v>
      </c>
      <c r="C1279" s="42">
        <f>IF(EMPLOYES!C17="","",EMPLOYES!C17)</f>
        <v/>
      </c>
      <c r="D1279" s="43">
        <f>IF(EMPLOYES!C17="","",EMPLOYES!D17)</f>
        <v/>
      </c>
      <c r="E1279" s="44" t="n"/>
      <c r="F1279" s="42" t="n"/>
      <c r="G1279" s="41">
        <f>IF($C1279="",0,MAX(0,$M1279-$N1279))</f>
        <v/>
      </c>
      <c r="H1279" s="45" t="n"/>
      <c r="I1279" s="41">
        <f>IF($C1279="","",IF(H1279="","OK",IF(H1279&gt;EMPLOYES!P17,"⚠ Avance &gt; salaire",IF(H1279&gt;EMPLOYES!P17*PARAMETRES!$C$218,"⚠ Avance élevée","OK"))))</f>
        <v/>
      </c>
      <c r="J1279" s="45" t="n"/>
      <c r="K1279" s="46" t="n"/>
      <c r="L1279" s="46" t="n"/>
      <c r="M1279" s="41">
        <f>IF($C1279="","",SUMPRODUCT((PARAMETRES!$B$38:$B$157=PARAMETRES!$C$29)*(PARAMETRES!$C$38:$C$157=6)*(IF(EMPLOYES!M17="5j",PARAMETRES!$I$38:$I$157,PARAMETRES!$H$38:$H$157))))</f>
        <v/>
      </c>
      <c r="N1279" s="41">
        <f>IF($C1279="","",SUMPRODUCT((O1279:AS1279="P")+(O1279:AS1279="F")+(O1279:AS1279="C")+0.5*(O1279:AS1279="D"),(1-((O1274:AS1274=6)*(EMPLOYES!M17="5j")))))</f>
        <v/>
      </c>
      <c r="O1279" s="46" t="n"/>
      <c r="P1279" s="46" t="n"/>
      <c r="Q1279" s="46" t="n"/>
      <c r="R1279" s="46" t="n"/>
      <c r="S1279" s="46" t="n"/>
      <c r="T1279" s="46" t="n"/>
      <c r="U1279" s="46" t="n"/>
      <c r="V1279" s="46" t="n"/>
      <c r="W1279" s="46" t="n"/>
      <c r="X1279" s="46" t="n"/>
      <c r="Y1279" s="46" t="n"/>
      <c r="Z1279" s="46" t="n"/>
      <c r="AA1279" s="46" t="n"/>
      <c r="AB1279" s="46" t="n"/>
      <c r="AC1279" s="46" t="n"/>
      <c r="AD1279" s="46" t="n"/>
      <c r="AE1279" s="46" t="n"/>
      <c r="AF1279" s="46" t="n"/>
      <c r="AG1279" s="46" t="n"/>
      <c r="AH1279" s="46" t="n"/>
      <c r="AI1279" s="46" t="n"/>
      <c r="AJ1279" s="46" t="n"/>
      <c r="AK1279" s="46" t="n"/>
      <c r="AL1279" s="46" t="n"/>
      <c r="AM1279" s="46" t="n"/>
      <c r="AN1279" s="46" t="n"/>
      <c r="AO1279" s="46" t="n"/>
      <c r="AP1279" s="46" t="n"/>
      <c r="AQ1279" s="46" t="n"/>
      <c r="AR1279" s="46" t="n"/>
      <c r="AS1279" s="46" t="n"/>
      <c r="AV1279" s="36">
        <f>IF($C1279="","",EMPLOYES!M17)</f>
        <v/>
      </c>
      <c r="AW1279" s="36">
        <f>IF($C1279="",0,SUMPRODUCT(--(O1279:AS1279="C")))</f>
        <v/>
      </c>
      <c r="AX1279" s="36">
        <f>IF($C1279="",0,SUMPRODUCT(--(O1279:AS1279="R")))</f>
        <v/>
      </c>
      <c r="AY1279" s="44" t="n"/>
    </row>
    <row r="1280" hidden="1" outlineLevel="1" ht="15" customHeight="1" s="15">
      <c r="B1280" s="41" t="n">
        <v>6</v>
      </c>
      <c r="C1280" s="42">
        <f>IF(EMPLOYES!C18="","",EMPLOYES!C18)</f>
        <v/>
      </c>
      <c r="D1280" s="43">
        <f>IF(EMPLOYES!C18="","",EMPLOYES!D18)</f>
        <v/>
      </c>
      <c r="E1280" s="44" t="n"/>
      <c r="F1280" s="42" t="n"/>
      <c r="G1280" s="41">
        <f>IF($C1280="",0,MAX(0,$M1280-$N1280))</f>
        <v/>
      </c>
      <c r="H1280" s="45" t="n"/>
      <c r="I1280" s="41">
        <f>IF($C1280="","",IF(H1280="","OK",IF(H1280&gt;EMPLOYES!P18,"⚠ Avance &gt; salaire",IF(H1280&gt;EMPLOYES!P18*PARAMETRES!$C$218,"⚠ Avance élevée","OK"))))</f>
        <v/>
      </c>
      <c r="J1280" s="45" t="n"/>
      <c r="K1280" s="46" t="n"/>
      <c r="L1280" s="46" t="n"/>
      <c r="M1280" s="41">
        <f>IF($C1280="","",SUMPRODUCT((PARAMETRES!$B$38:$B$157=PARAMETRES!$C$29)*(PARAMETRES!$C$38:$C$157=6)*(IF(EMPLOYES!M18="5j",PARAMETRES!$I$38:$I$157,PARAMETRES!$H$38:$H$157))))</f>
        <v/>
      </c>
      <c r="N1280" s="41">
        <f>IF($C1280="","",SUMPRODUCT((O1280:AS1280="P")+(O1280:AS1280="F")+(O1280:AS1280="C")+0.5*(O1280:AS1280="D"),(1-((O1274:AS1274=6)*(EMPLOYES!M18="5j")))))</f>
        <v/>
      </c>
      <c r="O1280" s="46" t="n"/>
      <c r="P1280" s="46" t="n"/>
      <c r="Q1280" s="46" t="n"/>
      <c r="R1280" s="46" t="n"/>
      <c r="S1280" s="46" t="n"/>
      <c r="T1280" s="46" t="n"/>
      <c r="U1280" s="46" t="n"/>
      <c r="V1280" s="46" t="n"/>
      <c r="W1280" s="46" t="n"/>
      <c r="X1280" s="46" t="n"/>
      <c r="Y1280" s="46" t="n"/>
      <c r="Z1280" s="46" t="n"/>
      <c r="AA1280" s="46" t="n"/>
      <c r="AB1280" s="46" t="n"/>
      <c r="AC1280" s="46" t="n"/>
      <c r="AD1280" s="46" t="n"/>
      <c r="AE1280" s="46" t="n"/>
      <c r="AF1280" s="46" t="n"/>
      <c r="AG1280" s="46" t="n"/>
      <c r="AH1280" s="46" t="n"/>
      <c r="AI1280" s="46" t="n"/>
      <c r="AJ1280" s="46" t="n"/>
      <c r="AK1280" s="46" t="n"/>
      <c r="AL1280" s="46" t="n"/>
      <c r="AM1280" s="46" t="n"/>
      <c r="AN1280" s="46" t="n"/>
      <c r="AO1280" s="46" t="n"/>
      <c r="AP1280" s="46" t="n"/>
      <c r="AQ1280" s="46" t="n"/>
      <c r="AR1280" s="46" t="n"/>
      <c r="AS1280" s="46" t="n"/>
      <c r="AV1280" s="36">
        <f>IF($C1280="","",EMPLOYES!M18)</f>
        <v/>
      </c>
      <c r="AW1280" s="36">
        <f>IF($C1280="",0,SUMPRODUCT(--(O1280:AS1280="C")))</f>
        <v/>
      </c>
      <c r="AX1280" s="36">
        <f>IF($C1280="",0,SUMPRODUCT(--(O1280:AS1280="R")))</f>
        <v/>
      </c>
      <c r="AY1280" s="44" t="n"/>
    </row>
    <row r="1281" hidden="1" outlineLevel="1" ht="15" customHeight="1" s="15">
      <c r="B1281" s="41" t="n">
        <v>6</v>
      </c>
      <c r="C1281" s="42">
        <f>IF(EMPLOYES!C19="","",EMPLOYES!C19)</f>
        <v/>
      </c>
      <c r="D1281" s="43">
        <f>IF(EMPLOYES!C19="","",EMPLOYES!D19)</f>
        <v/>
      </c>
      <c r="E1281" s="44" t="n"/>
      <c r="F1281" s="42" t="n"/>
      <c r="G1281" s="41">
        <f>IF($C1281="",0,MAX(0,$M1281-$N1281))</f>
        <v/>
      </c>
      <c r="H1281" s="45" t="n"/>
      <c r="I1281" s="41">
        <f>IF($C1281="","",IF(H1281="","OK",IF(H1281&gt;EMPLOYES!P19,"⚠ Avance &gt; salaire",IF(H1281&gt;EMPLOYES!P19*PARAMETRES!$C$218,"⚠ Avance élevée","OK"))))</f>
        <v/>
      </c>
      <c r="J1281" s="45" t="n"/>
      <c r="K1281" s="46" t="n"/>
      <c r="L1281" s="46" t="n"/>
      <c r="M1281" s="41">
        <f>IF($C1281="","",SUMPRODUCT((PARAMETRES!$B$38:$B$157=PARAMETRES!$C$29)*(PARAMETRES!$C$38:$C$157=6)*(IF(EMPLOYES!M19="5j",PARAMETRES!$I$38:$I$157,PARAMETRES!$H$38:$H$157))))</f>
        <v/>
      </c>
      <c r="N1281" s="41">
        <f>IF($C1281="","",SUMPRODUCT((O1281:AS1281="P")+(O1281:AS1281="F")+(O1281:AS1281="C")+0.5*(O1281:AS1281="D"),(1-((O1274:AS1274=6)*(EMPLOYES!M19="5j")))))</f>
        <v/>
      </c>
      <c r="O1281" s="46" t="n"/>
      <c r="P1281" s="46" t="n"/>
      <c r="Q1281" s="46" t="n"/>
      <c r="R1281" s="46" t="n"/>
      <c r="S1281" s="46" t="n"/>
      <c r="T1281" s="46" t="n"/>
      <c r="U1281" s="46" t="n"/>
      <c r="V1281" s="46" t="n"/>
      <c r="W1281" s="46" t="n"/>
      <c r="X1281" s="46" t="n"/>
      <c r="Y1281" s="46" t="n"/>
      <c r="Z1281" s="46" t="n"/>
      <c r="AA1281" s="46" t="n"/>
      <c r="AB1281" s="46" t="n"/>
      <c r="AC1281" s="46" t="n"/>
      <c r="AD1281" s="46" t="n"/>
      <c r="AE1281" s="46" t="n"/>
      <c r="AF1281" s="46" t="n"/>
      <c r="AG1281" s="46" t="n"/>
      <c r="AH1281" s="46" t="n"/>
      <c r="AI1281" s="46" t="n"/>
      <c r="AJ1281" s="46" t="n"/>
      <c r="AK1281" s="46" t="n"/>
      <c r="AL1281" s="46" t="n"/>
      <c r="AM1281" s="46" t="n"/>
      <c r="AN1281" s="46" t="n"/>
      <c r="AO1281" s="46" t="n"/>
      <c r="AP1281" s="46" t="n"/>
      <c r="AQ1281" s="46" t="n"/>
      <c r="AR1281" s="46" t="n"/>
      <c r="AS1281" s="46" t="n"/>
      <c r="AV1281" s="36">
        <f>IF($C1281="","",EMPLOYES!M19)</f>
        <v/>
      </c>
      <c r="AW1281" s="36">
        <f>IF($C1281="",0,SUMPRODUCT(--(O1281:AS1281="C")))</f>
        <v/>
      </c>
      <c r="AX1281" s="36">
        <f>IF($C1281="",0,SUMPRODUCT(--(O1281:AS1281="R")))</f>
        <v/>
      </c>
      <c r="AY1281" s="44" t="n"/>
    </row>
    <row r="1282" hidden="1" outlineLevel="1" ht="15" customHeight="1" s="15">
      <c r="B1282" s="41" t="n">
        <v>6</v>
      </c>
      <c r="C1282" s="42">
        <f>IF(EMPLOYES!C20="","",EMPLOYES!C20)</f>
        <v/>
      </c>
      <c r="D1282" s="43">
        <f>IF(EMPLOYES!C20="","",EMPLOYES!D20)</f>
        <v/>
      </c>
      <c r="E1282" s="44" t="n"/>
      <c r="F1282" s="42" t="n"/>
      <c r="G1282" s="41">
        <f>IF($C1282="",0,MAX(0,$M1282-$N1282))</f>
        <v/>
      </c>
      <c r="H1282" s="45" t="n"/>
      <c r="I1282" s="41">
        <f>IF($C1282="","",IF(H1282="","OK",IF(H1282&gt;EMPLOYES!P20,"⚠ Avance &gt; salaire",IF(H1282&gt;EMPLOYES!P20*PARAMETRES!$C$218,"⚠ Avance élevée","OK"))))</f>
        <v/>
      </c>
      <c r="J1282" s="45" t="n"/>
      <c r="K1282" s="46" t="n"/>
      <c r="L1282" s="46" t="n"/>
      <c r="M1282" s="41">
        <f>IF($C1282="","",SUMPRODUCT((PARAMETRES!$B$38:$B$157=PARAMETRES!$C$29)*(PARAMETRES!$C$38:$C$157=6)*(IF(EMPLOYES!M20="5j",PARAMETRES!$I$38:$I$157,PARAMETRES!$H$38:$H$157))))</f>
        <v/>
      </c>
      <c r="N1282" s="41">
        <f>IF($C1282="","",SUMPRODUCT((O1282:AS1282="P")+(O1282:AS1282="F")+(O1282:AS1282="C")+0.5*(O1282:AS1282="D"),(1-((O1274:AS1274=6)*(EMPLOYES!M20="5j")))))</f>
        <v/>
      </c>
      <c r="O1282" s="46" t="n"/>
      <c r="P1282" s="46" t="n"/>
      <c r="Q1282" s="46" t="n"/>
      <c r="R1282" s="46" t="n"/>
      <c r="S1282" s="46" t="n"/>
      <c r="T1282" s="46" t="n"/>
      <c r="U1282" s="46" t="n"/>
      <c r="V1282" s="46" t="n"/>
      <c r="W1282" s="46" t="n"/>
      <c r="X1282" s="46" t="n"/>
      <c r="Y1282" s="46" t="n"/>
      <c r="Z1282" s="46" t="n"/>
      <c r="AA1282" s="46" t="n"/>
      <c r="AB1282" s="46" t="n"/>
      <c r="AC1282" s="46" t="n"/>
      <c r="AD1282" s="46" t="n"/>
      <c r="AE1282" s="46" t="n"/>
      <c r="AF1282" s="46" t="n"/>
      <c r="AG1282" s="46" t="n"/>
      <c r="AH1282" s="46" t="n"/>
      <c r="AI1282" s="46" t="n"/>
      <c r="AJ1282" s="46" t="n"/>
      <c r="AK1282" s="46" t="n"/>
      <c r="AL1282" s="46" t="n"/>
      <c r="AM1282" s="46" t="n"/>
      <c r="AN1282" s="46" t="n"/>
      <c r="AO1282" s="46" t="n"/>
      <c r="AP1282" s="46" t="n"/>
      <c r="AQ1282" s="46" t="n"/>
      <c r="AR1282" s="46" t="n"/>
      <c r="AS1282" s="46" t="n"/>
      <c r="AV1282" s="36">
        <f>IF($C1282="","",EMPLOYES!M20)</f>
        <v/>
      </c>
      <c r="AW1282" s="36">
        <f>IF($C1282="",0,SUMPRODUCT(--(O1282:AS1282="C")))</f>
        <v/>
      </c>
      <c r="AX1282" s="36">
        <f>IF($C1282="",0,SUMPRODUCT(--(O1282:AS1282="R")))</f>
        <v/>
      </c>
      <c r="AY1282" s="44" t="n"/>
    </row>
    <row r="1283" hidden="1" outlineLevel="1" ht="15" customHeight="1" s="15">
      <c r="B1283" s="41" t="n">
        <v>6</v>
      </c>
      <c r="C1283" s="42">
        <f>IF(EMPLOYES!C21="","",EMPLOYES!C21)</f>
        <v/>
      </c>
      <c r="D1283" s="43">
        <f>IF(EMPLOYES!C21="","",EMPLOYES!D21)</f>
        <v/>
      </c>
      <c r="E1283" s="44" t="n"/>
      <c r="F1283" s="42" t="n"/>
      <c r="G1283" s="41">
        <f>IF($C1283="",0,MAX(0,$M1283-$N1283))</f>
        <v/>
      </c>
      <c r="H1283" s="45" t="n"/>
      <c r="I1283" s="41">
        <f>IF($C1283="","",IF(H1283="","OK",IF(H1283&gt;EMPLOYES!P21,"⚠ Avance &gt; salaire",IF(H1283&gt;EMPLOYES!P21*PARAMETRES!$C$218,"⚠ Avance élevée","OK"))))</f>
        <v/>
      </c>
      <c r="J1283" s="45" t="n"/>
      <c r="K1283" s="46" t="n"/>
      <c r="L1283" s="46" t="n"/>
      <c r="M1283" s="41">
        <f>IF($C1283="","",SUMPRODUCT((PARAMETRES!$B$38:$B$157=PARAMETRES!$C$29)*(PARAMETRES!$C$38:$C$157=6)*(IF(EMPLOYES!M21="5j",PARAMETRES!$I$38:$I$157,PARAMETRES!$H$38:$H$157))))</f>
        <v/>
      </c>
      <c r="N1283" s="41">
        <f>IF($C1283="","",SUMPRODUCT((O1283:AS1283="P")+(O1283:AS1283="F")+(O1283:AS1283="C")+0.5*(O1283:AS1283="D"),(1-((O1274:AS1274=6)*(EMPLOYES!M21="5j")))))</f>
        <v/>
      </c>
      <c r="O1283" s="46" t="n"/>
      <c r="P1283" s="46" t="n"/>
      <c r="Q1283" s="46" t="n"/>
      <c r="R1283" s="46" t="n"/>
      <c r="S1283" s="46" t="n"/>
      <c r="T1283" s="46" t="n"/>
      <c r="U1283" s="46" t="n"/>
      <c r="V1283" s="46" t="n"/>
      <c r="W1283" s="46" t="n"/>
      <c r="X1283" s="46" t="n"/>
      <c r="Y1283" s="46" t="n"/>
      <c r="Z1283" s="46" t="n"/>
      <c r="AA1283" s="46" t="n"/>
      <c r="AB1283" s="46" t="n"/>
      <c r="AC1283" s="46" t="n"/>
      <c r="AD1283" s="46" t="n"/>
      <c r="AE1283" s="46" t="n"/>
      <c r="AF1283" s="46" t="n"/>
      <c r="AG1283" s="46" t="n"/>
      <c r="AH1283" s="46" t="n"/>
      <c r="AI1283" s="46" t="n"/>
      <c r="AJ1283" s="46" t="n"/>
      <c r="AK1283" s="46" t="n"/>
      <c r="AL1283" s="46" t="n"/>
      <c r="AM1283" s="46" t="n"/>
      <c r="AN1283" s="46" t="n"/>
      <c r="AO1283" s="46" t="n"/>
      <c r="AP1283" s="46" t="n"/>
      <c r="AQ1283" s="46" t="n"/>
      <c r="AR1283" s="46" t="n"/>
      <c r="AS1283" s="46" t="n"/>
      <c r="AV1283" s="36">
        <f>IF($C1283="","",EMPLOYES!M21)</f>
        <v/>
      </c>
      <c r="AW1283" s="36">
        <f>IF($C1283="",0,SUMPRODUCT(--(O1283:AS1283="C")))</f>
        <v/>
      </c>
      <c r="AX1283" s="36">
        <f>IF($C1283="",0,SUMPRODUCT(--(O1283:AS1283="R")))</f>
        <v/>
      </c>
      <c r="AY1283" s="44" t="n"/>
    </row>
    <row r="1284" hidden="1" outlineLevel="1" ht="15" customHeight="1" s="15">
      <c r="B1284" s="41" t="n">
        <v>6</v>
      </c>
      <c r="C1284" s="42">
        <f>IF(EMPLOYES!C22="","",EMPLOYES!C22)</f>
        <v/>
      </c>
      <c r="D1284" s="43">
        <f>IF(EMPLOYES!C22="","",EMPLOYES!D22)</f>
        <v/>
      </c>
      <c r="E1284" s="44" t="n"/>
      <c r="F1284" s="42" t="n"/>
      <c r="G1284" s="41">
        <f>IF($C1284="",0,MAX(0,$M1284-$N1284))</f>
        <v/>
      </c>
      <c r="H1284" s="45" t="n"/>
      <c r="I1284" s="41">
        <f>IF($C1284="","",IF(H1284="","OK",IF(H1284&gt;EMPLOYES!P22,"⚠ Avance &gt; salaire",IF(H1284&gt;EMPLOYES!P22*PARAMETRES!$C$218,"⚠ Avance élevée","OK"))))</f>
        <v/>
      </c>
      <c r="J1284" s="45" t="n"/>
      <c r="K1284" s="46" t="n"/>
      <c r="L1284" s="46" t="n"/>
      <c r="M1284" s="41">
        <f>IF($C1284="","",SUMPRODUCT((PARAMETRES!$B$38:$B$157=PARAMETRES!$C$29)*(PARAMETRES!$C$38:$C$157=6)*(IF(EMPLOYES!M22="5j",PARAMETRES!$I$38:$I$157,PARAMETRES!$H$38:$H$157))))</f>
        <v/>
      </c>
      <c r="N1284" s="41">
        <f>IF($C1284="","",SUMPRODUCT((O1284:AS1284="P")+(O1284:AS1284="F")+(O1284:AS1284="C")+0.5*(O1284:AS1284="D"),(1-((O1274:AS1274=6)*(EMPLOYES!M22="5j")))))</f>
        <v/>
      </c>
      <c r="O1284" s="46" t="n"/>
      <c r="P1284" s="46" t="n"/>
      <c r="Q1284" s="46" t="n"/>
      <c r="R1284" s="46" t="n"/>
      <c r="S1284" s="46" t="n"/>
      <c r="T1284" s="46" t="n"/>
      <c r="U1284" s="46" t="n"/>
      <c r="V1284" s="46" t="n"/>
      <c r="W1284" s="46" t="n"/>
      <c r="X1284" s="46" t="n"/>
      <c r="Y1284" s="46" t="n"/>
      <c r="Z1284" s="46" t="n"/>
      <c r="AA1284" s="46" t="n"/>
      <c r="AB1284" s="46" t="n"/>
      <c r="AC1284" s="46" t="n"/>
      <c r="AD1284" s="46" t="n"/>
      <c r="AE1284" s="46" t="n"/>
      <c r="AF1284" s="46" t="n"/>
      <c r="AG1284" s="46" t="n"/>
      <c r="AH1284" s="46" t="n"/>
      <c r="AI1284" s="46" t="n"/>
      <c r="AJ1284" s="46" t="n"/>
      <c r="AK1284" s="46" t="n"/>
      <c r="AL1284" s="46" t="n"/>
      <c r="AM1284" s="46" t="n"/>
      <c r="AN1284" s="46" t="n"/>
      <c r="AO1284" s="46" t="n"/>
      <c r="AP1284" s="46" t="n"/>
      <c r="AQ1284" s="46" t="n"/>
      <c r="AR1284" s="46" t="n"/>
      <c r="AS1284" s="46" t="n"/>
      <c r="AV1284" s="36">
        <f>IF($C1284="","",EMPLOYES!M22)</f>
        <v/>
      </c>
      <c r="AW1284" s="36">
        <f>IF($C1284="",0,SUMPRODUCT(--(O1284:AS1284="C")))</f>
        <v/>
      </c>
      <c r="AX1284" s="36">
        <f>IF($C1284="",0,SUMPRODUCT(--(O1284:AS1284="R")))</f>
        <v/>
      </c>
      <c r="AY1284" s="44" t="n"/>
    </row>
    <row r="1285" hidden="1" outlineLevel="1" ht="15" customHeight="1" s="15">
      <c r="B1285" s="41" t="n">
        <v>6</v>
      </c>
      <c r="C1285" s="42">
        <f>IF(EMPLOYES!C23="","",EMPLOYES!C23)</f>
        <v/>
      </c>
      <c r="D1285" s="43">
        <f>IF(EMPLOYES!C23="","",EMPLOYES!D23)</f>
        <v/>
      </c>
      <c r="E1285" s="44" t="n"/>
      <c r="F1285" s="42" t="n"/>
      <c r="G1285" s="41">
        <f>IF($C1285="",0,MAX(0,$M1285-$N1285))</f>
        <v/>
      </c>
      <c r="H1285" s="45" t="n"/>
      <c r="I1285" s="41">
        <f>IF($C1285="","",IF(H1285="","OK",IF(H1285&gt;EMPLOYES!P23,"⚠ Avance &gt; salaire",IF(H1285&gt;EMPLOYES!P23*PARAMETRES!$C$218,"⚠ Avance élevée","OK"))))</f>
        <v/>
      </c>
      <c r="J1285" s="45" t="n"/>
      <c r="K1285" s="46" t="n"/>
      <c r="L1285" s="46" t="n"/>
      <c r="M1285" s="41">
        <f>IF($C1285="","",SUMPRODUCT((PARAMETRES!$B$38:$B$157=PARAMETRES!$C$29)*(PARAMETRES!$C$38:$C$157=6)*(IF(EMPLOYES!M23="5j",PARAMETRES!$I$38:$I$157,PARAMETRES!$H$38:$H$157))))</f>
        <v/>
      </c>
      <c r="N1285" s="41">
        <f>IF($C1285="","",SUMPRODUCT((O1285:AS1285="P")+(O1285:AS1285="F")+(O1285:AS1285="C")+0.5*(O1285:AS1285="D"),(1-((O1274:AS1274=6)*(EMPLOYES!M23="5j")))))</f>
        <v/>
      </c>
      <c r="O1285" s="46" t="n"/>
      <c r="P1285" s="46" t="n"/>
      <c r="Q1285" s="46" t="n"/>
      <c r="R1285" s="46" t="n"/>
      <c r="S1285" s="46" t="n"/>
      <c r="T1285" s="46" t="n"/>
      <c r="U1285" s="46" t="n"/>
      <c r="V1285" s="46" t="n"/>
      <c r="W1285" s="46" t="n"/>
      <c r="X1285" s="46" t="n"/>
      <c r="Y1285" s="46" t="n"/>
      <c r="Z1285" s="46" t="n"/>
      <c r="AA1285" s="46" t="n"/>
      <c r="AB1285" s="46" t="n"/>
      <c r="AC1285" s="46" t="n"/>
      <c r="AD1285" s="46" t="n"/>
      <c r="AE1285" s="46" t="n"/>
      <c r="AF1285" s="46" t="n"/>
      <c r="AG1285" s="46" t="n"/>
      <c r="AH1285" s="46" t="n"/>
      <c r="AI1285" s="46" t="n"/>
      <c r="AJ1285" s="46" t="n"/>
      <c r="AK1285" s="46" t="n"/>
      <c r="AL1285" s="46" t="n"/>
      <c r="AM1285" s="46" t="n"/>
      <c r="AN1285" s="46" t="n"/>
      <c r="AO1285" s="46" t="n"/>
      <c r="AP1285" s="46" t="n"/>
      <c r="AQ1285" s="46" t="n"/>
      <c r="AR1285" s="46" t="n"/>
      <c r="AS1285" s="46" t="n"/>
      <c r="AV1285" s="36">
        <f>IF($C1285="","",EMPLOYES!M23)</f>
        <v/>
      </c>
      <c r="AW1285" s="36">
        <f>IF($C1285="",0,SUMPRODUCT(--(O1285:AS1285="C")))</f>
        <v/>
      </c>
      <c r="AX1285" s="36">
        <f>IF($C1285="",0,SUMPRODUCT(--(O1285:AS1285="R")))</f>
        <v/>
      </c>
      <c r="AY1285" s="44" t="n"/>
    </row>
    <row r="1286" hidden="1" outlineLevel="1" ht="15" customHeight="1" s="15">
      <c r="B1286" s="41" t="n">
        <v>6</v>
      </c>
      <c r="C1286" s="42">
        <f>IF(EMPLOYES!C24="","",EMPLOYES!C24)</f>
        <v/>
      </c>
      <c r="D1286" s="43">
        <f>IF(EMPLOYES!C24="","",EMPLOYES!D24)</f>
        <v/>
      </c>
      <c r="E1286" s="44" t="n"/>
      <c r="F1286" s="42" t="n"/>
      <c r="G1286" s="41">
        <f>IF($C1286="",0,MAX(0,$M1286-$N1286))</f>
        <v/>
      </c>
      <c r="H1286" s="45" t="n"/>
      <c r="I1286" s="41">
        <f>IF($C1286="","",IF(H1286="","OK",IF(H1286&gt;EMPLOYES!P24,"⚠ Avance &gt; salaire",IF(H1286&gt;EMPLOYES!P24*PARAMETRES!$C$218,"⚠ Avance élevée","OK"))))</f>
        <v/>
      </c>
      <c r="J1286" s="45" t="n"/>
      <c r="K1286" s="46" t="n"/>
      <c r="L1286" s="46" t="n"/>
      <c r="M1286" s="41">
        <f>IF($C1286="","",SUMPRODUCT((PARAMETRES!$B$38:$B$157=PARAMETRES!$C$29)*(PARAMETRES!$C$38:$C$157=6)*(IF(EMPLOYES!M24="5j",PARAMETRES!$I$38:$I$157,PARAMETRES!$H$38:$H$157))))</f>
        <v/>
      </c>
      <c r="N1286" s="41">
        <f>IF($C1286="","",SUMPRODUCT((O1286:AS1286="P")+(O1286:AS1286="F")+(O1286:AS1286="C")+0.5*(O1286:AS1286="D"),(1-((O1274:AS1274=6)*(EMPLOYES!M24="5j")))))</f>
        <v/>
      </c>
      <c r="O1286" s="46" t="n"/>
      <c r="P1286" s="46" t="n"/>
      <c r="Q1286" s="46" t="n"/>
      <c r="R1286" s="46" t="n"/>
      <c r="S1286" s="46" t="n"/>
      <c r="T1286" s="46" t="n"/>
      <c r="U1286" s="46" t="n"/>
      <c r="V1286" s="46" t="n"/>
      <c r="W1286" s="46" t="n"/>
      <c r="X1286" s="46" t="n"/>
      <c r="Y1286" s="46" t="n"/>
      <c r="Z1286" s="46" t="n"/>
      <c r="AA1286" s="46" t="n"/>
      <c r="AB1286" s="46" t="n"/>
      <c r="AC1286" s="46" t="n"/>
      <c r="AD1286" s="46" t="n"/>
      <c r="AE1286" s="46" t="n"/>
      <c r="AF1286" s="46" t="n"/>
      <c r="AG1286" s="46" t="n"/>
      <c r="AH1286" s="46" t="n"/>
      <c r="AI1286" s="46" t="n"/>
      <c r="AJ1286" s="46" t="n"/>
      <c r="AK1286" s="46" t="n"/>
      <c r="AL1286" s="46" t="n"/>
      <c r="AM1286" s="46" t="n"/>
      <c r="AN1286" s="46" t="n"/>
      <c r="AO1286" s="46" t="n"/>
      <c r="AP1286" s="46" t="n"/>
      <c r="AQ1286" s="46" t="n"/>
      <c r="AR1286" s="46" t="n"/>
      <c r="AS1286" s="46" t="n"/>
      <c r="AV1286" s="36">
        <f>IF($C1286="","",EMPLOYES!M24)</f>
        <v/>
      </c>
      <c r="AW1286" s="36">
        <f>IF($C1286="",0,SUMPRODUCT(--(O1286:AS1286="C")))</f>
        <v/>
      </c>
      <c r="AX1286" s="36">
        <f>IF($C1286="",0,SUMPRODUCT(--(O1286:AS1286="R")))</f>
        <v/>
      </c>
      <c r="AY1286" s="44" t="n"/>
    </row>
    <row r="1287" hidden="1" outlineLevel="1" ht="15" customHeight="1" s="15">
      <c r="B1287" s="41" t="n">
        <v>6</v>
      </c>
      <c r="C1287" s="42">
        <f>IF(EMPLOYES!C25="","",EMPLOYES!C25)</f>
        <v/>
      </c>
      <c r="D1287" s="43">
        <f>IF(EMPLOYES!C25="","",EMPLOYES!D25)</f>
        <v/>
      </c>
      <c r="E1287" s="44" t="n"/>
      <c r="F1287" s="42" t="n"/>
      <c r="G1287" s="41">
        <f>IF($C1287="",0,MAX(0,$M1287-$N1287))</f>
        <v/>
      </c>
      <c r="H1287" s="45" t="n"/>
      <c r="I1287" s="41">
        <f>IF($C1287="","",IF(H1287="","OK",IF(H1287&gt;EMPLOYES!P25,"⚠ Avance &gt; salaire",IF(H1287&gt;EMPLOYES!P25*PARAMETRES!$C$218,"⚠ Avance élevée","OK"))))</f>
        <v/>
      </c>
      <c r="J1287" s="45" t="n"/>
      <c r="K1287" s="46" t="n"/>
      <c r="L1287" s="46" t="n"/>
      <c r="M1287" s="41">
        <f>IF($C1287="","",SUMPRODUCT((PARAMETRES!$B$38:$B$157=PARAMETRES!$C$29)*(PARAMETRES!$C$38:$C$157=6)*(IF(EMPLOYES!M25="5j",PARAMETRES!$I$38:$I$157,PARAMETRES!$H$38:$H$157))))</f>
        <v/>
      </c>
      <c r="N1287" s="41">
        <f>IF($C1287="","",SUMPRODUCT((O1287:AS1287="P")+(O1287:AS1287="F")+(O1287:AS1287="C")+0.5*(O1287:AS1287="D"),(1-((O1274:AS1274=6)*(EMPLOYES!M25="5j")))))</f>
        <v/>
      </c>
      <c r="O1287" s="46" t="n"/>
      <c r="P1287" s="46" t="n"/>
      <c r="Q1287" s="46" t="n"/>
      <c r="R1287" s="46" t="n"/>
      <c r="S1287" s="46" t="n"/>
      <c r="T1287" s="46" t="n"/>
      <c r="U1287" s="46" t="n"/>
      <c r="V1287" s="46" t="n"/>
      <c r="W1287" s="46" t="n"/>
      <c r="X1287" s="46" t="n"/>
      <c r="Y1287" s="46" t="n"/>
      <c r="Z1287" s="46" t="n"/>
      <c r="AA1287" s="46" t="n"/>
      <c r="AB1287" s="46" t="n"/>
      <c r="AC1287" s="46" t="n"/>
      <c r="AD1287" s="46" t="n"/>
      <c r="AE1287" s="46" t="n"/>
      <c r="AF1287" s="46" t="n"/>
      <c r="AG1287" s="46" t="n"/>
      <c r="AH1287" s="46" t="n"/>
      <c r="AI1287" s="46" t="n"/>
      <c r="AJ1287" s="46" t="n"/>
      <c r="AK1287" s="46" t="n"/>
      <c r="AL1287" s="46" t="n"/>
      <c r="AM1287" s="46" t="n"/>
      <c r="AN1287" s="46" t="n"/>
      <c r="AO1287" s="46" t="n"/>
      <c r="AP1287" s="46" t="n"/>
      <c r="AQ1287" s="46" t="n"/>
      <c r="AR1287" s="46" t="n"/>
      <c r="AS1287" s="46" t="n"/>
      <c r="AV1287" s="36">
        <f>IF($C1287="","",EMPLOYES!M25)</f>
        <v/>
      </c>
      <c r="AW1287" s="36">
        <f>IF($C1287="",0,SUMPRODUCT(--(O1287:AS1287="C")))</f>
        <v/>
      </c>
      <c r="AX1287" s="36">
        <f>IF($C1287="",0,SUMPRODUCT(--(O1287:AS1287="R")))</f>
        <v/>
      </c>
      <c r="AY1287" s="44" t="n"/>
    </row>
    <row r="1288" hidden="1" outlineLevel="1" ht="15" customHeight="1" s="15">
      <c r="B1288" s="41" t="n">
        <v>6</v>
      </c>
      <c r="C1288" s="42">
        <f>IF(EMPLOYES!C26="","",EMPLOYES!C26)</f>
        <v/>
      </c>
      <c r="D1288" s="43">
        <f>IF(EMPLOYES!C26="","",EMPLOYES!D26)</f>
        <v/>
      </c>
      <c r="E1288" s="44" t="n"/>
      <c r="F1288" s="42" t="n"/>
      <c r="G1288" s="41">
        <f>IF($C1288="",0,MAX(0,$M1288-$N1288))</f>
        <v/>
      </c>
      <c r="H1288" s="45" t="n"/>
      <c r="I1288" s="41">
        <f>IF($C1288="","",IF(H1288="","OK",IF(H1288&gt;EMPLOYES!P26,"⚠ Avance &gt; salaire",IF(H1288&gt;EMPLOYES!P26*PARAMETRES!$C$218,"⚠ Avance élevée","OK"))))</f>
        <v/>
      </c>
      <c r="J1288" s="45" t="n"/>
      <c r="K1288" s="46" t="n"/>
      <c r="L1288" s="46" t="n"/>
      <c r="M1288" s="41">
        <f>IF($C1288="","",SUMPRODUCT((PARAMETRES!$B$38:$B$157=PARAMETRES!$C$29)*(PARAMETRES!$C$38:$C$157=6)*(IF(EMPLOYES!M26="5j",PARAMETRES!$I$38:$I$157,PARAMETRES!$H$38:$H$157))))</f>
        <v/>
      </c>
      <c r="N1288" s="41">
        <f>IF($C1288="","",SUMPRODUCT((O1288:AS1288="P")+(O1288:AS1288="F")+(O1288:AS1288="C")+0.5*(O1288:AS1288="D"),(1-((O1274:AS1274=6)*(EMPLOYES!M26="5j")))))</f>
        <v/>
      </c>
      <c r="O1288" s="46" t="n"/>
      <c r="P1288" s="46" t="n"/>
      <c r="Q1288" s="46" t="n"/>
      <c r="R1288" s="46" t="n"/>
      <c r="S1288" s="46" t="n"/>
      <c r="T1288" s="46" t="n"/>
      <c r="U1288" s="46" t="n"/>
      <c r="V1288" s="46" t="n"/>
      <c r="W1288" s="46" t="n"/>
      <c r="X1288" s="46" t="n"/>
      <c r="Y1288" s="46" t="n"/>
      <c r="Z1288" s="46" t="n"/>
      <c r="AA1288" s="46" t="n"/>
      <c r="AB1288" s="46" t="n"/>
      <c r="AC1288" s="46" t="n"/>
      <c r="AD1288" s="46" t="n"/>
      <c r="AE1288" s="46" t="n"/>
      <c r="AF1288" s="46" t="n"/>
      <c r="AG1288" s="46" t="n"/>
      <c r="AH1288" s="46" t="n"/>
      <c r="AI1288" s="46" t="n"/>
      <c r="AJ1288" s="46" t="n"/>
      <c r="AK1288" s="46" t="n"/>
      <c r="AL1288" s="46" t="n"/>
      <c r="AM1288" s="46" t="n"/>
      <c r="AN1288" s="46" t="n"/>
      <c r="AO1288" s="46" t="n"/>
      <c r="AP1288" s="46" t="n"/>
      <c r="AQ1288" s="46" t="n"/>
      <c r="AR1288" s="46" t="n"/>
      <c r="AS1288" s="46" t="n"/>
      <c r="AV1288" s="36">
        <f>IF($C1288="","",EMPLOYES!M26)</f>
        <v/>
      </c>
      <c r="AW1288" s="36">
        <f>IF($C1288="",0,SUMPRODUCT(--(O1288:AS1288="C")))</f>
        <v/>
      </c>
      <c r="AX1288" s="36">
        <f>IF($C1288="",0,SUMPRODUCT(--(O1288:AS1288="R")))</f>
        <v/>
      </c>
      <c r="AY1288" s="44" t="n"/>
    </row>
    <row r="1289" hidden="1" outlineLevel="1" ht="15" customHeight="1" s="15">
      <c r="B1289" s="41" t="n">
        <v>6</v>
      </c>
      <c r="C1289" s="42">
        <f>IF(EMPLOYES!C27="","",EMPLOYES!C27)</f>
        <v/>
      </c>
      <c r="D1289" s="43">
        <f>IF(EMPLOYES!C27="","",EMPLOYES!D27)</f>
        <v/>
      </c>
      <c r="E1289" s="44" t="n"/>
      <c r="F1289" s="42" t="n"/>
      <c r="G1289" s="41">
        <f>IF($C1289="",0,MAX(0,$M1289-$N1289))</f>
        <v/>
      </c>
      <c r="H1289" s="45" t="n"/>
      <c r="I1289" s="41">
        <f>IF($C1289="","",IF(H1289="","OK",IF(H1289&gt;EMPLOYES!P27,"⚠ Avance &gt; salaire",IF(H1289&gt;EMPLOYES!P27*PARAMETRES!$C$218,"⚠ Avance élevée","OK"))))</f>
        <v/>
      </c>
      <c r="J1289" s="45" t="n"/>
      <c r="K1289" s="46" t="n"/>
      <c r="L1289" s="46" t="n"/>
      <c r="M1289" s="41">
        <f>IF($C1289="","",SUMPRODUCT((PARAMETRES!$B$38:$B$157=PARAMETRES!$C$29)*(PARAMETRES!$C$38:$C$157=6)*(IF(EMPLOYES!M27="5j",PARAMETRES!$I$38:$I$157,PARAMETRES!$H$38:$H$157))))</f>
        <v/>
      </c>
      <c r="N1289" s="41">
        <f>IF($C1289="","",SUMPRODUCT((O1289:AS1289="P")+(O1289:AS1289="F")+(O1289:AS1289="C")+0.5*(O1289:AS1289="D"),(1-((O1274:AS1274=6)*(EMPLOYES!M27="5j")))))</f>
        <v/>
      </c>
      <c r="O1289" s="46" t="n"/>
      <c r="P1289" s="46" t="n"/>
      <c r="Q1289" s="46" t="n"/>
      <c r="R1289" s="46" t="n"/>
      <c r="S1289" s="46" t="n"/>
      <c r="T1289" s="46" t="n"/>
      <c r="U1289" s="46" t="n"/>
      <c r="V1289" s="46" t="n"/>
      <c r="W1289" s="46" t="n"/>
      <c r="X1289" s="46" t="n"/>
      <c r="Y1289" s="46" t="n"/>
      <c r="Z1289" s="46" t="n"/>
      <c r="AA1289" s="46" t="n"/>
      <c r="AB1289" s="46" t="n"/>
      <c r="AC1289" s="46" t="n"/>
      <c r="AD1289" s="46" t="n"/>
      <c r="AE1289" s="46" t="n"/>
      <c r="AF1289" s="46" t="n"/>
      <c r="AG1289" s="46" t="n"/>
      <c r="AH1289" s="46" t="n"/>
      <c r="AI1289" s="46" t="n"/>
      <c r="AJ1289" s="46" t="n"/>
      <c r="AK1289" s="46" t="n"/>
      <c r="AL1289" s="46" t="n"/>
      <c r="AM1289" s="46" t="n"/>
      <c r="AN1289" s="46" t="n"/>
      <c r="AO1289" s="46" t="n"/>
      <c r="AP1289" s="46" t="n"/>
      <c r="AQ1289" s="46" t="n"/>
      <c r="AR1289" s="46" t="n"/>
      <c r="AS1289" s="46" t="n"/>
      <c r="AV1289" s="36">
        <f>IF($C1289="","",EMPLOYES!M27)</f>
        <v/>
      </c>
      <c r="AW1289" s="36">
        <f>IF($C1289="",0,SUMPRODUCT(--(O1289:AS1289="C")))</f>
        <v/>
      </c>
      <c r="AX1289" s="36">
        <f>IF($C1289="",0,SUMPRODUCT(--(O1289:AS1289="R")))</f>
        <v/>
      </c>
      <c r="AY1289" s="44" t="n"/>
    </row>
    <row r="1290" hidden="1" outlineLevel="1" ht="15" customHeight="1" s="15">
      <c r="B1290" s="41" t="n">
        <v>6</v>
      </c>
      <c r="C1290" s="42">
        <f>IF(EMPLOYES!C28="","",EMPLOYES!C28)</f>
        <v/>
      </c>
      <c r="D1290" s="43">
        <f>IF(EMPLOYES!C28="","",EMPLOYES!D28)</f>
        <v/>
      </c>
      <c r="E1290" s="44" t="n"/>
      <c r="F1290" s="42" t="n"/>
      <c r="G1290" s="41">
        <f>IF($C1290="",0,MAX(0,$M1290-$N1290))</f>
        <v/>
      </c>
      <c r="H1290" s="45" t="n"/>
      <c r="I1290" s="41">
        <f>IF($C1290="","",IF(H1290="","OK",IF(H1290&gt;EMPLOYES!P28,"⚠ Avance &gt; salaire",IF(H1290&gt;EMPLOYES!P28*PARAMETRES!$C$218,"⚠ Avance élevée","OK"))))</f>
        <v/>
      </c>
      <c r="J1290" s="45" t="n"/>
      <c r="K1290" s="46" t="n"/>
      <c r="L1290" s="46" t="n"/>
      <c r="M1290" s="41">
        <f>IF($C1290="","",SUMPRODUCT((PARAMETRES!$B$38:$B$157=PARAMETRES!$C$29)*(PARAMETRES!$C$38:$C$157=6)*(IF(EMPLOYES!M28="5j",PARAMETRES!$I$38:$I$157,PARAMETRES!$H$38:$H$157))))</f>
        <v/>
      </c>
      <c r="N1290" s="41">
        <f>IF($C1290="","",SUMPRODUCT((O1290:AS1290="P")+(O1290:AS1290="F")+(O1290:AS1290="C")+0.5*(O1290:AS1290="D"),(1-((O1274:AS1274=6)*(EMPLOYES!M28="5j")))))</f>
        <v/>
      </c>
      <c r="O1290" s="46" t="n"/>
      <c r="P1290" s="46" t="n"/>
      <c r="Q1290" s="46" t="n"/>
      <c r="R1290" s="46" t="n"/>
      <c r="S1290" s="46" t="n"/>
      <c r="T1290" s="46" t="n"/>
      <c r="U1290" s="46" t="n"/>
      <c r="V1290" s="46" t="n"/>
      <c r="W1290" s="46" t="n"/>
      <c r="X1290" s="46" t="n"/>
      <c r="Y1290" s="46" t="n"/>
      <c r="Z1290" s="46" t="n"/>
      <c r="AA1290" s="46" t="n"/>
      <c r="AB1290" s="46" t="n"/>
      <c r="AC1290" s="46" t="n"/>
      <c r="AD1290" s="46" t="n"/>
      <c r="AE1290" s="46" t="n"/>
      <c r="AF1290" s="46" t="n"/>
      <c r="AG1290" s="46" t="n"/>
      <c r="AH1290" s="46" t="n"/>
      <c r="AI1290" s="46" t="n"/>
      <c r="AJ1290" s="46" t="n"/>
      <c r="AK1290" s="46" t="n"/>
      <c r="AL1290" s="46" t="n"/>
      <c r="AM1290" s="46" t="n"/>
      <c r="AN1290" s="46" t="n"/>
      <c r="AO1290" s="46" t="n"/>
      <c r="AP1290" s="46" t="n"/>
      <c r="AQ1290" s="46" t="n"/>
      <c r="AR1290" s="46" t="n"/>
      <c r="AS1290" s="46" t="n"/>
      <c r="AV1290" s="36">
        <f>IF($C1290="","",EMPLOYES!M28)</f>
        <v/>
      </c>
      <c r="AW1290" s="36">
        <f>IF($C1290="",0,SUMPRODUCT(--(O1290:AS1290="C")))</f>
        <v/>
      </c>
      <c r="AX1290" s="36">
        <f>IF($C1290="",0,SUMPRODUCT(--(O1290:AS1290="R")))</f>
        <v/>
      </c>
      <c r="AY1290" s="44" t="n"/>
    </row>
    <row r="1291" hidden="1" outlineLevel="1" ht="15" customHeight="1" s="15">
      <c r="B1291" s="41" t="n">
        <v>6</v>
      </c>
      <c r="C1291" s="42">
        <f>IF(EMPLOYES!C29="","",EMPLOYES!C29)</f>
        <v/>
      </c>
      <c r="D1291" s="43">
        <f>IF(EMPLOYES!C29="","",EMPLOYES!D29)</f>
        <v/>
      </c>
      <c r="E1291" s="44" t="n"/>
      <c r="F1291" s="42" t="n"/>
      <c r="G1291" s="41">
        <f>IF($C1291="",0,MAX(0,$M1291-$N1291))</f>
        <v/>
      </c>
      <c r="H1291" s="45" t="n"/>
      <c r="I1291" s="41">
        <f>IF($C1291="","",IF(H1291="","OK",IF(H1291&gt;EMPLOYES!P29,"⚠ Avance &gt; salaire",IF(H1291&gt;EMPLOYES!P29*PARAMETRES!$C$218,"⚠ Avance élevée","OK"))))</f>
        <v/>
      </c>
      <c r="J1291" s="45" t="n"/>
      <c r="K1291" s="46" t="n"/>
      <c r="L1291" s="46" t="n"/>
      <c r="M1291" s="41">
        <f>IF($C1291="","",SUMPRODUCT((PARAMETRES!$B$38:$B$157=PARAMETRES!$C$29)*(PARAMETRES!$C$38:$C$157=6)*(IF(EMPLOYES!M29="5j",PARAMETRES!$I$38:$I$157,PARAMETRES!$H$38:$H$157))))</f>
        <v/>
      </c>
      <c r="N1291" s="41">
        <f>IF($C1291="","",SUMPRODUCT((O1291:AS1291="P")+(O1291:AS1291="F")+(O1291:AS1291="C")+0.5*(O1291:AS1291="D"),(1-((O1274:AS1274=6)*(EMPLOYES!M29="5j")))))</f>
        <v/>
      </c>
      <c r="O1291" s="46" t="n"/>
      <c r="P1291" s="46" t="n"/>
      <c r="Q1291" s="46" t="n"/>
      <c r="R1291" s="46" t="n"/>
      <c r="S1291" s="46" t="n"/>
      <c r="T1291" s="46" t="n"/>
      <c r="U1291" s="46" t="n"/>
      <c r="V1291" s="46" t="n"/>
      <c r="W1291" s="46" t="n"/>
      <c r="X1291" s="46" t="n"/>
      <c r="Y1291" s="46" t="n"/>
      <c r="Z1291" s="46" t="n"/>
      <c r="AA1291" s="46" t="n"/>
      <c r="AB1291" s="46" t="n"/>
      <c r="AC1291" s="46" t="n"/>
      <c r="AD1291" s="46" t="n"/>
      <c r="AE1291" s="46" t="n"/>
      <c r="AF1291" s="46" t="n"/>
      <c r="AG1291" s="46" t="n"/>
      <c r="AH1291" s="46" t="n"/>
      <c r="AI1291" s="46" t="n"/>
      <c r="AJ1291" s="46" t="n"/>
      <c r="AK1291" s="46" t="n"/>
      <c r="AL1291" s="46" t="n"/>
      <c r="AM1291" s="46" t="n"/>
      <c r="AN1291" s="46" t="n"/>
      <c r="AO1291" s="46" t="n"/>
      <c r="AP1291" s="46" t="n"/>
      <c r="AQ1291" s="46" t="n"/>
      <c r="AR1291" s="46" t="n"/>
      <c r="AS1291" s="46" t="n"/>
      <c r="AV1291" s="36">
        <f>IF($C1291="","",EMPLOYES!M29)</f>
        <v/>
      </c>
      <c r="AW1291" s="36">
        <f>IF($C1291="",0,SUMPRODUCT(--(O1291:AS1291="C")))</f>
        <v/>
      </c>
      <c r="AX1291" s="36">
        <f>IF($C1291="",0,SUMPRODUCT(--(O1291:AS1291="R")))</f>
        <v/>
      </c>
      <c r="AY1291" s="44" t="n"/>
    </row>
    <row r="1292" hidden="1" outlineLevel="1" ht="15" customHeight="1" s="15">
      <c r="B1292" s="41" t="n">
        <v>6</v>
      </c>
      <c r="C1292" s="42">
        <f>IF(EMPLOYES!C30="","",EMPLOYES!C30)</f>
        <v/>
      </c>
      <c r="D1292" s="43">
        <f>IF(EMPLOYES!C30="","",EMPLOYES!D30)</f>
        <v/>
      </c>
      <c r="E1292" s="44" t="n"/>
      <c r="F1292" s="42" t="n"/>
      <c r="G1292" s="41">
        <f>IF($C1292="",0,MAX(0,$M1292-$N1292))</f>
        <v/>
      </c>
      <c r="H1292" s="45" t="n"/>
      <c r="I1292" s="41">
        <f>IF($C1292="","",IF(H1292="","OK",IF(H1292&gt;EMPLOYES!P30,"⚠ Avance &gt; salaire",IF(H1292&gt;EMPLOYES!P30*PARAMETRES!$C$218,"⚠ Avance élevée","OK"))))</f>
        <v/>
      </c>
      <c r="J1292" s="45" t="n"/>
      <c r="K1292" s="46" t="n"/>
      <c r="L1292" s="46" t="n"/>
      <c r="M1292" s="41">
        <f>IF($C1292="","",SUMPRODUCT((PARAMETRES!$B$38:$B$157=PARAMETRES!$C$29)*(PARAMETRES!$C$38:$C$157=6)*(IF(EMPLOYES!M30="5j",PARAMETRES!$I$38:$I$157,PARAMETRES!$H$38:$H$157))))</f>
        <v/>
      </c>
      <c r="N1292" s="41">
        <f>IF($C1292="","",SUMPRODUCT((O1292:AS1292="P")+(O1292:AS1292="F")+(O1292:AS1292="C")+0.5*(O1292:AS1292="D"),(1-((O1274:AS1274=6)*(EMPLOYES!M30="5j")))))</f>
        <v/>
      </c>
      <c r="O1292" s="46" t="n"/>
      <c r="P1292" s="46" t="n"/>
      <c r="Q1292" s="46" t="n"/>
      <c r="R1292" s="46" t="n"/>
      <c r="S1292" s="46" t="n"/>
      <c r="T1292" s="46" t="n"/>
      <c r="U1292" s="46" t="n"/>
      <c r="V1292" s="46" t="n"/>
      <c r="W1292" s="46" t="n"/>
      <c r="X1292" s="46" t="n"/>
      <c r="Y1292" s="46" t="n"/>
      <c r="Z1292" s="46" t="n"/>
      <c r="AA1292" s="46" t="n"/>
      <c r="AB1292" s="46" t="n"/>
      <c r="AC1292" s="46" t="n"/>
      <c r="AD1292" s="46" t="n"/>
      <c r="AE1292" s="46" t="n"/>
      <c r="AF1292" s="46" t="n"/>
      <c r="AG1292" s="46" t="n"/>
      <c r="AH1292" s="46" t="n"/>
      <c r="AI1292" s="46" t="n"/>
      <c r="AJ1292" s="46" t="n"/>
      <c r="AK1292" s="46" t="n"/>
      <c r="AL1292" s="46" t="n"/>
      <c r="AM1292" s="46" t="n"/>
      <c r="AN1292" s="46" t="n"/>
      <c r="AO1292" s="46" t="n"/>
      <c r="AP1292" s="46" t="n"/>
      <c r="AQ1292" s="46" t="n"/>
      <c r="AR1292" s="46" t="n"/>
      <c r="AS1292" s="46" t="n"/>
      <c r="AV1292" s="36">
        <f>IF($C1292="","",EMPLOYES!M30)</f>
        <v/>
      </c>
      <c r="AW1292" s="36">
        <f>IF($C1292="",0,SUMPRODUCT(--(O1292:AS1292="C")))</f>
        <v/>
      </c>
      <c r="AX1292" s="36">
        <f>IF($C1292="",0,SUMPRODUCT(--(O1292:AS1292="R")))</f>
        <v/>
      </c>
      <c r="AY1292" s="44" t="n"/>
    </row>
    <row r="1293" hidden="1" outlineLevel="1" ht="15" customHeight="1" s="15">
      <c r="B1293" s="41" t="n">
        <v>6</v>
      </c>
      <c r="C1293" s="42">
        <f>IF(EMPLOYES!C31="","",EMPLOYES!C31)</f>
        <v/>
      </c>
      <c r="D1293" s="43">
        <f>IF(EMPLOYES!C31="","",EMPLOYES!D31)</f>
        <v/>
      </c>
      <c r="E1293" s="44" t="n"/>
      <c r="F1293" s="42" t="n"/>
      <c r="G1293" s="41">
        <f>IF($C1293="",0,MAX(0,$M1293-$N1293))</f>
        <v/>
      </c>
      <c r="H1293" s="45" t="n"/>
      <c r="I1293" s="41">
        <f>IF($C1293="","",IF(H1293="","OK",IF(H1293&gt;EMPLOYES!P31,"⚠ Avance &gt; salaire",IF(H1293&gt;EMPLOYES!P31*PARAMETRES!$C$218,"⚠ Avance élevée","OK"))))</f>
        <v/>
      </c>
      <c r="J1293" s="45" t="n"/>
      <c r="K1293" s="46" t="n"/>
      <c r="L1293" s="46" t="n"/>
      <c r="M1293" s="41">
        <f>IF($C1293="","",SUMPRODUCT((PARAMETRES!$B$38:$B$157=PARAMETRES!$C$29)*(PARAMETRES!$C$38:$C$157=6)*(IF(EMPLOYES!M31="5j",PARAMETRES!$I$38:$I$157,PARAMETRES!$H$38:$H$157))))</f>
        <v/>
      </c>
      <c r="N1293" s="41">
        <f>IF($C1293="","",SUMPRODUCT((O1293:AS1293="P")+(O1293:AS1293="F")+(O1293:AS1293="C")+0.5*(O1293:AS1293="D"),(1-((O1274:AS1274=6)*(EMPLOYES!M31="5j")))))</f>
        <v/>
      </c>
      <c r="O1293" s="46" t="n"/>
      <c r="P1293" s="46" t="n"/>
      <c r="Q1293" s="46" t="n"/>
      <c r="R1293" s="46" t="n"/>
      <c r="S1293" s="46" t="n"/>
      <c r="T1293" s="46" t="n"/>
      <c r="U1293" s="46" t="n"/>
      <c r="V1293" s="46" t="n"/>
      <c r="W1293" s="46" t="n"/>
      <c r="X1293" s="46" t="n"/>
      <c r="Y1293" s="46" t="n"/>
      <c r="Z1293" s="46" t="n"/>
      <c r="AA1293" s="46" t="n"/>
      <c r="AB1293" s="46" t="n"/>
      <c r="AC1293" s="46" t="n"/>
      <c r="AD1293" s="46" t="n"/>
      <c r="AE1293" s="46" t="n"/>
      <c r="AF1293" s="46" t="n"/>
      <c r="AG1293" s="46" t="n"/>
      <c r="AH1293" s="46" t="n"/>
      <c r="AI1293" s="46" t="n"/>
      <c r="AJ1293" s="46" t="n"/>
      <c r="AK1293" s="46" t="n"/>
      <c r="AL1293" s="46" t="n"/>
      <c r="AM1293" s="46" t="n"/>
      <c r="AN1293" s="46" t="n"/>
      <c r="AO1293" s="46" t="n"/>
      <c r="AP1293" s="46" t="n"/>
      <c r="AQ1293" s="46" t="n"/>
      <c r="AR1293" s="46" t="n"/>
      <c r="AS1293" s="46" t="n"/>
      <c r="AV1293" s="36">
        <f>IF($C1293="","",EMPLOYES!M31)</f>
        <v/>
      </c>
      <c r="AW1293" s="36">
        <f>IF($C1293="",0,SUMPRODUCT(--(O1293:AS1293="C")))</f>
        <v/>
      </c>
      <c r="AX1293" s="36">
        <f>IF($C1293="",0,SUMPRODUCT(--(O1293:AS1293="R")))</f>
        <v/>
      </c>
      <c r="AY1293" s="44" t="n"/>
    </row>
    <row r="1294" hidden="1" outlineLevel="1" ht="15" customHeight="1" s="15">
      <c r="B1294" s="41" t="n">
        <v>6</v>
      </c>
      <c r="C1294" s="42">
        <f>IF(EMPLOYES!C32="","",EMPLOYES!C32)</f>
        <v/>
      </c>
      <c r="D1294" s="43">
        <f>IF(EMPLOYES!C32="","",EMPLOYES!D32)</f>
        <v/>
      </c>
      <c r="E1294" s="44" t="n"/>
      <c r="F1294" s="42" t="n"/>
      <c r="G1294" s="41">
        <f>IF($C1294="",0,MAX(0,$M1294-$N1294))</f>
        <v/>
      </c>
      <c r="H1294" s="45" t="n"/>
      <c r="I1294" s="41">
        <f>IF($C1294="","",IF(H1294="","OK",IF(H1294&gt;EMPLOYES!P32,"⚠ Avance &gt; salaire",IF(H1294&gt;EMPLOYES!P32*PARAMETRES!$C$218,"⚠ Avance élevée","OK"))))</f>
        <v/>
      </c>
      <c r="J1294" s="45" t="n"/>
      <c r="K1294" s="46" t="n"/>
      <c r="L1294" s="46" t="n"/>
      <c r="M1294" s="41">
        <f>IF($C1294="","",SUMPRODUCT((PARAMETRES!$B$38:$B$157=PARAMETRES!$C$29)*(PARAMETRES!$C$38:$C$157=6)*(IF(EMPLOYES!M32="5j",PARAMETRES!$I$38:$I$157,PARAMETRES!$H$38:$H$157))))</f>
        <v/>
      </c>
      <c r="N1294" s="41">
        <f>IF($C1294="","",SUMPRODUCT((O1294:AS1294="P")+(O1294:AS1294="F")+(O1294:AS1294="C")+0.5*(O1294:AS1294="D"),(1-((O1274:AS1274=6)*(EMPLOYES!M32="5j")))))</f>
        <v/>
      </c>
      <c r="O1294" s="46" t="n"/>
      <c r="P1294" s="46" t="n"/>
      <c r="Q1294" s="46" t="n"/>
      <c r="R1294" s="46" t="n"/>
      <c r="S1294" s="46" t="n"/>
      <c r="T1294" s="46" t="n"/>
      <c r="U1294" s="46" t="n"/>
      <c r="V1294" s="46" t="n"/>
      <c r="W1294" s="46" t="n"/>
      <c r="X1294" s="46" t="n"/>
      <c r="Y1294" s="46" t="n"/>
      <c r="Z1294" s="46" t="n"/>
      <c r="AA1294" s="46" t="n"/>
      <c r="AB1294" s="46" t="n"/>
      <c r="AC1294" s="46" t="n"/>
      <c r="AD1294" s="46" t="n"/>
      <c r="AE1294" s="46" t="n"/>
      <c r="AF1294" s="46" t="n"/>
      <c r="AG1294" s="46" t="n"/>
      <c r="AH1294" s="46" t="n"/>
      <c r="AI1294" s="46" t="n"/>
      <c r="AJ1294" s="46" t="n"/>
      <c r="AK1294" s="46" t="n"/>
      <c r="AL1294" s="46" t="n"/>
      <c r="AM1294" s="46" t="n"/>
      <c r="AN1294" s="46" t="n"/>
      <c r="AO1294" s="46" t="n"/>
      <c r="AP1294" s="46" t="n"/>
      <c r="AQ1294" s="46" t="n"/>
      <c r="AR1294" s="46" t="n"/>
      <c r="AS1294" s="46" t="n"/>
      <c r="AV1294" s="36">
        <f>IF($C1294="","",EMPLOYES!M32)</f>
        <v/>
      </c>
      <c r="AW1294" s="36">
        <f>IF($C1294="",0,SUMPRODUCT(--(O1294:AS1294="C")))</f>
        <v/>
      </c>
      <c r="AX1294" s="36">
        <f>IF($C1294="",0,SUMPRODUCT(--(O1294:AS1294="R")))</f>
        <v/>
      </c>
      <c r="AY1294" s="44" t="n"/>
    </row>
    <row r="1295" hidden="1" outlineLevel="1" ht="15" customHeight="1" s="15">
      <c r="B1295" s="41" t="n">
        <v>6</v>
      </c>
      <c r="C1295" s="42">
        <f>IF(EMPLOYES!C33="","",EMPLOYES!C33)</f>
        <v/>
      </c>
      <c r="D1295" s="43">
        <f>IF(EMPLOYES!C33="","",EMPLOYES!D33)</f>
        <v/>
      </c>
      <c r="E1295" s="44" t="n"/>
      <c r="F1295" s="42" t="n"/>
      <c r="G1295" s="41">
        <f>IF($C1295="",0,MAX(0,$M1295-$N1295))</f>
        <v/>
      </c>
      <c r="H1295" s="45" t="n"/>
      <c r="I1295" s="41">
        <f>IF($C1295="","",IF(H1295="","OK",IF(H1295&gt;EMPLOYES!P33,"⚠ Avance &gt; salaire",IF(H1295&gt;EMPLOYES!P33*PARAMETRES!$C$218,"⚠ Avance élevée","OK"))))</f>
        <v/>
      </c>
      <c r="J1295" s="45" t="n"/>
      <c r="K1295" s="46" t="n"/>
      <c r="L1295" s="46" t="n"/>
      <c r="M1295" s="41">
        <f>IF($C1295="","",SUMPRODUCT((PARAMETRES!$B$38:$B$157=PARAMETRES!$C$29)*(PARAMETRES!$C$38:$C$157=6)*(IF(EMPLOYES!M33="5j",PARAMETRES!$I$38:$I$157,PARAMETRES!$H$38:$H$157))))</f>
        <v/>
      </c>
      <c r="N1295" s="41">
        <f>IF($C1295="","",SUMPRODUCT((O1295:AS1295="P")+(O1295:AS1295="F")+(O1295:AS1295="C")+0.5*(O1295:AS1295="D"),(1-((O1274:AS1274=6)*(EMPLOYES!M33="5j")))))</f>
        <v/>
      </c>
      <c r="O1295" s="46" t="n"/>
      <c r="P1295" s="46" t="n"/>
      <c r="Q1295" s="46" t="n"/>
      <c r="R1295" s="46" t="n"/>
      <c r="S1295" s="46" t="n"/>
      <c r="T1295" s="46" t="n"/>
      <c r="U1295" s="46" t="n"/>
      <c r="V1295" s="46" t="n"/>
      <c r="W1295" s="46" t="n"/>
      <c r="X1295" s="46" t="n"/>
      <c r="Y1295" s="46" t="n"/>
      <c r="Z1295" s="46" t="n"/>
      <c r="AA1295" s="46" t="n"/>
      <c r="AB1295" s="46" t="n"/>
      <c r="AC1295" s="46" t="n"/>
      <c r="AD1295" s="46" t="n"/>
      <c r="AE1295" s="46" t="n"/>
      <c r="AF1295" s="46" t="n"/>
      <c r="AG1295" s="46" t="n"/>
      <c r="AH1295" s="46" t="n"/>
      <c r="AI1295" s="46" t="n"/>
      <c r="AJ1295" s="46" t="n"/>
      <c r="AK1295" s="46" t="n"/>
      <c r="AL1295" s="46" t="n"/>
      <c r="AM1295" s="46" t="n"/>
      <c r="AN1295" s="46" t="n"/>
      <c r="AO1295" s="46" t="n"/>
      <c r="AP1295" s="46" t="n"/>
      <c r="AQ1295" s="46" t="n"/>
      <c r="AR1295" s="46" t="n"/>
      <c r="AS1295" s="46" t="n"/>
      <c r="AV1295" s="36">
        <f>IF($C1295="","",EMPLOYES!M33)</f>
        <v/>
      </c>
      <c r="AW1295" s="36">
        <f>IF($C1295="",0,SUMPRODUCT(--(O1295:AS1295="C")))</f>
        <v/>
      </c>
      <c r="AX1295" s="36">
        <f>IF($C1295="",0,SUMPRODUCT(--(O1295:AS1295="R")))</f>
        <v/>
      </c>
      <c r="AY1295" s="44" t="n"/>
    </row>
    <row r="1296" hidden="1" outlineLevel="1" ht="15" customHeight="1" s="15">
      <c r="B1296" s="41" t="n">
        <v>6</v>
      </c>
      <c r="C1296" s="42">
        <f>IF(EMPLOYES!C34="","",EMPLOYES!C34)</f>
        <v/>
      </c>
      <c r="D1296" s="43">
        <f>IF(EMPLOYES!C34="","",EMPLOYES!D34)</f>
        <v/>
      </c>
      <c r="E1296" s="44" t="n"/>
      <c r="F1296" s="42" t="n"/>
      <c r="G1296" s="41">
        <f>IF($C1296="",0,MAX(0,$M1296-$N1296))</f>
        <v/>
      </c>
      <c r="H1296" s="45" t="n"/>
      <c r="I1296" s="41">
        <f>IF($C1296="","",IF(H1296="","OK",IF(H1296&gt;EMPLOYES!P34,"⚠ Avance &gt; salaire",IF(H1296&gt;EMPLOYES!P34*PARAMETRES!$C$218,"⚠ Avance élevée","OK"))))</f>
        <v/>
      </c>
      <c r="J1296" s="45" t="n"/>
      <c r="K1296" s="46" t="n"/>
      <c r="L1296" s="46" t="n"/>
      <c r="M1296" s="41">
        <f>IF($C1296="","",SUMPRODUCT((PARAMETRES!$B$38:$B$157=PARAMETRES!$C$29)*(PARAMETRES!$C$38:$C$157=6)*(IF(EMPLOYES!M34="5j",PARAMETRES!$I$38:$I$157,PARAMETRES!$H$38:$H$157))))</f>
        <v/>
      </c>
      <c r="N1296" s="41">
        <f>IF($C1296="","",SUMPRODUCT((O1296:AS1296="P")+(O1296:AS1296="F")+(O1296:AS1296="C")+0.5*(O1296:AS1296="D"),(1-((O1274:AS1274=6)*(EMPLOYES!M34="5j")))))</f>
        <v/>
      </c>
      <c r="O1296" s="46" t="n"/>
      <c r="P1296" s="46" t="n"/>
      <c r="Q1296" s="46" t="n"/>
      <c r="R1296" s="46" t="n"/>
      <c r="S1296" s="46" t="n"/>
      <c r="T1296" s="46" t="n"/>
      <c r="U1296" s="46" t="n"/>
      <c r="V1296" s="46" t="n"/>
      <c r="W1296" s="46" t="n"/>
      <c r="X1296" s="46" t="n"/>
      <c r="Y1296" s="46" t="n"/>
      <c r="Z1296" s="46" t="n"/>
      <c r="AA1296" s="46" t="n"/>
      <c r="AB1296" s="46" t="n"/>
      <c r="AC1296" s="46" t="n"/>
      <c r="AD1296" s="46" t="n"/>
      <c r="AE1296" s="46" t="n"/>
      <c r="AF1296" s="46" t="n"/>
      <c r="AG1296" s="46" t="n"/>
      <c r="AH1296" s="46" t="n"/>
      <c r="AI1296" s="46" t="n"/>
      <c r="AJ1296" s="46" t="n"/>
      <c r="AK1296" s="46" t="n"/>
      <c r="AL1296" s="46" t="n"/>
      <c r="AM1296" s="46" t="n"/>
      <c r="AN1296" s="46" t="n"/>
      <c r="AO1296" s="46" t="n"/>
      <c r="AP1296" s="46" t="n"/>
      <c r="AQ1296" s="46" t="n"/>
      <c r="AR1296" s="46" t="n"/>
      <c r="AS1296" s="46" t="n"/>
      <c r="AV1296" s="36">
        <f>IF($C1296="","",EMPLOYES!M34)</f>
        <v/>
      </c>
      <c r="AW1296" s="36">
        <f>IF($C1296="",0,SUMPRODUCT(--(O1296:AS1296="C")))</f>
        <v/>
      </c>
      <c r="AX1296" s="36">
        <f>IF($C1296="",0,SUMPRODUCT(--(O1296:AS1296="R")))</f>
        <v/>
      </c>
      <c r="AY1296" s="44" t="n"/>
    </row>
    <row r="1297" hidden="1" outlineLevel="1" ht="15" customHeight="1" s="15">
      <c r="B1297" s="41" t="n">
        <v>6</v>
      </c>
      <c r="C1297" s="42">
        <f>IF(EMPLOYES!C35="","",EMPLOYES!C35)</f>
        <v/>
      </c>
      <c r="D1297" s="43">
        <f>IF(EMPLOYES!C35="","",EMPLOYES!D35)</f>
        <v/>
      </c>
      <c r="E1297" s="44" t="n"/>
      <c r="F1297" s="42" t="n"/>
      <c r="G1297" s="41">
        <f>IF($C1297="",0,MAX(0,$M1297-$N1297))</f>
        <v/>
      </c>
      <c r="H1297" s="45" t="n"/>
      <c r="I1297" s="41">
        <f>IF($C1297="","",IF(H1297="","OK",IF(H1297&gt;EMPLOYES!P35,"⚠ Avance &gt; salaire",IF(H1297&gt;EMPLOYES!P35*PARAMETRES!$C$218,"⚠ Avance élevée","OK"))))</f>
        <v/>
      </c>
      <c r="J1297" s="45" t="n"/>
      <c r="K1297" s="46" t="n"/>
      <c r="L1297" s="46" t="n"/>
      <c r="M1297" s="41">
        <f>IF($C1297="","",SUMPRODUCT((PARAMETRES!$B$38:$B$157=PARAMETRES!$C$29)*(PARAMETRES!$C$38:$C$157=6)*(IF(EMPLOYES!M35="5j",PARAMETRES!$I$38:$I$157,PARAMETRES!$H$38:$H$157))))</f>
        <v/>
      </c>
      <c r="N1297" s="41">
        <f>IF($C1297="","",SUMPRODUCT((O1297:AS1297="P")+(O1297:AS1297="F")+(O1297:AS1297="C")+0.5*(O1297:AS1297="D"),(1-((O1274:AS1274=6)*(EMPLOYES!M35="5j")))))</f>
        <v/>
      </c>
      <c r="O1297" s="46" t="n"/>
      <c r="P1297" s="46" t="n"/>
      <c r="Q1297" s="46" t="n"/>
      <c r="R1297" s="46" t="n"/>
      <c r="S1297" s="46" t="n"/>
      <c r="T1297" s="46" t="n"/>
      <c r="U1297" s="46" t="n"/>
      <c r="V1297" s="46" t="n"/>
      <c r="W1297" s="46" t="n"/>
      <c r="X1297" s="46" t="n"/>
      <c r="Y1297" s="46" t="n"/>
      <c r="Z1297" s="46" t="n"/>
      <c r="AA1297" s="46" t="n"/>
      <c r="AB1297" s="46" t="n"/>
      <c r="AC1297" s="46" t="n"/>
      <c r="AD1297" s="46" t="n"/>
      <c r="AE1297" s="46" t="n"/>
      <c r="AF1297" s="46" t="n"/>
      <c r="AG1297" s="46" t="n"/>
      <c r="AH1297" s="46" t="n"/>
      <c r="AI1297" s="46" t="n"/>
      <c r="AJ1297" s="46" t="n"/>
      <c r="AK1297" s="46" t="n"/>
      <c r="AL1297" s="46" t="n"/>
      <c r="AM1297" s="46" t="n"/>
      <c r="AN1297" s="46" t="n"/>
      <c r="AO1297" s="46" t="n"/>
      <c r="AP1297" s="46" t="n"/>
      <c r="AQ1297" s="46" t="n"/>
      <c r="AR1297" s="46" t="n"/>
      <c r="AS1297" s="46" t="n"/>
      <c r="AV1297" s="36">
        <f>IF($C1297="","",EMPLOYES!M35)</f>
        <v/>
      </c>
      <c r="AW1297" s="36">
        <f>IF($C1297="",0,SUMPRODUCT(--(O1297:AS1297="C")))</f>
        <v/>
      </c>
      <c r="AX1297" s="36">
        <f>IF($C1297="",0,SUMPRODUCT(--(O1297:AS1297="R")))</f>
        <v/>
      </c>
      <c r="AY1297" s="44" t="n"/>
    </row>
    <row r="1298" hidden="1" outlineLevel="1" ht="15" customHeight="1" s="15">
      <c r="B1298" s="41" t="n">
        <v>6</v>
      </c>
      <c r="C1298" s="42">
        <f>IF(EMPLOYES!C36="","",EMPLOYES!C36)</f>
        <v/>
      </c>
      <c r="D1298" s="43">
        <f>IF(EMPLOYES!C36="","",EMPLOYES!D36)</f>
        <v/>
      </c>
      <c r="E1298" s="44" t="n"/>
      <c r="F1298" s="42" t="n"/>
      <c r="G1298" s="41">
        <f>IF($C1298="",0,MAX(0,$M1298-$N1298))</f>
        <v/>
      </c>
      <c r="H1298" s="45" t="n"/>
      <c r="I1298" s="41">
        <f>IF($C1298="","",IF(H1298="","OK",IF(H1298&gt;EMPLOYES!P36,"⚠ Avance &gt; salaire",IF(H1298&gt;EMPLOYES!P36*PARAMETRES!$C$218,"⚠ Avance élevée","OK"))))</f>
        <v/>
      </c>
      <c r="J1298" s="45" t="n"/>
      <c r="K1298" s="46" t="n"/>
      <c r="L1298" s="46" t="n"/>
      <c r="M1298" s="41">
        <f>IF($C1298="","",SUMPRODUCT((PARAMETRES!$B$38:$B$157=PARAMETRES!$C$29)*(PARAMETRES!$C$38:$C$157=6)*(IF(EMPLOYES!M36="5j",PARAMETRES!$I$38:$I$157,PARAMETRES!$H$38:$H$157))))</f>
        <v/>
      </c>
      <c r="N1298" s="41">
        <f>IF($C1298="","",SUMPRODUCT((O1298:AS1298="P")+(O1298:AS1298="F")+(O1298:AS1298="C")+0.5*(O1298:AS1298="D"),(1-((O1274:AS1274=6)*(EMPLOYES!M36="5j")))))</f>
        <v/>
      </c>
      <c r="O1298" s="46" t="n"/>
      <c r="P1298" s="46" t="n"/>
      <c r="Q1298" s="46" t="n"/>
      <c r="R1298" s="46" t="n"/>
      <c r="S1298" s="46" t="n"/>
      <c r="T1298" s="46" t="n"/>
      <c r="U1298" s="46" t="n"/>
      <c r="V1298" s="46" t="n"/>
      <c r="W1298" s="46" t="n"/>
      <c r="X1298" s="46" t="n"/>
      <c r="Y1298" s="46" t="n"/>
      <c r="Z1298" s="46" t="n"/>
      <c r="AA1298" s="46" t="n"/>
      <c r="AB1298" s="46" t="n"/>
      <c r="AC1298" s="46" t="n"/>
      <c r="AD1298" s="46" t="n"/>
      <c r="AE1298" s="46" t="n"/>
      <c r="AF1298" s="46" t="n"/>
      <c r="AG1298" s="46" t="n"/>
      <c r="AH1298" s="46" t="n"/>
      <c r="AI1298" s="46" t="n"/>
      <c r="AJ1298" s="46" t="n"/>
      <c r="AK1298" s="46" t="n"/>
      <c r="AL1298" s="46" t="n"/>
      <c r="AM1298" s="46" t="n"/>
      <c r="AN1298" s="46" t="n"/>
      <c r="AO1298" s="46" t="n"/>
      <c r="AP1298" s="46" t="n"/>
      <c r="AQ1298" s="46" t="n"/>
      <c r="AR1298" s="46" t="n"/>
      <c r="AS1298" s="46" t="n"/>
      <c r="AV1298" s="36">
        <f>IF($C1298="","",EMPLOYES!M36)</f>
        <v/>
      </c>
      <c r="AW1298" s="36">
        <f>IF($C1298="",0,SUMPRODUCT(--(O1298:AS1298="C")))</f>
        <v/>
      </c>
      <c r="AX1298" s="36">
        <f>IF($C1298="",0,SUMPRODUCT(--(O1298:AS1298="R")))</f>
        <v/>
      </c>
      <c r="AY1298" s="44" t="n"/>
    </row>
    <row r="1299" hidden="1" outlineLevel="1" ht="15" customHeight="1" s="15">
      <c r="B1299" s="41" t="n">
        <v>6</v>
      </c>
      <c r="C1299" s="42">
        <f>IF(EMPLOYES!C37="","",EMPLOYES!C37)</f>
        <v/>
      </c>
      <c r="D1299" s="43">
        <f>IF(EMPLOYES!C37="","",EMPLOYES!D37)</f>
        <v/>
      </c>
      <c r="E1299" s="44" t="n"/>
      <c r="F1299" s="42" t="n"/>
      <c r="G1299" s="41">
        <f>IF($C1299="",0,MAX(0,$M1299-$N1299))</f>
        <v/>
      </c>
      <c r="H1299" s="45" t="n"/>
      <c r="I1299" s="41">
        <f>IF($C1299="","",IF(H1299="","OK",IF(H1299&gt;EMPLOYES!P37,"⚠ Avance &gt; salaire",IF(H1299&gt;EMPLOYES!P37*PARAMETRES!$C$218,"⚠ Avance élevée","OK"))))</f>
        <v/>
      </c>
      <c r="J1299" s="45" t="n"/>
      <c r="K1299" s="46" t="n"/>
      <c r="L1299" s="46" t="n"/>
      <c r="M1299" s="41">
        <f>IF($C1299="","",SUMPRODUCT((PARAMETRES!$B$38:$B$157=PARAMETRES!$C$29)*(PARAMETRES!$C$38:$C$157=6)*(IF(EMPLOYES!M37="5j",PARAMETRES!$I$38:$I$157,PARAMETRES!$H$38:$H$157))))</f>
        <v/>
      </c>
      <c r="N1299" s="41">
        <f>IF($C1299="","",SUMPRODUCT((O1299:AS1299="P")+(O1299:AS1299="F")+(O1299:AS1299="C")+0.5*(O1299:AS1299="D"),(1-((O1274:AS1274=6)*(EMPLOYES!M37="5j")))))</f>
        <v/>
      </c>
      <c r="O1299" s="46" t="n"/>
      <c r="P1299" s="46" t="n"/>
      <c r="Q1299" s="46" t="n"/>
      <c r="R1299" s="46" t="n"/>
      <c r="S1299" s="46" t="n"/>
      <c r="T1299" s="46" t="n"/>
      <c r="U1299" s="46" t="n"/>
      <c r="V1299" s="46" t="n"/>
      <c r="W1299" s="46" t="n"/>
      <c r="X1299" s="46" t="n"/>
      <c r="Y1299" s="46" t="n"/>
      <c r="Z1299" s="46" t="n"/>
      <c r="AA1299" s="46" t="n"/>
      <c r="AB1299" s="46" t="n"/>
      <c r="AC1299" s="46" t="n"/>
      <c r="AD1299" s="46" t="n"/>
      <c r="AE1299" s="46" t="n"/>
      <c r="AF1299" s="46" t="n"/>
      <c r="AG1299" s="46" t="n"/>
      <c r="AH1299" s="46" t="n"/>
      <c r="AI1299" s="46" t="n"/>
      <c r="AJ1299" s="46" t="n"/>
      <c r="AK1299" s="46" t="n"/>
      <c r="AL1299" s="46" t="n"/>
      <c r="AM1299" s="46" t="n"/>
      <c r="AN1299" s="46" t="n"/>
      <c r="AO1299" s="46" t="n"/>
      <c r="AP1299" s="46" t="n"/>
      <c r="AQ1299" s="46" t="n"/>
      <c r="AR1299" s="46" t="n"/>
      <c r="AS1299" s="46" t="n"/>
      <c r="AV1299" s="36">
        <f>IF($C1299="","",EMPLOYES!M37)</f>
        <v/>
      </c>
      <c r="AW1299" s="36">
        <f>IF($C1299="",0,SUMPRODUCT(--(O1299:AS1299="C")))</f>
        <v/>
      </c>
      <c r="AX1299" s="36">
        <f>IF($C1299="",0,SUMPRODUCT(--(O1299:AS1299="R")))</f>
        <v/>
      </c>
      <c r="AY1299" s="44" t="n"/>
    </row>
    <row r="1300" hidden="1" outlineLevel="1" ht="15" customHeight="1" s="15">
      <c r="B1300" s="41" t="n">
        <v>6</v>
      </c>
      <c r="C1300" s="42">
        <f>IF(EMPLOYES!C38="","",EMPLOYES!C38)</f>
        <v/>
      </c>
      <c r="D1300" s="43">
        <f>IF(EMPLOYES!C38="","",EMPLOYES!D38)</f>
        <v/>
      </c>
      <c r="E1300" s="44" t="n"/>
      <c r="F1300" s="42" t="n"/>
      <c r="G1300" s="41">
        <f>IF($C1300="",0,MAX(0,$M1300-$N1300))</f>
        <v/>
      </c>
      <c r="H1300" s="45" t="n"/>
      <c r="I1300" s="41">
        <f>IF($C1300="","",IF(H1300="","OK",IF(H1300&gt;EMPLOYES!P38,"⚠ Avance &gt; salaire",IF(H1300&gt;EMPLOYES!P38*PARAMETRES!$C$218,"⚠ Avance élevée","OK"))))</f>
        <v/>
      </c>
      <c r="J1300" s="45" t="n"/>
      <c r="K1300" s="46" t="n"/>
      <c r="L1300" s="46" t="n"/>
      <c r="M1300" s="41">
        <f>IF($C1300="","",SUMPRODUCT((PARAMETRES!$B$38:$B$157=PARAMETRES!$C$29)*(PARAMETRES!$C$38:$C$157=6)*(IF(EMPLOYES!M38="5j",PARAMETRES!$I$38:$I$157,PARAMETRES!$H$38:$H$157))))</f>
        <v/>
      </c>
      <c r="N1300" s="41">
        <f>IF($C1300="","",SUMPRODUCT((O1300:AS1300="P")+(O1300:AS1300="F")+(O1300:AS1300="C")+0.5*(O1300:AS1300="D"),(1-((O1274:AS1274=6)*(EMPLOYES!M38="5j")))))</f>
        <v/>
      </c>
      <c r="O1300" s="46" t="n"/>
      <c r="P1300" s="46" t="n"/>
      <c r="Q1300" s="46" t="n"/>
      <c r="R1300" s="46" t="n"/>
      <c r="S1300" s="46" t="n"/>
      <c r="T1300" s="46" t="n"/>
      <c r="U1300" s="46" t="n"/>
      <c r="V1300" s="46" t="n"/>
      <c r="W1300" s="46" t="n"/>
      <c r="X1300" s="46" t="n"/>
      <c r="Y1300" s="46" t="n"/>
      <c r="Z1300" s="46" t="n"/>
      <c r="AA1300" s="46" t="n"/>
      <c r="AB1300" s="46" t="n"/>
      <c r="AC1300" s="46" t="n"/>
      <c r="AD1300" s="46" t="n"/>
      <c r="AE1300" s="46" t="n"/>
      <c r="AF1300" s="46" t="n"/>
      <c r="AG1300" s="46" t="n"/>
      <c r="AH1300" s="46" t="n"/>
      <c r="AI1300" s="46" t="n"/>
      <c r="AJ1300" s="46" t="n"/>
      <c r="AK1300" s="46" t="n"/>
      <c r="AL1300" s="46" t="n"/>
      <c r="AM1300" s="46" t="n"/>
      <c r="AN1300" s="46" t="n"/>
      <c r="AO1300" s="46" t="n"/>
      <c r="AP1300" s="46" t="n"/>
      <c r="AQ1300" s="46" t="n"/>
      <c r="AR1300" s="46" t="n"/>
      <c r="AS1300" s="46" t="n"/>
      <c r="AV1300" s="36">
        <f>IF($C1300="","",EMPLOYES!M38)</f>
        <v/>
      </c>
      <c r="AW1300" s="36">
        <f>IF($C1300="",0,SUMPRODUCT(--(O1300:AS1300="C")))</f>
        <v/>
      </c>
      <c r="AX1300" s="36">
        <f>IF($C1300="",0,SUMPRODUCT(--(O1300:AS1300="R")))</f>
        <v/>
      </c>
      <c r="AY1300" s="44" t="n"/>
    </row>
    <row r="1301" hidden="1" outlineLevel="1" ht="15" customHeight="1" s="15">
      <c r="B1301" s="41" t="n">
        <v>6</v>
      </c>
      <c r="C1301" s="42">
        <f>IF(EMPLOYES!C39="","",EMPLOYES!C39)</f>
        <v/>
      </c>
      <c r="D1301" s="43">
        <f>IF(EMPLOYES!C39="","",EMPLOYES!D39)</f>
        <v/>
      </c>
      <c r="E1301" s="44" t="n"/>
      <c r="F1301" s="42" t="n"/>
      <c r="G1301" s="41">
        <f>IF($C1301="",0,MAX(0,$M1301-$N1301))</f>
        <v/>
      </c>
      <c r="H1301" s="45" t="n"/>
      <c r="I1301" s="41">
        <f>IF($C1301="","",IF(H1301="","OK",IF(H1301&gt;EMPLOYES!P39,"⚠ Avance &gt; salaire",IF(H1301&gt;EMPLOYES!P39*PARAMETRES!$C$218,"⚠ Avance élevée","OK"))))</f>
        <v/>
      </c>
      <c r="J1301" s="45" t="n"/>
      <c r="K1301" s="46" t="n"/>
      <c r="L1301" s="46" t="n"/>
      <c r="M1301" s="41">
        <f>IF($C1301="","",SUMPRODUCT((PARAMETRES!$B$38:$B$157=PARAMETRES!$C$29)*(PARAMETRES!$C$38:$C$157=6)*(IF(EMPLOYES!M39="5j",PARAMETRES!$I$38:$I$157,PARAMETRES!$H$38:$H$157))))</f>
        <v/>
      </c>
      <c r="N1301" s="41">
        <f>IF($C1301="","",SUMPRODUCT((O1301:AS1301="P")+(O1301:AS1301="F")+(O1301:AS1301="C")+0.5*(O1301:AS1301="D"),(1-((O1274:AS1274=6)*(EMPLOYES!M39="5j")))))</f>
        <v/>
      </c>
      <c r="O1301" s="46" t="n"/>
      <c r="P1301" s="46" t="n"/>
      <c r="Q1301" s="46" t="n"/>
      <c r="R1301" s="46" t="n"/>
      <c r="S1301" s="46" t="n"/>
      <c r="T1301" s="46" t="n"/>
      <c r="U1301" s="46" t="n"/>
      <c r="V1301" s="46" t="n"/>
      <c r="W1301" s="46" t="n"/>
      <c r="X1301" s="46" t="n"/>
      <c r="Y1301" s="46" t="n"/>
      <c r="Z1301" s="46" t="n"/>
      <c r="AA1301" s="46" t="n"/>
      <c r="AB1301" s="46" t="n"/>
      <c r="AC1301" s="46" t="n"/>
      <c r="AD1301" s="46" t="n"/>
      <c r="AE1301" s="46" t="n"/>
      <c r="AF1301" s="46" t="n"/>
      <c r="AG1301" s="46" t="n"/>
      <c r="AH1301" s="46" t="n"/>
      <c r="AI1301" s="46" t="n"/>
      <c r="AJ1301" s="46" t="n"/>
      <c r="AK1301" s="46" t="n"/>
      <c r="AL1301" s="46" t="n"/>
      <c r="AM1301" s="46" t="n"/>
      <c r="AN1301" s="46" t="n"/>
      <c r="AO1301" s="46" t="n"/>
      <c r="AP1301" s="46" t="n"/>
      <c r="AQ1301" s="46" t="n"/>
      <c r="AR1301" s="46" t="n"/>
      <c r="AS1301" s="46" t="n"/>
      <c r="AV1301" s="36">
        <f>IF($C1301="","",EMPLOYES!M39)</f>
        <v/>
      </c>
      <c r="AW1301" s="36">
        <f>IF($C1301="",0,SUMPRODUCT(--(O1301:AS1301="C")))</f>
        <v/>
      </c>
      <c r="AX1301" s="36">
        <f>IF($C1301="",0,SUMPRODUCT(--(O1301:AS1301="R")))</f>
        <v/>
      </c>
      <c r="AY1301" s="44" t="n"/>
    </row>
    <row r="1302" hidden="1" outlineLevel="1" ht="15" customHeight="1" s="15">
      <c r="B1302" s="41" t="n">
        <v>6</v>
      </c>
      <c r="C1302" s="42">
        <f>IF(EMPLOYES!C40="","",EMPLOYES!C40)</f>
        <v/>
      </c>
      <c r="D1302" s="43">
        <f>IF(EMPLOYES!C40="","",EMPLOYES!D40)</f>
        <v/>
      </c>
      <c r="E1302" s="44" t="n"/>
      <c r="F1302" s="42" t="n"/>
      <c r="G1302" s="41">
        <f>IF($C1302="",0,MAX(0,$M1302-$N1302))</f>
        <v/>
      </c>
      <c r="H1302" s="45" t="n"/>
      <c r="I1302" s="41">
        <f>IF($C1302="","",IF(H1302="","OK",IF(H1302&gt;EMPLOYES!P40,"⚠ Avance &gt; salaire",IF(H1302&gt;EMPLOYES!P40*PARAMETRES!$C$218,"⚠ Avance élevée","OK"))))</f>
        <v/>
      </c>
      <c r="J1302" s="45" t="n"/>
      <c r="K1302" s="46" t="n"/>
      <c r="L1302" s="46" t="n"/>
      <c r="M1302" s="41">
        <f>IF($C1302="","",SUMPRODUCT((PARAMETRES!$B$38:$B$157=PARAMETRES!$C$29)*(PARAMETRES!$C$38:$C$157=6)*(IF(EMPLOYES!M40="5j",PARAMETRES!$I$38:$I$157,PARAMETRES!$H$38:$H$157))))</f>
        <v/>
      </c>
      <c r="N1302" s="41">
        <f>IF($C1302="","",SUMPRODUCT((O1302:AS1302="P")+(O1302:AS1302="F")+(O1302:AS1302="C")+0.5*(O1302:AS1302="D"),(1-((O1274:AS1274=6)*(EMPLOYES!M40="5j")))))</f>
        <v/>
      </c>
      <c r="O1302" s="46" t="n"/>
      <c r="P1302" s="46" t="n"/>
      <c r="Q1302" s="46" t="n"/>
      <c r="R1302" s="46" t="n"/>
      <c r="S1302" s="46" t="n"/>
      <c r="T1302" s="46" t="n"/>
      <c r="U1302" s="46" t="n"/>
      <c r="V1302" s="46" t="n"/>
      <c r="W1302" s="46" t="n"/>
      <c r="X1302" s="46" t="n"/>
      <c r="Y1302" s="46" t="n"/>
      <c r="Z1302" s="46" t="n"/>
      <c r="AA1302" s="46" t="n"/>
      <c r="AB1302" s="46" t="n"/>
      <c r="AC1302" s="46" t="n"/>
      <c r="AD1302" s="46" t="n"/>
      <c r="AE1302" s="46" t="n"/>
      <c r="AF1302" s="46" t="n"/>
      <c r="AG1302" s="46" t="n"/>
      <c r="AH1302" s="46" t="n"/>
      <c r="AI1302" s="46" t="n"/>
      <c r="AJ1302" s="46" t="n"/>
      <c r="AK1302" s="46" t="n"/>
      <c r="AL1302" s="46" t="n"/>
      <c r="AM1302" s="46" t="n"/>
      <c r="AN1302" s="46" t="n"/>
      <c r="AO1302" s="46" t="n"/>
      <c r="AP1302" s="46" t="n"/>
      <c r="AQ1302" s="46" t="n"/>
      <c r="AR1302" s="46" t="n"/>
      <c r="AS1302" s="46" t="n"/>
      <c r="AV1302" s="36">
        <f>IF($C1302="","",EMPLOYES!M40)</f>
        <v/>
      </c>
      <c r="AW1302" s="36">
        <f>IF($C1302="",0,SUMPRODUCT(--(O1302:AS1302="C")))</f>
        <v/>
      </c>
      <c r="AX1302" s="36">
        <f>IF($C1302="",0,SUMPRODUCT(--(O1302:AS1302="R")))</f>
        <v/>
      </c>
      <c r="AY1302" s="44" t="n"/>
    </row>
    <row r="1303" hidden="1" outlineLevel="1" ht="15" customHeight="1" s="15">
      <c r="B1303" s="41" t="n">
        <v>6</v>
      </c>
      <c r="C1303" s="42">
        <f>IF(EMPLOYES!C41="","",EMPLOYES!C41)</f>
        <v/>
      </c>
      <c r="D1303" s="43">
        <f>IF(EMPLOYES!C41="","",EMPLOYES!D41)</f>
        <v/>
      </c>
      <c r="E1303" s="44" t="n"/>
      <c r="F1303" s="42" t="n"/>
      <c r="G1303" s="41">
        <f>IF($C1303="",0,MAX(0,$M1303-$N1303))</f>
        <v/>
      </c>
      <c r="H1303" s="45" t="n"/>
      <c r="I1303" s="41">
        <f>IF($C1303="","",IF(H1303="","OK",IF(H1303&gt;EMPLOYES!P41,"⚠ Avance &gt; salaire",IF(H1303&gt;EMPLOYES!P41*PARAMETRES!$C$218,"⚠ Avance élevée","OK"))))</f>
        <v/>
      </c>
      <c r="J1303" s="45" t="n"/>
      <c r="K1303" s="46" t="n"/>
      <c r="L1303" s="46" t="n"/>
      <c r="M1303" s="41">
        <f>IF($C1303="","",SUMPRODUCT((PARAMETRES!$B$38:$B$157=PARAMETRES!$C$29)*(PARAMETRES!$C$38:$C$157=6)*(IF(EMPLOYES!M41="5j",PARAMETRES!$I$38:$I$157,PARAMETRES!$H$38:$H$157))))</f>
        <v/>
      </c>
      <c r="N1303" s="41">
        <f>IF($C1303="","",SUMPRODUCT((O1303:AS1303="P")+(O1303:AS1303="F")+(O1303:AS1303="C")+0.5*(O1303:AS1303="D"),(1-((O1274:AS1274=6)*(EMPLOYES!M41="5j")))))</f>
        <v/>
      </c>
      <c r="O1303" s="46" t="n"/>
      <c r="P1303" s="46" t="n"/>
      <c r="Q1303" s="46" t="n"/>
      <c r="R1303" s="46" t="n"/>
      <c r="S1303" s="46" t="n"/>
      <c r="T1303" s="46" t="n"/>
      <c r="U1303" s="46" t="n"/>
      <c r="V1303" s="46" t="n"/>
      <c r="W1303" s="46" t="n"/>
      <c r="X1303" s="46" t="n"/>
      <c r="Y1303" s="46" t="n"/>
      <c r="Z1303" s="46" t="n"/>
      <c r="AA1303" s="46" t="n"/>
      <c r="AB1303" s="46" t="n"/>
      <c r="AC1303" s="46" t="n"/>
      <c r="AD1303" s="46" t="n"/>
      <c r="AE1303" s="46" t="n"/>
      <c r="AF1303" s="46" t="n"/>
      <c r="AG1303" s="46" t="n"/>
      <c r="AH1303" s="46" t="n"/>
      <c r="AI1303" s="46" t="n"/>
      <c r="AJ1303" s="46" t="n"/>
      <c r="AK1303" s="46" t="n"/>
      <c r="AL1303" s="46" t="n"/>
      <c r="AM1303" s="46" t="n"/>
      <c r="AN1303" s="46" t="n"/>
      <c r="AO1303" s="46" t="n"/>
      <c r="AP1303" s="46" t="n"/>
      <c r="AQ1303" s="46" t="n"/>
      <c r="AR1303" s="46" t="n"/>
      <c r="AS1303" s="46" t="n"/>
      <c r="AV1303" s="36">
        <f>IF($C1303="","",EMPLOYES!M41)</f>
        <v/>
      </c>
      <c r="AW1303" s="36">
        <f>IF($C1303="",0,SUMPRODUCT(--(O1303:AS1303="C")))</f>
        <v/>
      </c>
      <c r="AX1303" s="36">
        <f>IF($C1303="",0,SUMPRODUCT(--(O1303:AS1303="R")))</f>
        <v/>
      </c>
      <c r="AY1303" s="44" t="n"/>
    </row>
    <row r="1304" hidden="1" outlineLevel="1" ht="15" customHeight="1" s="15">
      <c r="B1304" s="41" t="n">
        <v>6</v>
      </c>
      <c r="C1304" s="42">
        <f>IF(EMPLOYES!C42="","",EMPLOYES!C42)</f>
        <v/>
      </c>
      <c r="D1304" s="43">
        <f>IF(EMPLOYES!C42="","",EMPLOYES!D42)</f>
        <v/>
      </c>
      <c r="E1304" s="44" t="n"/>
      <c r="F1304" s="42" t="n"/>
      <c r="G1304" s="41">
        <f>IF($C1304="",0,MAX(0,$M1304-$N1304))</f>
        <v/>
      </c>
      <c r="H1304" s="45" t="n"/>
      <c r="I1304" s="41">
        <f>IF($C1304="","",IF(H1304="","OK",IF(H1304&gt;EMPLOYES!P42,"⚠ Avance &gt; salaire",IF(H1304&gt;EMPLOYES!P42*PARAMETRES!$C$218,"⚠ Avance élevée","OK"))))</f>
        <v/>
      </c>
      <c r="J1304" s="45" t="n"/>
      <c r="K1304" s="46" t="n"/>
      <c r="L1304" s="46" t="n"/>
      <c r="M1304" s="41">
        <f>IF($C1304="","",SUMPRODUCT((PARAMETRES!$B$38:$B$157=PARAMETRES!$C$29)*(PARAMETRES!$C$38:$C$157=6)*(IF(EMPLOYES!M42="5j",PARAMETRES!$I$38:$I$157,PARAMETRES!$H$38:$H$157))))</f>
        <v/>
      </c>
      <c r="N1304" s="41">
        <f>IF($C1304="","",SUMPRODUCT((O1304:AS1304="P")+(O1304:AS1304="F")+(O1304:AS1304="C")+0.5*(O1304:AS1304="D"),(1-((O1274:AS1274=6)*(EMPLOYES!M42="5j")))))</f>
        <v/>
      </c>
      <c r="O1304" s="46" t="n"/>
      <c r="P1304" s="46" t="n"/>
      <c r="Q1304" s="46" t="n"/>
      <c r="R1304" s="46" t="n"/>
      <c r="S1304" s="46" t="n"/>
      <c r="T1304" s="46" t="n"/>
      <c r="U1304" s="46" t="n"/>
      <c r="V1304" s="46" t="n"/>
      <c r="W1304" s="46" t="n"/>
      <c r="X1304" s="46" t="n"/>
      <c r="Y1304" s="46" t="n"/>
      <c r="Z1304" s="46" t="n"/>
      <c r="AA1304" s="46" t="n"/>
      <c r="AB1304" s="46" t="n"/>
      <c r="AC1304" s="46" t="n"/>
      <c r="AD1304" s="46" t="n"/>
      <c r="AE1304" s="46" t="n"/>
      <c r="AF1304" s="46" t="n"/>
      <c r="AG1304" s="46" t="n"/>
      <c r="AH1304" s="46" t="n"/>
      <c r="AI1304" s="46" t="n"/>
      <c r="AJ1304" s="46" t="n"/>
      <c r="AK1304" s="46" t="n"/>
      <c r="AL1304" s="46" t="n"/>
      <c r="AM1304" s="46" t="n"/>
      <c r="AN1304" s="46" t="n"/>
      <c r="AO1304" s="46" t="n"/>
      <c r="AP1304" s="46" t="n"/>
      <c r="AQ1304" s="46" t="n"/>
      <c r="AR1304" s="46" t="n"/>
      <c r="AS1304" s="46" t="n"/>
      <c r="AV1304" s="36">
        <f>IF($C1304="","",EMPLOYES!M42)</f>
        <v/>
      </c>
      <c r="AW1304" s="36">
        <f>IF($C1304="",0,SUMPRODUCT(--(O1304:AS1304="C")))</f>
        <v/>
      </c>
      <c r="AX1304" s="36">
        <f>IF($C1304="",0,SUMPRODUCT(--(O1304:AS1304="R")))</f>
        <v/>
      </c>
      <c r="AY1304" s="44" t="n"/>
    </row>
    <row r="1305" hidden="1" outlineLevel="1" ht="15" customHeight="1" s="15">
      <c r="B1305" s="41" t="n">
        <v>6</v>
      </c>
      <c r="C1305" s="42">
        <f>IF(EMPLOYES!C43="","",EMPLOYES!C43)</f>
        <v/>
      </c>
      <c r="D1305" s="43">
        <f>IF(EMPLOYES!C43="","",EMPLOYES!D43)</f>
        <v/>
      </c>
      <c r="E1305" s="44" t="n"/>
      <c r="F1305" s="42" t="n"/>
      <c r="G1305" s="41">
        <f>IF($C1305="",0,MAX(0,$M1305-$N1305))</f>
        <v/>
      </c>
      <c r="H1305" s="45" t="n"/>
      <c r="I1305" s="41">
        <f>IF($C1305="","",IF(H1305="","OK",IF(H1305&gt;EMPLOYES!P43,"⚠ Avance &gt; salaire",IF(H1305&gt;EMPLOYES!P43*PARAMETRES!$C$218,"⚠ Avance élevée","OK"))))</f>
        <v/>
      </c>
      <c r="J1305" s="45" t="n"/>
      <c r="K1305" s="46" t="n"/>
      <c r="L1305" s="46" t="n"/>
      <c r="M1305" s="41">
        <f>IF($C1305="","",SUMPRODUCT((PARAMETRES!$B$38:$B$157=PARAMETRES!$C$29)*(PARAMETRES!$C$38:$C$157=6)*(IF(EMPLOYES!M43="5j",PARAMETRES!$I$38:$I$157,PARAMETRES!$H$38:$H$157))))</f>
        <v/>
      </c>
      <c r="N1305" s="41">
        <f>IF($C1305="","",SUMPRODUCT((O1305:AS1305="P")+(O1305:AS1305="F")+(O1305:AS1305="C")+0.5*(O1305:AS1305="D"),(1-((O1274:AS1274=6)*(EMPLOYES!M43="5j")))))</f>
        <v/>
      </c>
      <c r="O1305" s="46" t="n"/>
      <c r="P1305" s="46" t="n"/>
      <c r="Q1305" s="46" t="n"/>
      <c r="R1305" s="46" t="n"/>
      <c r="S1305" s="46" t="n"/>
      <c r="T1305" s="46" t="n"/>
      <c r="U1305" s="46" t="n"/>
      <c r="V1305" s="46" t="n"/>
      <c r="W1305" s="46" t="n"/>
      <c r="X1305" s="46" t="n"/>
      <c r="Y1305" s="46" t="n"/>
      <c r="Z1305" s="46" t="n"/>
      <c r="AA1305" s="46" t="n"/>
      <c r="AB1305" s="46" t="n"/>
      <c r="AC1305" s="46" t="n"/>
      <c r="AD1305" s="46" t="n"/>
      <c r="AE1305" s="46" t="n"/>
      <c r="AF1305" s="46" t="n"/>
      <c r="AG1305" s="46" t="n"/>
      <c r="AH1305" s="46" t="n"/>
      <c r="AI1305" s="46" t="n"/>
      <c r="AJ1305" s="46" t="n"/>
      <c r="AK1305" s="46" t="n"/>
      <c r="AL1305" s="46" t="n"/>
      <c r="AM1305" s="46" t="n"/>
      <c r="AN1305" s="46" t="n"/>
      <c r="AO1305" s="46" t="n"/>
      <c r="AP1305" s="46" t="n"/>
      <c r="AQ1305" s="46" t="n"/>
      <c r="AR1305" s="46" t="n"/>
      <c r="AS1305" s="46" t="n"/>
      <c r="AV1305" s="36">
        <f>IF($C1305="","",EMPLOYES!M43)</f>
        <v/>
      </c>
      <c r="AW1305" s="36">
        <f>IF($C1305="",0,SUMPRODUCT(--(O1305:AS1305="C")))</f>
        <v/>
      </c>
      <c r="AX1305" s="36">
        <f>IF($C1305="",0,SUMPRODUCT(--(O1305:AS1305="R")))</f>
        <v/>
      </c>
      <c r="AY1305" s="44" t="n"/>
    </row>
    <row r="1306" hidden="1" outlineLevel="1" ht="15" customHeight="1" s="15">
      <c r="B1306" s="41" t="n">
        <v>6</v>
      </c>
      <c r="C1306" s="42">
        <f>IF(EMPLOYES!C44="","",EMPLOYES!C44)</f>
        <v/>
      </c>
      <c r="D1306" s="43">
        <f>IF(EMPLOYES!C44="","",EMPLOYES!D44)</f>
        <v/>
      </c>
      <c r="E1306" s="44" t="n"/>
      <c r="F1306" s="42" t="n"/>
      <c r="G1306" s="41">
        <f>IF($C1306="",0,MAX(0,$M1306-$N1306))</f>
        <v/>
      </c>
      <c r="H1306" s="45" t="n"/>
      <c r="I1306" s="41">
        <f>IF($C1306="","",IF(H1306="","OK",IF(H1306&gt;EMPLOYES!P44,"⚠ Avance &gt; salaire",IF(H1306&gt;EMPLOYES!P44*PARAMETRES!$C$218,"⚠ Avance élevée","OK"))))</f>
        <v/>
      </c>
      <c r="J1306" s="45" t="n"/>
      <c r="K1306" s="46" t="n"/>
      <c r="L1306" s="46" t="n"/>
      <c r="M1306" s="41">
        <f>IF($C1306="","",SUMPRODUCT((PARAMETRES!$B$38:$B$157=PARAMETRES!$C$29)*(PARAMETRES!$C$38:$C$157=6)*(IF(EMPLOYES!M44="5j",PARAMETRES!$I$38:$I$157,PARAMETRES!$H$38:$H$157))))</f>
        <v/>
      </c>
      <c r="N1306" s="41">
        <f>IF($C1306="","",SUMPRODUCT((O1306:AS1306="P")+(O1306:AS1306="F")+(O1306:AS1306="C")+0.5*(O1306:AS1306="D"),(1-((O1274:AS1274=6)*(EMPLOYES!M44="5j")))))</f>
        <v/>
      </c>
      <c r="O1306" s="46" t="n"/>
      <c r="P1306" s="46" t="n"/>
      <c r="Q1306" s="46" t="n"/>
      <c r="R1306" s="46" t="n"/>
      <c r="S1306" s="46" t="n"/>
      <c r="T1306" s="46" t="n"/>
      <c r="U1306" s="46" t="n"/>
      <c r="V1306" s="46" t="n"/>
      <c r="W1306" s="46" t="n"/>
      <c r="X1306" s="46" t="n"/>
      <c r="Y1306" s="46" t="n"/>
      <c r="Z1306" s="46" t="n"/>
      <c r="AA1306" s="46" t="n"/>
      <c r="AB1306" s="46" t="n"/>
      <c r="AC1306" s="46" t="n"/>
      <c r="AD1306" s="46" t="n"/>
      <c r="AE1306" s="46" t="n"/>
      <c r="AF1306" s="46" t="n"/>
      <c r="AG1306" s="46" t="n"/>
      <c r="AH1306" s="46" t="n"/>
      <c r="AI1306" s="46" t="n"/>
      <c r="AJ1306" s="46" t="n"/>
      <c r="AK1306" s="46" t="n"/>
      <c r="AL1306" s="46" t="n"/>
      <c r="AM1306" s="46" t="n"/>
      <c r="AN1306" s="46" t="n"/>
      <c r="AO1306" s="46" t="n"/>
      <c r="AP1306" s="46" t="n"/>
      <c r="AQ1306" s="46" t="n"/>
      <c r="AR1306" s="46" t="n"/>
      <c r="AS1306" s="46" t="n"/>
      <c r="AV1306" s="36">
        <f>IF($C1306="","",EMPLOYES!M44)</f>
        <v/>
      </c>
      <c r="AW1306" s="36">
        <f>IF($C1306="",0,SUMPRODUCT(--(O1306:AS1306="C")))</f>
        <v/>
      </c>
      <c r="AX1306" s="36">
        <f>IF($C1306="",0,SUMPRODUCT(--(O1306:AS1306="R")))</f>
        <v/>
      </c>
      <c r="AY1306" s="44" t="n"/>
    </row>
    <row r="1307" hidden="1" outlineLevel="1" ht="15" customHeight="1" s="15">
      <c r="B1307" s="41" t="n">
        <v>6</v>
      </c>
      <c r="C1307" s="42">
        <f>IF(EMPLOYES!C45="","",EMPLOYES!C45)</f>
        <v/>
      </c>
      <c r="D1307" s="43">
        <f>IF(EMPLOYES!C45="","",EMPLOYES!D45)</f>
        <v/>
      </c>
      <c r="E1307" s="44" t="n"/>
      <c r="F1307" s="42" t="n"/>
      <c r="G1307" s="41">
        <f>IF($C1307="",0,MAX(0,$M1307-$N1307))</f>
        <v/>
      </c>
      <c r="H1307" s="45" t="n"/>
      <c r="I1307" s="41">
        <f>IF($C1307="","",IF(H1307="","OK",IF(H1307&gt;EMPLOYES!P45,"⚠ Avance &gt; salaire",IF(H1307&gt;EMPLOYES!P45*PARAMETRES!$C$218,"⚠ Avance élevée","OK"))))</f>
        <v/>
      </c>
      <c r="J1307" s="45" t="n"/>
      <c r="K1307" s="46" t="n"/>
      <c r="L1307" s="46" t="n"/>
      <c r="M1307" s="41">
        <f>IF($C1307="","",SUMPRODUCT((PARAMETRES!$B$38:$B$157=PARAMETRES!$C$29)*(PARAMETRES!$C$38:$C$157=6)*(IF(EMPLOYES!M45="5j",PARAMETRES!$I$38:$I$157,PARAMETRES!$H$38:$H$157))))</f>
        <v/>
      </c>
      <c r="N1307" s="41">
        <f>IF($C1307="","",SUMPRODUCT((O1307:AS1307="P")+(O1307:AS1307="F")+(O1307:AS1307="C")+0.5*(O1307:AS1307="D"),(1-((O1274:AS1274=6)*(EMPLOYES!M45="5j")))))</f>
        <v/>
      </c>
      <c r="O1307" s="46" t="n"/>
      <c r="P1307" s="46" t="n"/>
      <c r="Q1307" s="46" t="n"/>
      <c r="R1307" s="46" t="n"/>
      <c r="S1307" s="46" t="n"/>
      <c r="T1307" s="46" t="n"/>
      <c r="U1307" s="46" t="n"/>
      <c r="V1307" s="46" t="n"/>
      <c r="W1307" s="46" t="n"/>
      <c r="X1307" s="46" t="n"/>
      <c r="Y1307" s="46" t="n"/>
      <c r="Z1307" s="46" t="n"/>
      <c r="AA1307" s="46" t="n"/>
      <c r="AB1307" s="46" t="n"/>
      <c r="AC1307" s="46" t="n"/>
      <c r="AD1307" s="46" t="n"/>
      <c r="AE1307" s="46" t="n"/>
      <c r="AF1307" s="46" t="n"/>
      <c r="AG1307" s="46" t="n"/>
      <c r="AH1307" s="46" t="n"/>
      <c r="AI1307" s="46" t="n"/>
      <c r="AJ1307" s="46" t="n"/>
      <c r="AK1307" s="46" t="n"/>
      <c r="AL1307" s="46" t="n"/>
      <c r="AM1307" s="46" t="n"/>
      <c r="AN1307" s="46" t="n"/>
      <c r="AO1307" s="46" t="n"/>
      <c r="AP1307" s="46" t="n"/>
      <c r="AQ1307" s="46" t="n"/>
      <c r="AR1307" s="46" t="n"/>
      <c r="AS1307" s="46" t="n"/>
      <c r="AV1307" s="36">
        <f>IF($C1307="","",EMPLOYES!M45)</f>
        <v/>
      </c>
      <c r="AW1307" s="36">
        <f>IF($C1307="",0,SUMPRODUCT(--(O1307:AS1307="C")))</f>
        <v/>
      </c>
      <c r="AX1307" s="36">
        <f>IF($C1307="",0,SUMPRODUCT(--(O1307:AS1307="R")))</f>
        <v/>
      </c>
      <c r="AY1307" s="44" t="n"/>
    </row>
    <row r="1308" hidden="1" outlineLevel="1" ht="15" customHeight="1" s="15">
      <c r="B1308" s="41" t="n">
        <v>6</v>
      </c>
      <c r="C1308" s="42">
        <f>IF(EMPLOYES!C46="","",EMPLOYES!C46)</f>
        <v/>
      </c>
      <c r="D1308" s="43">
        <f>IF(EMPLOYES!C46="","",EMPLOYES!D46)</f>
        <v/>
      </c>
      <c r="E1308" s="44" t="n"/>
      <c r="F1308" s="42" t="n"/>
      <c r="G1308" s="41">
        <f>IF($C1308="",0,MAX(0,$M1308-$N1308))</f>
        <v/>
      </c>
      <c r="H1308" s="45" t="n"/>
      <c r="I1308" s="41">
        <f>IF($C1308="","",IF(H1308="","OK",IF(H1308&gt;EMPLOYES!P46,"⚠ Avance &gt; salaire",IF(H1308&gt;EMPLOYES!P46*PARAMETRES!$C$218,"⚠ Avance élevée","OK"))))</f>
        <v/>
      </c>
      <c r="J1308" s="45" t="n"/>
      <c r="K1308" s="46" t="n"/>
      <c r="L1308" s="46" t="n"/>
      <c r="M1308" s="41">
        <f>IF($C1308="","",SUMPRODUCT((PARAMETRES!$B$38:$B$157=PARAMETRES!$C$29)*(PARAMETRES!$C$38:$C$157=6)*(IF(EMPLOYES!M46="5j",PARAMETRES!$I$38:$I$157,PARAMETRES!$H$38:$H$157))))</f>
        <v/>
      </c>
      <c r="N1308" s="41">
        <f>IF($C1308="","",SUMPRODUCT((O1308:AS1308="P")+(O1308:AS1308="F")+(O1308:AS1308="C")+0.5*(O1308:AS1308="D"),(1-((O1274:AS1274=6)*(EMPLOYES!M46="5j")))))</f>
        <v/>
      </c>
      <c r="O1308" s="46" t="n"/>
      <c r="P1308" s="46" t="n"/>
      <c r="Q1308" s="46" t="n"/>
      <c r="R1308" s="46" t="n"/>
      <c r="S1308" s="46" t="n"/>
      <c r="T1308" s="46" t="n"/>
      <c r="U1308" s="46" t="n"/>
      <c r="V1308" s="46" t="n"/>
      <c r="W1308" s="46" t="n"/>
      <c r="X1308" s="46" t="n"/>
      <c r="Y1308" s="46" t="n"/>
      <c r="Z1308" s="46" t="n"/>
      <c r="AA1308" s="46" t="n"/>
      <c r="AB1308" s="46" t="n"/>
      <c r="AC1308" s="46" t="n"/>
      <c r="AD1308" s="46" t="n"/>
      <c r="AE1308" s="46" t="n"/>
      <c r="AF1308" s="46" t="n"/>
      <c r="AG1308" s="46" t="n"/>
      <c r="AH1308" s="46" t="n"/>
      <c r="AI1308" s="46" t="n"/>
      <c r="AJ1308" s="46" t="n"/>
      <c r="AK1308" s="46" t="n"/>
      <c r="AL1308" s="46" t="n"/>
      <c r="AM1308" s="46" t="n"/>
      <c r="AN1308" s="46" t="n"/>
      <c r="AO1308" s="46" t="n"/>
      <c r="AP1308" s="46" t="n"/>
      <c r="AQ1308" s="46" t="n"/>
      <c r="AR1308" s="46" t="n"/>
      <c r="AS1308" s="46" t="n"/>
      <c r="AV1308" s="36">
        <f>IF($C1308="","",EMPLOYES!M46)</f>
        <v/>
      </c>
      <c r="AW1308" s="36">
        <f>IF($C1308="",0,SUMPRODUCT(--(O1308:AS1308="C")))</f>
        <v/>
      </c>
      <c r="AX1308" s="36">
        <f>IF($C1308="",0,SUMPRODUCT(--(O1308:AS1308="R")))</f>
        <v/>
      </c>
      <c r="AY1308" s="44" t="n"/>
    </row>
    <row r="1309" hidden="1" outlineLevel="1" ht="15" customHeight="1" s="15">
      <c r="B1309" s="41" t="n">
        <v>6</v>
      </c>
      <c r="C1309" s="42">
        <f>IF(EMPLOYES!C47="","",EMPLOYES!C47)</f>
        <v/>
      </c>
      <c r="D1309" s="43">
        <f>IF(EMPLOYES!C47="","",EMPLOYES!D47)</f>
        <v/>
      </c>
      <c r="E1309" s="44" t="n"/>
      <c r="F1309" s="42" t="n"/>
      <c r="G1309" s="41">
        <f>IF($C1309="",0,MAX(0,$M1309-$N1309))</f>
        <v/>
      </c>
      <c r="H1309" s="45" t="n"/>
      <c r="I1309" s="41">
        <f>IF($C1309="","",IF(H1309="","OK",IF(H1309&gt;EMPLOYES!P47,"⚠ Avance &gt; salaire",IF(H1309&gt;EMPLOYES!P47*PARAMETRES!$C$218,"⚠ Avance élevée","OK"))))</f>
        <v/>
      </c>
      <c r="J1309" s="45" t="n"/>
      <c r="K1309" s="46" t="n"/>
      <c r="L1309" s="46" t="n"/>
      <c r="M1309" s="41">
        <f>IF($C1309="","",SUMPRODUCT((PARAMETRES!$B$38:$B$157=PARAMETRES!$C$29)*(PARAMETRES!$C$38:$C$157=6)*(IF(EMPLOYES!M47="5j",PARAMETRES!$I$38:$I$157,PARAMETRES!$H$38:$H$157))))</f>
        <v/>
      </c>
      <c r="N1309" s="41">
        <f>IF($C1309="","",SUMPRODUCT((O1309:AS1309="P")+(O1309:AS1309="F")+(O1309:AS1309="C")+0.5*(O1309:AS1309="D"),(1-((O1274:AS1274=6)*(EMPLOYES!M47="5j")))))</f>
        <v/>
      </c>
      <c r="O1309" s="46" t="n"/>
      <c r="P1309" s="46" t="n"/>
      <c r="Q1309" s="46" t="n"/>
      <c r="R1309" s="46" t="n"/>
      <c r="S1309" s="46" t="n"/>
      <c r="T1309" s="46" t="n"/>
      <c r="U1309" s="46" t="n"/>
      <c r="V1309" s="46" t="n"/>
      <c r="W1309" s="46" t="n"/>
      <c r="X1309" s="46" t="n"/>
      <c r="Y1309" s="46" t="n"/>
      <c r="Z1309" s="46" t="n"/>
      <c r="AA1309" s="46" t="n"/>
      <c r="AB1309" s="46" t="n"/>
      <c r="AC1309" s="46" t="n"/>
      <c r="AD1309" s="46" t="n"/>
      <c r="AE1309" s="46" t="n"/>
      <c r="AF1309" s="46" t="n"/>
      <c r="AG1309" s="46" t="n"/>
      <c r="AH1309" s="46" t="n"/>
      <c r="AI1309" s="46" t="n"/>
      <c r="AJ1309" s="46" t="n"/>
      <c r="AK1309" s="46" t="n"/>
      <c r="AL1309" s="46" t="n"/>
      <c r="AM1309" s="46" t="n"/>
      <c r="AN1309" s="46" t="n"/>
      <c r="AO1309" s="46" t="n"/>
      <c r="AP1309" s="46" t="n"/>
      <c r="AQ1309" s="46" t="n"/>
      <c r="AR1309" s="46" t="n"/>
      <c r="AS1309" s="46" t="n"/>
      <c r="AV1309" s="36">
        <f>IF($C1309="","",EMPLOYES!M47)</f>
        <v/>
      </c>
      <c r="AW1309" s="36">
        <f>IF($C1309="",0,SUMPRODUCT(--(O1309:AS1309="C")))</f>
        <v/>
      </c>
      <c r="AX1309" s="36">
        <f>IF($C1309="",0,SUMPRODUCT(--(O1309:AS1309="R")))</f>
        <v/>
      </c>
      <c r="AY1309" s="44" t="n"/>
    </row>
    <row r="1310" hidden="1" outlineLevel="1" ht="15" customHeight="1" s="15">
      <c r="B1310" s="41" t="n">
        <v>6</v>
      </c>
      <c r="C1310" s="42">
        <f>IF(EMPLOYES!C48="","",EMPLOYES!C48)</f>
        <v/>
      </c>
      <c r="D1310" s="43">
        <f>IF(EMPLOYES!C48="","",EMPLOYES!D48)</f>
        <v/>
      </c>
      <c r="E1310" s="44" t="n"/>
      <c r="F1310" s="42" t="n"/>
      <c r="G1310" s="41">
        <f>IF($C1310="",0,MAX(0,$M1310-$N1310))</f>
        <v/>
      </c>
      <c r="H1310" s="45" t="n"/>
      <c r="I1310" s="41">
        <f>IF($C1310="","",IF(H1310="","OK",IF(H1310&gt;EMPLOYES!P48,"⚠ Avance &gt; salaire",IF(H1310&gt;EMPLOYES!P48*PARAMETRES!$C$218,"⚠ Avance élevée","OK"))))</f>
        <v/>
      </c>
      <c r="J1310" s="45" t="n"/>
      <c r="K1310" s="46" t="n"/>
      <c r="L1310" s="46" t="n"/>
      <c r="M1310" s="41">
        <f>IF($C1310="","",SUMPRODUCT((PARAMETRES!$B$38:$B$157=PARAMETRES!$C$29)*(PARAMETRES!$C$38:$C$157=6)*(IF(EMPLOYES!M48="5j",PARAMETRES!$I$38:$I$157,PARAMETRES!$H$38:$H$157))))</f>
        <v/>
      </c>
      <c r="N1310" s="41">
        <f>IF($C1310="","",SUMPRODUCT((O1310:AS1310="P")+(O1310:AS1310="F")+(O1310:AS1310="C")+0.5*(O1310:AS1310="D"),(1-((O1274:AS1274=6)*(EMPLOYES!M48="5j")))))</f>
        <v/>
      </c>
      <c r="O1310" s="46" t="n"/>
      <c r="P1310" s="46" t="n"/>
      <c r="Q1310" s="46" t="n"/>
      <c r="R1310" s="46" t="n"/>
      <c r="S1310" s="46" t="n"/>
      <c r="T1310" s="46" t="n"/>
      <c r="U1310" s="46" t="n"/>
      <c r="V1310" s="46" t="n"/>
      <c r="W1310" s="46" t="n"/>
      <c r="X1310" s="46" t="n"/>
      <c r="Y1310" s="46" t="n"/>
      <c r="Z1310" s="46" t="n"/>
      <c r="AA1310" s="46" t="n"/>
      <c r="AB1310" s="46" t="n"/>
      <c r="AC1310" s="46" t="n"/>
      <c r="AD1310" s="46" t="n"/>
      <c r="AE1310" s="46" t="n"/>
      <c r="AF1310" s="46" t="n"/>
      <c r="AG1310" s="46" t="n"/>
      <c r="AH1310" s="46" t="n"/>
      <c r="AI1310" s="46" t="n"/>
      <c r="AJ1310" s="46" t="n"/>
      <c r="AK1310" s="46" t="n"/>
      <c r="AL1310" s="46" t="n"/>
      <c r="AM1310" s="46" t="n"/>
      <c r="AN1310" s="46" t="n"/>
      <c r="AO1310" s="46" t="n"/>
      <c r="AP1310" s="46" t="n"/>
      <c r="AQ1310" s="46" t="n"/>
      <c r="AR1310" s="46" t="n"/>
      <c r="AS1310" s="46" t="n"/>
      <c r="AV1310" s="36">
        <f>IF($C1310="","",EMPLOYES!M48)</f>
        <v/>
      </c>
      <c r="AW1310" s="36">
        <f>IF($C1310="",0,SUMPRODUCT(--(O1310:AS1310="C")))</f>
        <v/>
      </c>
      <c r="AX1310" s="36">
        <f>IF($C1310="",0,SUMPRODUCT(--(O1310:AS1310="R")))</f>
        <v/>
      </c>
      <c r="AY1310" s="44" t="n"/>
    </row>
    <row r="1311" hidden="1" outlineLevel="1" ht="15" customHeight="1" s="15">
      <c r="B1311" s="41" t="n">
        <v>6</v>
      </c>
      <c r="C1311" s="42">
        <f>IF(EMPLOYES!C49="","",EMPLOYES!C49)</f>
        <v/>
      </c>
      <c r="D1311" s="43">
        <f>IF(EMPLOYES!C49="","",EMPLOYES!D49)</f>
        <v/>
      </c>
      <c r="E1311" s="44" t="n"/>
      <c r="F1311" s="42" t="n"/>
      <c r="G1311" s="41">
        <f>IF($C1311="",0,MAX(0,$M1311-$N1311))</f>
        <v/>
      </c>
      <c r="H1311" s="45" t="n"/>
      <c r="I1311" s="41">
        <f>IF($C1311="","",IF(H1311="","OK",IF(H1311&gt;EMPLOYES!P49,"⚠ Avance &gt; salaire",IF(H1311&gt;EMPLOYES!P49*PARAMETRES!$C$218,"⚠ Avance élevée","OK"))))</f>
        <v/>
      </c>
      <c r="J1311" s="45" t="n"/>
      <c r="K1311" s="46" t="n"/>
      <c r="L1311" s="46" t="n"/>
      <c r="M1311" s="41">
        <f>IF($C1311="","",SUMPRODUCT((PARAMETRES!$B$38:$B$157=PARAMETRES!$C$29)*(PARAMETRES!$C$38:$C$157=6)*(IF(EMPLOYES!M49="5j",PARAMETRES!$I$38:$I$157,PARAMETRES!$H$38:$H$157))))</f>
        <v/>
      </c>
      <c r="N1311" s="41">
        <f>IF($C1311="","",SUMPRODUCT((O1311:AS1311="P")+(O1311:AS1311="F")+(O1311:AS1311="C")+0.5*(O1311:AS1311="D"),(1-((O1274:AS1274=6)*(EMPLOYES!M49="5j")))))</f>
        <v/>
      </c>
      <c r="O1311" s="46" t="n"/>
      <c r="P1311" s="46" t="n"/>
      <c r="Q1311" s="46" t="n"/>
      <c r="R1311" s="46" t="n"/>
      <c r="S1311" s="46" t="n"/>
      <c r="T1311" s="46" t="n"/>
      <c r="U1311" s="46" t="n"/>
      <c r="V1311" s="46" t="n"/>
      <c r="W1311" s="46" t="n"/>
      <c r="X1311" s="46" t="n"/>
      <c r="Y1311" s="46" t="n"/>
      <c r="Z1311" s="46" t="n"/>
      <c r="AA1311" s="46" t="n"/>
      <c r="AB1311" s="46" t="n"/>
      <c r="AC1311" s="46" t="n"/>
      <c r="AD1311" s="46" t="n"/>
      <c r="AE1311" s="46" t="n"/>
      <c r="AF1311" s="46" t="n"/>
      <c r="AG1311" s="46" t="n"/>
      <c r="AH1311" s="46" t="n"/>
      <c r="AI1311" s="46" t="n"/>
      <c r="AJ1311" s="46" t="n"/>
      <c r="AK1311" s="46" t="n"/>
      <c r="AL1311" s="46" t="n"/>
      <c r="AM1311" s="46" t="n"/>
      <c r="AN1311" s="46" t="n"/>
      <c r="AO1311" s="46" t="n"/>
      <c r="AP1311" s="46" t="n"/>
      <c r="AQ1311" s="46" t="n"/>
      <c r="AR1311" s="46" t="n"/>
      <c r="AS1311" s="46" t="n"/>
      <c r="AV1311" s="36">
        <f>IF($C1311="","",EMPLOYES!M49)</f>
        <v/>
      </c>
      <c r="AW1311" s="36">
        <f>IF($C1311="",0,SUMPRODUCT(--(O1311:AS1311="C")))</f>
        <v/>
      </c>
      <c r="AX1311" s="36">
        <f>IF($C1311="",0,SUMPRODUCT(--(O1311:AS1311="R")))</f>
        <v/>
      </c>
      <c r="AY1311" s="44" t="n"/>
    </row>
    <row r="1312" hidden="1" outlineLevel="1" ht="15" customHeight="1" s="15">
      <c r="B1312" s="41" t="n">
        <v>6</v>
      </c>
      <c r="C1312" s="42">
        <f>IF(EMPLOYES!C50="","",EMPLOYES!C50)</f>
        <v/>
      </c>
      <c r="D1312" s="43">
        <f>IF(EMPLOYES!C50="","",EMPLOYES!D50)</f>
        <v/>
      </c>
      <c r="E1312" s="44" t="n"/>
      <c r="F1312" s="42" t="n"/>
      <c r="G1312" s="41">
        <f>IF($C1312="",0,MAX(0,$M1312-$N1312))</f>
        <v/>
      </c>
      <c r="H1312" s="45" t="n"/>
      <c r="I1312" s="41">
        <f>IF($C1312="","",IF(H1312="","OK",IF(H1312&gt;EMPLOYES!P50,"⚠ Avance &gt; salaire",IF(H1312&gt;EMPLOYES!P50*PARAMETRES!$C$218,"⚠ Avance élevée","OK"))))</f>
        <v/>
      </c>
      <c r="J1312" s="45" t="n"/>
      <c r="K1312" s="46" t="n"/>
      <c r="L1312" s="46" t="n"/>
      <c r="M1312" s="41">
        <f>IF($C1312="","",SUMPRODUCT((PARAMETRES!$B$38:$B$157=PARAMETRES!$C$29)*(PARAMETRES!$C$38:$C$157=6)*(IF(EMPLOYES!M50="5j",PARAMETRES!$I$38:$I$157,PARAMETRES!$H$38:$H$157))))</f>
        <v/>
      </c>
      <c r="N1312" s="41">
        <f>IF($C1312="","",SUMPRODUCT((O1312:AS1312="P")+(O1312:AS1312="F")+(O1312:AS1312="C")+0.5*(O1312:AS1312="D"),(1-((O1274:AS1274=6)*(EMPLOYES!M50="5j")))))</f>
        <v/>
      </c>
      <c r="O1312" s="46" t="n"/>
      <c r="P1312" s="46" t="n"/>
      <c r="Q1312" s="46" t="n"/>
      <c r="R1312" s="46" t="n"/>
      <c r="S1312" s="46" t="n"/>
      <c r="T1312" s="46" t="n"/>
      <c r="U1312" s="46" t="n"/>
      <c r="V1312" s="46" t="n"/>
      <c r="W1312" s="46" t="n"/>
      <c r="X1312" s="46" t="n"/>
      <c r="Y1312" s="46" t="n"/>
      <c r="Z1312" s="46" t="n"/>
      <c r="AA1312" s="46" t="n"/>
      <c r="AB1312" s="46" t="n"/>
      <c r="AC1312" s="46" t="n"/>
      <c r="AD1312" s="46" t="n"/>
      <c r="AE1312" s="46" t="n"/>
      <c r="AF1312" s="46" t="n"/>
      <c r="AG1312" s="46" t="n"/>
      <c r="AH1312" s="46" t="n"/>
      <c r="AI1312" s="46" t="n"/>
      <c r="AJ1312" s="46" t="n"/>
      <c r="AK1312" s="46" t="n"/>
      <c r="AL1312" s="46" t="n"/>
      <c r="AM1312" s="46" t="n"/>
      <c r="AN1312" s="46" t="n"/>
      <c r="AO1312" s="46" t="n"/>
      <c r="AP1312" s="46" t="n"/>
      <c r="AQ1312" s="46" t="n"/>
      <c r="AR1312" s="46" t="n"/>
      <c r="AS1312" s="46" t="n"/>
      <c r="AV1312" s="36">
        <f>IF($C1312="","",EMPLOYES!M50)</f>
        <v/>
      </c>
      <c r="AW1312" s="36">
        <f>IF($C1312="",0,SUMPRODUCT(--(O1312:AS1312="C")))</f>
        <v/>
      </c>
      <c r="AX1312" s="36">
        <f>IF($C1312="",0,SUMPRODUCT(--(O1312:AS1312="R")))</f>
        <v/>
      </c>
      <c r="AY1312" s="44" t="n"/>
    </row>
    <row r="1313" hidden="1" outlineLevel="1" ht="15" customHeight="1" s="15">
      <c r="B1313" s="41" t="n">
        <v>6</v>
      </c>
      <c r="C1313" s="42">
        <f>IF(EMPLOYES!C51="","",EMPLOYES!C51)</f>
        <v/>
      </c>
      <c r="D1313" s="43">
        <f>IF(EMPLOYES!C51="","",EMPLOYES!D51)</f>
        <v/>
      </c>
      <c r="E1313" s="44" t="n"/>
      <c r="F1313" s="42" t="n"/>
      <c r="G1313" s="41">
        <f>IF($C1313="",0,MAX(0,$M1313-$N1313))</f>
        <v/>
      </c>
      <c r="H1313" s="45" t="n"/>
      <c r="I1313" s="41">
        <f>IF($C1313="","",IF(H1313="","OK",IF(H1313&gt;EMPLOYES!P51,"⚠ Avance &gt; salaire",IF(H1313&gt;EMPLOYES!P51*PARAMETRES!$C$218,"⚠ Avance élevée","OK"))))</f>
        <v/>
      </c>
      <c r="J1313" s="45" t="n"/>
      <c r="K1313" s="46" t="n"/>
      <c r="L1313" s="46" t="n"/>
      <c r="M1313" s="41">
        <f>IF($C1313="","",SUMPRODUCT((PARAMETRES!$B$38:$B$157=PARAMETRES!$C$29)*(PARAMETRES!$C$38:$C$157=6)*(IF(EMPLOYES!M51="5j",PARAMETRES!$I$38:$I$157,PARAMETRES!$H$38:$H$157))))</f>
        <v/>
      </c>
      <c r="N1313" s="41">
        <f>IF($C1313="","",SUMPRODUCT((O1313:AS1313="P")+(O1313:AS1313="F")+(O1313:AS1313="C")+0.5*(O1313:AS1313="D"),(1-((O1274:AS1274=6)*(EMPLOYES!M51="5j")))))</f>
        <v/>
      </c>
      <c r="O1313" s="46" t="n"/>
      <c r="P1313" s="46" t="n"/>
      <c r="Q1313" s="46" t="n"/>
      <c r="R1313" s="46" t="n"/>
      <c r="S1313" s="46" t="n"/>
      <c r="T1313" s="46" t="n"/>
      <c r="U1313" s="46" t="n"/>
      <c r="V1313" s="46" t="n"/>
      <c r="W1313" s="46" t="n"/>
      <c r="X1313" s="46" t="n"/>
      <c r="Y1313" s="46" t="n"/>
      <c r="Z1313" s="46" t="n"/>
      <c r="AA1313" s="46" t="n"/>
      <c r="AB1313" s="46" t="n"/>
      <c r="AC1313" s="46" t="n"/>
      <c r="AD1313" s="46" t="n"/>
      <c r="AE1313" s="46" t="n"/>
      <c r="AF1313" s="46" t="n"/>
      <c r="AG1313" s="46" t="n"/>
      <c r="AH1313" s="46" t="n"/>
      <c r="AI1313" s="46" t="n"/>
      <c r="AJ1313" s="46" t="n"/>
      <c r="AK1313" s="46" t="n"/>
      <c r="AL1313" s="46" t="n"/>
      <c r="AM1313" s="46" t="n"/>
      <c r="AN1313" s="46" t="n"/>
      <c r="AO1313" s="46" t="n"/>
      <c r="AP1313" s="46" t="n"/>
      <c r="AQ1313" s="46" t="n"/>
      <c r="AR1313" s="46" t="n"/>
      <c r="AS1313" s="46" t="n"/>
      <c r="AV1313" s="36">
        <f>IF($C1313="","",EMPLOYES!M51)</f>
        <v/>
      </c>
      <c r="AW1313" s="36">
        <f>IF($C1313="",0,SUMPRODUCT(--(O1313:AS1313="C")))</f>
        <v/>
      </c>
      <c r="AX1313" s="36">
        <f>IF($C1313="",0,SUMPRODUCT(--(O1313:AS1313="R")))</f>
        <v/>
      </c>
      <c r="AY1313" s="44" t="n"/>
    </row>
    <row r="1314" hidden="1" outlineLevel="1" ht="15" customHeight="1" s="15">
      <c r="B1314" s="41" t="n">
        <v>6</v>
      </c>
      <c r="C1314" s="42">
        <f>IF(EMPLOYES!C52="","",EMPLOYES!C52)</f>
        <v/>
      </c>
      <c r="D1314" s="43">
        <f>IF(EMPLOYES!C52="","",EMPLOYES!D52)</f>
        <v/>
      </c>
      <c r="E1314" s="44" t="n"/>
      <c r="F1314" s="42" t="n"/>
      <c r="G1314" s="41">
        <f>IF($C1314="",0,MAX(0,$M1314-$N1314))</f>
        <v/>
      </c>
      <c r="H1314" s="45" t="n"/>
      <c r="I1314" s="41">
        <f>IF($C1314="","",IF(H1314="","OK",IF(H1314&gt;EMPLOYES!P52,"⚠ Avance &gt; salaire",IF(H1314&gt;EMPLOYES!P52*PARAMETRES!$C$218,"⚠ Avance élevée","OK"))))</f>
        <v/>
      </c>
      <c r="J1314" s="45" t="n"/>
      <c r="K1314" s="46" t="n"/>
      <c r="L1314" s="46" t="n"/>
      <c r="M1314" s="41">
        <f>IF($C1314="","",SUMPRODUCT((PARAMETRES!$B$38:$B$157=PARAMETRES!$C$29)*(PARAMETRES!$C$38:$C$157=6)*(IF(EMPLOYES!M52="5j",PARAMETRES!$I$38:$I$157,PARAMETRES!$H$38:$H$157))))</f>
        <v/>
      </c>
      <c r="N1314" s="41">
        <f>IF($C1314="","",SUMPRODUCT((O1314:AS1314="P")+(O1314:AS1314="F")+(O1314:AS1314="C")+0.5*(O1314:AS1314="D"),(1-((O1274:AS1274=6)*(EMPLOYES!M52="5j")))))</f>
        <v/>
      </c>
      <c r="O1314" s="46" t="n"/>
      <c r="P1314" s="46" t="n"/>
      <c r="Q1314" s="46" t="n"/>
      <c r="R1314" s="46" t="n"/>
      <c r="S1314" s="46" t="n"/>
      <c r="T1314" s="46" t="n"/>
      <c r="U1314" s="46" t="n"/>
      <c r="V1314" s="46" t="n"/>
      <c r="W1314" s="46" t="n"/>
      <c r="X1314" s="46" t="n"/>
      <c r="Y1314" s="46" t="n"/>
      <c r="Z1314" s="46" t="n"/>
      <c r="AA1314" s="46" t="n"/>
      <c r="AB1314" s="46" t="n"/>
      <c r="AC1314" s="46" t="n"/>
      <c r="AD1314" s="46" t="n"/>
      <c r="AE1314" s="46" t="n"/>
      <c r="AF1314" s="46" t="n"/>
      <c r="AG1314" s="46" t="n"/>
      <c r="AH1314" s="46" t="n"/>
      <c r="AI1314" s="46" t="n"/>
      <c r="AJ1314" s="46" t="n"/>
      <c r="AK1314" s="46" t="n"/>
      <c r="AL1314" s="46" t="n"/>
      <c r="AM1314" s="46" t="n"/>
      <c r="AN1314" s="46" t="n"/>
      <c r="AO1314" s="46" t="n"/>
      <c r="AP1314" s="46" t="n"/>
      <c r="AQ1314" s="46" t="n"/>
      <c r="AR1314" s="46" t="n"/>
      <c r="AS1314" s="46" t="n"/>
      <c r="AV1314" s="36">
        <f>IF($C1314="","",EMPLOYES!M52)</f>
        <v/>
      </c>
      <c r="AW1314" s="36">
        <f>IF($C1314="",0,SUMPRODUCT(--(O1314:AS1314="C")))</f>
        <v/>
      </c>
      <c r="AX1314" s="36">
        <f>IF($C1314="",0,SUMPRODUCT(--(O1314:AS1314="R")))</f>
        <v/>
      </c>
      <c r="AY1314" s="44" t="n"/>
    </row>
    <row r="1315" hidden="1" outlineLevel="1" ht="15" customHeight="1" s="15">
      <c r="B1315" s="41" t="n">
        <v>6</v>
      </c>
      <c r="C1315" s="42">
        <f>IF(EMPLOYES!C53="","",EMPLOYES!C53)</f>
        <v/>
      </c>
      <c r="D1315" s="43">
        <f>IF(EMPLOYES!C53="","",EMPLOYES!D53)</f>
        <v/>
      </c>
      <c r="E1315" s="44" t="n"/>
      <c r="F1315" s="42" t="n"/>
      <c r="G1315" s="41">
        <f>IF($C1315="",0,MAX(0,$M1315-$N1315))</f>
        <v/>
      </c>
      <c r="H1315" s="45" t="n"/>
      <c r="I1315" s="41">
        <f>IF($C1315="","",IF(H1315="","OK",IF(H1315&gt;EMPLOYES!P53,"⚠ Avance &gt; salaire",IF(H1315&gt;EMPLOYES!P53*PARAMETRES!$C$218,"⚠ Avance élevée","OK"))))</f>
        <v/>
      </c>
      <c r="J1315" s="45" t="n"/>
      <c r="K1315" s="46" t="n"/>
      <c r="L1315" s="46" t="n"/>
      <c r="M1315" s="41">
        <f>IF($C1315="","",SUMPRODUCT((PARAMETRES!$B$38:$B$157=PARAMETRES!$C$29)*(PARAMETRES!$C$38:$C$157=6)*(IF(EMPLOYES!M53="5j",PARAMETRES!$I$38:$I$157,PARAMETRES!$H$38:$H$157))))</f>
        <v/>
      </c>
      <c r="N1315" s="41">
        <f>IF($C1315="","",SUMPRODUCT((O1315:AS1315="P")+(O1315:AS1315="F")+(O1315:AS1315="C")+0.5*(O1315:AS1315="D"),(1-((O1274:AS1274=6)*(EMPLOYES!M53="5j")))))</f>
        <v/>
      </c>
      <c r="O1315" s="46" t="n"/>
      <c r="P1315" s="46" t="n"/>
      <c r="Q1315" s="46" t="n"/>
      <c r="R1315" s="46" t="n"/>
      <c r="S1315" s="46" t="n"/>
      <c r="T1315" s="46" t="n"/>
      <c r="U1315" s="46" t="n"/>
      <c r="V1315" s="46" t="n"/>
      <c r="W1315" s="46" t="n"/>
      <c r="X1315" s="46" t="n"/>
      <c r="Y1315" s="46" t="n"/>
      <c r="Z1315" s="46" t="n"/>
      <c r="AA1315" s="46" t="n"/>
      <c r="AB1315" s="46" t="n"/>
      <c r="AC1315" s="46" t="n"/>
      <c r="AD1315" s="46" t="n"/>
      <c r="AE1315" s="46" t="n"/>
      <c r="AF1315" s="46" t="n"/>
      <c r="AG1315" s="46" t="n"/>
      <c r="AH1315" s="46" t="n"/>
      <c r="AI1315" s="46" t="n"/>
      <c r="AJ1315" s="46" t="n"/>
      <c r="AK1315" s="46" t="n"/>
      <c r="AL1315" s="46" t="n"/>
      <c r="AM1315" s="46" t="n"/>
      <c r="AN1315" s="46" t="n"/>
      <c r="AO1315" s="46" t="n"/>
      <c r="AP1315" s="46" t="n"/>
      <c r="AQ1315" s="46" t="n"/>
      <c r="AR1315" s="46" t="n"/>
      <c r="AS1315" s="46" t="n"/>
      <c r="AV1315" s="36">
        <f>IF($C1315="","",EMPLOYES!M53)</f>
        <v/>
      </c>
      <c r="AW1315" s="36">
        <f>IF($C1315="",0,SUMPRODUCT(--(O1315:AS1315="C")))</f>
        <v/>
      </c>
      <c r="AX1315" s="36">
        <f>IF($C1315="",0,SUMPRODUCT(--(O1315:AS1315="R")))</f>
        <v/>
      </c>
      <c r="AY1315" s="44" t="n"/>
    </row>
    <row r="1316" hidden="1" outlineLevel="1" ht="15" customHeight="1" s="15">
      <c r="B1316" s="41" t="n">
        <v>6</v>
      </c>
      <c r="C1316" s="42">
        <f>IF(EMPLOYES!C54="","",EMPLOYES!C54)</f>
        <v/>
      </c>
      <c r="D1316" s="43">
        <f>IF(EMPLOYES!C54="","",EMPLOYES!D54)</f>
        <v/>
      </c>
      <c r="E1316" s="44" t="n"/>
      <c r="F1316" s="42" t="n"/>
      <c r="G1316" s="41">
        <f>IF($C1316="",0,MAX(0,$M1316-$N1316))</f>
        <v/>
      </c>
      <c r="H1316" s="45" t="n"/>
      <c r="I1316" s="41">
        <f>IF($C1316="","",IF(H1316="","OK",IF(H1316&gt;EMPLOYES!P54,"⚠ Avance &gt; salaire",IF(H1316&gt;EMPLOYES!P54*PARAMETRES!$C$218,"⚠ Avance élevée","OK"))))</f>
        <v/>
      </c>
      <c r="J1316" s="45" t="n"/>
      <c r="K1316" s="46" t="n"/>
      <c r="L1316" s="46" t="n"/>
      <c r="M1316" s="41">
        <f>IF($C1316="","",SUMPRODUCT((PARAMETRES!$B$38:$B$157=PARAMETRES!$C$29)*(PARAMETRES!$C$38:$C$157=6)*(IF(EMPLOYES!M54="5j",PARAMETRES!$I$38:$I$157,PARAMETRES!$H$38:$H$157))))</f>
        <v/>
      </c>
      <c r="N1316" s="41">
        <f>IF($C1316="","",SUMPRODUCT((O1316:AS1316="P")+(O1316:AS1316="F")+(O1316:AS1316="C")+0.5*(O1316:AS1316="D"),(1-((O1274:AS1274=6)*(EMPLOYES!M54="5j")))))</f>
        <v/>
      </c>
      <c r="O1316" s="46" t="n"/>
      <c r="P1316" s="46" t="n"/>
      <c r="Q1316" s="46" t="n"/>
      <c r="R1316" s="46" t="n"/>
      <c r="S1316" s="46" t="n"/>
      <c r="T1316" s="46" t="n"/>
      <c r="U1316" s="46" t="n"/>
      <c r="V1316" s="46" t="n"/>
      <c r="W1316" s="46" t="n"/>
      <c r="X1316" s="46" t="n"/>
      <c r="Y1316" s="46" t="n"/>
      <c r="Z1316" s="46" t="n"/>
      <c r="AA1316" s="46" t="n"/>
      <c r="AB1316" s="46" t="n"/>
      <c r="AC1316" s="46" t="n"/>
      <c r="AD1316" s="46" t="n"/>
      <c r="AE1316" s="46" t="n"/>
      <c r="AF1316" s="46" t="n"/>
      <c r="AG1316" s="46" t="n"/>
      <c r="AH1316" s="46" t="n"/>
      <c r="AI1316" s="46" t="n"/>
      <c r="AJ1316" s="46" t="n"/>
      <c r="AK1316" s="46" t="n"/>
      <c r="AL1316" s="46" t="n"/>
      <c r="AM1316" s="46" t="n"/>
      <c r="AN1316" s="46" t="n"/>
      <c r="AO1316" s="46" t="n"/>
      <c r="AP1316" s="46" t="n"/>
      <c r="AQ1316" s="46" t="n"/>
      <c r="AR1316" s="46" t="n"/>
      <c r="AS1316" s="46" t="n"/>
      <c r="AV1316" s="36">
        <f>IF($C1316="","",EMPLOYES!M54)</f>
        <v/>
      </c>
      <c r="AW1316" s="36">
        <f>IF($C1316="",0,SUMPRODUCT(--(O1316:AS1316="C")))</f>
        <v/>
      </c>
      <c r="AX1316" s="36">
        <f>IF($C1316="",0,SUMPRODUCT(--(O1316:AS1316="R")))</f>
        <v/>
      </c>
      <c r="AY1316" s="44" t="n"/>
    </row>
    <row r="1317" hidden="1" outlineLevel="1" ht="15" customHeight="1" s="15">
      <c r="B1317" s="41" t="n">
        <v>6</v>
      </c>
      <c r="C1317" s="42">
        <f>IF(EMPLOYES!C55="","",EMPLOYES!C55)</f>
        <v/>
      </c>
      <c r="D1317" s="43">
        <f>IF(EMPLOYES!C55="","",EMPLOYES!D55)</f>
        <v/>
      </c>
      <c r="E1317" s="44" t="n"/>
      <c r="F1317" s="42" t="n"/>
      <c r="G1317" s="41">
        <f>IF($C1317="",0,MAX(0,$M1317-$N1317))</f>
        <v/>
      </c>
      <c r="H1317" s="45" t="n"/>
      <c r="I1317" s="41">
        <f>IF($C1317="","",IF(H1317="","OK",IF(H1317&gt;EMPLOYES!P55,"⚠ Avance &gt; salaire",IF(H1317&gt;EMPLOYES!P55*PARAMETRES!$C$218,"⚠ Avance élevée","OK"))))</f>
        <v/>
      </c>
      <c r="J1317" s="45" t="n"/>
      <c r="K1317" s="46" t="n"/>
      <c r="L1317" s="46" t="n"/>
      <c r="M1317" s="41">
        <f>IF($C1317="","",SUMPRODUCT((PARAMETRES!$B$38:$B$157=PARAMETRES!$C$29)*(PARAMETRES!$C$38:$C$157=6)*(IF(EMPLOYES!M55="5j",PARAMETRES!$I$38:$I$157,PARAMETRES!$H$38:$H$157))))</f>
        <v/>
      </c>
      <c r="N1317" s="41">
        <f>IF($C1317="","",SUMPRODUCT((O1317:AS1317="P")+(O1317:AS1317="F")+(O1317:AS1317="C")+0.5*(O1317:AS1317="D"),(1-((O1274:AS1274=6)*(EMPLOYES!M55="5j")))))</f>
        <v/>
      </c>
      <c r="O1317" s="46" t="n"/>
      <c r="P1317" s="46" t="n"/>
      <c r="Q1317" s="46" t="n"/>
      <c r="R1317" s="46" t="n"/>
      <c r="S1317" s="46" t="n"/>
      <c r="T1317" s="46" t="n"/>
      <c r="U1317" s="46" t="n"/>
      <c r="V1317" s="46" t="n"/>
      <c r="W1317" s="46" t="n"/>
      <c r="X1317" s="46" t="n"/>
      <c r="Y1317" s="46" t="n"/>
      <c r="Z1317" s="46" t="n"/>
      <c r="AA1317" s="46" t="n"/>
      <c r="AB1317" s="46" t="n"/>
      <c r="AC1317" s="46" t="n"/>
      <c r="AD1317" s="46" t="n"/>
      <c r="AE1317" s="46" t="n"/>
      <c r="AF1317" s="46" t="n"/>
      <c r="AG1317" s="46" t="n"/>
      <c r="AH1317" s="46" t="n"/>
      <c r="AI1317" s="46" t="n"/>
      <c r="AJ1317" s="46" t="n"/>
      <c r="AK1317" s="46" t="n"/>
      <c r="AL1317" s="46" t="n"/>
      <c r="AM1317" s="46" t="n"/>
      <c r="AN1317" s="46" t="n"/>
      <c r="AO1317" s="46" t="n"/>
      <c r="AP1317" s="46" t="n"/>
      <c r="AQ1317" s="46" t="n"/>
      <c r="AR1317" s="46" t="n"/>
      <c r="AS1317" s="46" t="n"/>
      <c r="AV1317" s="36">
        <f>IF($C1317="","",EMPLOYES!M55)</f>
        <v/>
      </c>
      <c r="AW1317" s="36">
        <f>IF($C1317="",0,SUMPRODUCT(--(O1317:AS1317="C")))</f>
        <v/>
      </c>
      <c r="AX1317" s="36">
        <f>IF($C1317="",0,SUMPRODUCT(--(O1317:AS1317="R")))</f>
        <v/>
      </c>
      <c r="AY1317" s="44" t="n"/>
    </row>
    <row r="1318" hidden="1" outlineLevel="1" ht="15" customHeight="1" s="15">
      <c r="B1318" s="41" t="n">
        <v>6</v>
      </c>
      <c r="C1318" s="42">
        <f>IF(EMPLOYES!C56="","",EMPLOYES!C56)</f>
        <v/>
      </c>
      <c r="D1318" s="43">
        <f>IF(EMPLOYES!C56="","",EMPLOYES!D56)</f>
        <v/>
      </c>
      <c r="E1318" s="44" t="n"/>
      <c r="F1318" s="42" t="n"/>
      <c r="G1318" s="41">
        <f>IF($C1318="",0,MAX(0,$M1318-$N1318))</f>
        <v/>
      </c>
      <c r="H1318" s="45" t="n"/>
      <c r="I1318" s="41">
        <f>IF($C1318="","",IF(H1318="","OK",IF(H1318&gt;EMPLOYES!P56,"⚠ Avance &gt; salaire",IF(H1318&gt;EMPLOYES!P56*PARAMETRES!$C$218,"⚠ Avance élevée","OK"))))</f>
        <v/>
      </c>
      <c r="J1318" s="45" t="n"/>
      <c r="K1318" s="46" t="n"/>
      <c r="L1318" s="46" t="n"/>
      <c r="M1318" s="41">
        <f>IF($C1318="","",SUMPRODUCT((PARAMETRES!$B$38:$B$157=PARAMETRES!$C$29)*(PARAMETRES!$C$38:$C$157=6)*(IF(EMPLOYES!M56="5j",PARAMETRES!$I$38:$I$157,PARAMETRES!$H$38:$H$157))))</f>
        <v/>
      </c>
      <c r="N1318" s="41">
        <f>IF($C1318="","",SUMPRODUCT((O1318:AS1318="P")+(O1318:AS1318="F")+(O1318:AS1318="C")+0.5*(O1318:AS1318="D"),(1-((O1274:AS1274=6)*(EMPLOYES!M56="5j")))))</f>
        <v/>
      </c>
      <c r="O1318" s="46" t="n"/>
      <c r="P1318" s="46" t="n"/>
      <c r="Q1318" s="46" t="n"/>
      <c r="R1318" s="46" t="n"/>
      <c r="S1318" s="46" t="n"/>
      <c r="T1318" s="46" t="n"/>
      <c r="U1318" s="46" t="n"/>
      <c r="V1318" s="46" t="n"/>
      <c r="W1318" s="46" t="n"/>
      <c r="X1318" s="46" t="n"/>
      <c r="Y1318" s="46" t="n"/>
      <c r="Z1318" s="46" t="n"/>
      <c r="AA1318" s="46" t="n"/>
      <c r="AB1318" s="46" t="n"/>
      <c r="AC1318" s="46" t="n"/>
      <c r="AD1318" s="46" t="n"/>
      <c r="AE1318" s="46" t="n"/>
      <c r="AF1318" s="46" t="n"/>
      <c r="AG1318" s="46" t="n"/>
      <c r="AH1318" s="46" t="n"/>
      <c r="AI1318" s="46" t="n"/>
      <c r="AJ1318" s="46" t="n"/>
      <c r="AK1318" s="46" t="n"/>
      <c r="AL1318" s="46" t="n"/>
      <c r="AM1318" s="46" t="n"/>
      <c r="AN1318" s="46" t="n"/>
      <c r="AO1318" s="46" t="n"/>
      <c r="AP1318" s="46" t="n"/>
      <c r="AQ1318" s="46" t="n"/>
      <c r="AR1318" s="46" t="n"/>
      <c r="AS1318" s="46" t="n"/>
      <c r="AV1318" s="36">
        <f>IF($C1318="","",EMPLOYES!M56)</f>
        <v/>
      </c>
      <c r="AW1318" s="36">
        <f>IF($C1318="",0,SUMPRODUCT(--(O1318:AS1318="C")))</f>
        <v/>
      </c>
      <c r="AX1318" s="36">
        <f>IF($C1318="",0,SUMPRODUCT(--(O1318:AS1318="R")))</f>
        <v/>
      </c>
      <c r="AY1318" s="44" t="n"/>
    </row>
    <row r="1319" hidden="1" outlineLevel="1" ht="15" customHeight="1" s="15">
      <c r="B1319" s="41" t="n">
        <v>6</v>
      </c>
      <c r="C1319" s="42">
        <f>IF(EMPLOYES!C57="","",EMPLOYES!C57)</f>
        <v/>
      </c>
      <c r="D1319" s="43">
        <f>IF(EMPLOYES!C57="","",EMPLOYES!D57)</f>
        <v/>
      </c>
      <c r="E1319" s="44" t="n"/>
      <c r="F1319" s="42" t="n"/>
      <c r="G1319" s="41">
        <f>IF($C1319="",0,MAX(0,$M1319-$N1319))</f>
        <v/>
      </c>
      <c r="H1319" s="45" t="n"/>
      <c r="I1319" s="41">
        <f>IF($C1319="","",IF(H1319="","OK",IF(H1319&gt;EMPLOYES!P57,"⚠ Avance &gt; salaire",IF(H1319&gt;EMPLOYES!P57*PARAMETRES!$C$218,"⚠ Avance élevée","OK"))))</f>
        <v/>
      </c>
      <c r="J1319" s="45" t="n"/>
      <c r="K1319" s="46" t="n"/>
      <c r="L1319" s="46" t="n"/>
      <c r="M1319" s="41">
        <f>IF($C1319="","",SUMPRODUCT((PARAMETRES!$B$38:$B$157=PARAMETRES!$C$29)*(PARAMETRES!$C$38:$C$157=6)*(IF(EMPLOYES!M57="5j",PARAMETRES!$I$38:$I$157,PARAMETRES!$H$38:$H$157))))</f>
        <v/>
      </c>
      <c r="N1319" s="41">
        <f>IF($C1319="","",SUMPRODUCT((O1319:AS1319="P")+(O1319:AS1319="F")+(O1319:AS1319="C")+0.5*(O1319:AS1319="D"),(1-((O1274:AS1274=6)*(EMPLOYES!M57="5j")))))</f>
        <v/>
      </c>
      <c r="O1319" s="46" t="n"/>
      <c r="P1319" s="46" t="n"/>
      <c r="Q1319" s="46" t="n"/>
      <c r="R1319" s="46" t="n"/>
      <c r="S1319" s="46" t="n"/>
      <c r="T1319" s="46" t="n"/>
      <c r="U1319" s="46" t="n"/>
      <c r="V1319" s="46" t="n"/>
      <c r="W1319" s="46" t="n"/>
      <c r="X1319" s="46" t="n"/>
      <c r="Y1319" s="46" t="n"/>
      <c r="Z1319" s="46" t="n"/>
      <c r="AA1319" s="46" t="n"/>
      <c r="AB1319" s="46" t="n"/>
      <c r="AC1319" s="46" t="n"/>
      <c r="AD1319" s="46" t="n"/>
      <c r="AE1319" s="46" t="n"/>
      <c r="AF1319" s="46" t="n"/>
      <c r="AG1319" s="46" t="n"/>
      <c r="AH1319" s="46" t="n"/>
      <c r="AI1319" s="46" t="n"/>
      <c r="AJ1319" s="46" t="n"/>
      <c r="AK1319" s="46" t="n"/>
      <c r="AL1319" s="46" t="n"/>
      <c r="AM1319" s="46" t="n"/>
      <c r="AN1319" s="46" t="n"/>
      <c r="AO1319" s="46" t="n"/>
      <c r="AP1319" s="46" t="n"/>
      <c r="AQ1319" s="46" t="n"/>
      <c r="AR1319" s="46" t="n"/>
      <c r="AS1319" s="46" t="n"/>
      <c r="AV1319" s="36">
        <f>IF($C1319="","",EMPLOYES!M57)</f>
        <v/>
      </c>
      <c r="AW1319" s="36">
        <f>IF($C1319="",0,SUMPRODUCT(--(O1319:AS1319="C")))</f>
        <v/>
      </c>
      <c r="AX1319" s="36">
        <f>IF($C1319="",0,SUMPRODUCT(--(O1319:AS1319="R")))</f>
        <v/>
      </c>
      <c r="AY1319" s="44" t="n"/>
    </row>
    <row r="1320" hidden="1" outlineLevel="1" ht="15" customHeight="1" s="15">
      <c r="B1320" s="41" t="n">
        <v>6</v>
      </c>
      <c r="C1320" s="42">
        <f>IF(EMPLOYES!C58="","",EMPLOYES!C58)</f>
        <v/>
      </c>
      <c r="D1320" s="43">
        <f>IF(EMPLOYES!C58="","",EMPLOYES!D58)</f>
        <v/>
      </c>
      <c r="E1320" s="44" t="n"/>
      <c r="F1320" s="42" t="n"/>
      <c r="G1320" s="41">
        <f>IF($C1320="",0,MAX(0,$M1320-$N1320))</f>
        <v/>
      </c>
      <c r="H1320" s="45" t="n"/>
      <c r="I1320" s="41">
        <f>IF($C1320="","",IF(H1320="","OK",IF(H1320&gt;EMPLOYES!P58,"⚠ Avance &gt; salaire",IF(H1320&gt;EMPLOYES!P58*PARAMETRES!$C$218,"⚠ Avance élevée","OK"))))</f>
        <v/>
      </c>
      <c r="J1320" s="45" t="n"/>
      <c r="K1320" s="46" t="n"/>
      <c r="L1320" s="46" t="n"/>
      <c r="M1320" s="41">
        <f>IF($C1320="","",SUMPRODUCT((PARAMETRES!$B$38:$B$157=PARAMETRES!$C$29)*(PARAMETRES!$C$38:$C$157=6)*(IF(EMPLOYES!M58="5j",PARAMETRES!$I$38:$I$157,PARAMETRES!$H$38:$H$157))))</f>
        <v/>
      </c>
      <c r="N1320" s="41">
        <f>IF($C1320="","",SUMPRODUCT((O1320:AS1320="P")+(O1320:AS1320="F")+(O1320:AS1320="C")+0.5*(O1320:AS1320="D"),(1-((O1274:AS1274=6)*(EMPLOYES!M58="5j")))))</f>
        <v/>
      </c>
      <c r="O1320" s="46" t="n"/>
      <c r="P1320" s="46" t="n"/>
      <c r="Q1320" s="46" t="n"/>
      <c r="R1320" s="46" t="n"/>
      <c r="S1320" s="46" t="n"/>
      <c r="T1320" s="46" t="n"/>
      <c r="U1320" s="46" t="n"/>
      <c r="V1320" s="46" t="n"/>
      <c r="W1320" s="46" t="n"/>
      <c r="X1320" s="46" t="n"/>
      <c r="Y1320" s="46" t="n"/>
      <c r="Z1320" s="46" t="n"/>
      <c r="AA1320" s="46" t="n"/>
      <c r="AB1320" s="46" t="n"/>
      <c r="AC1320" s="46" t="n"/>
      <c r="AD1320" s="46" t="n"/>
      <c r="AE1320" s="46" t="n"/>
      <c r="AF1320" s="46" t="n"/>
      <c r="AG1320" s="46" t="n"/>
      <c r="AH1320" s="46" t="n"/>
      <c r="AI1320" s="46" t="n"/>
      <c r="AJ1320" s="46" t="n"/>
      <c r="AK1320" s="46" t="n"/>
      <c r="AL1320" s="46" t="n"/>
      <c r="AM1320" s="46" t="n"/>
      <c r="AN1320" s="46" t="n"/>
      <c r="AO1320" s="46" t="n"/>
      <c r="AP1320" s="46" t="n"/>
      <c r="AQ1320" s="46" t="n"/>
      <c r="AR1320" s="46" t="n"/>
      <c r="AS1320" s="46" t="n"/>
      <c r="AV1320" s="36">
        <f>IF($C1320="","",EMPLOYES!M58)</f>
        <v/>
      </c>
      <c r="AW1320" s="36">
        <f>IF($C1320="",0,SUMPRODUCT(--(O1320:AS1320="C")))</f>
        <v/>
      </c>
      <c r="AX1320" s="36">
        <f>IF($C1320="",0,SUMPRODUCT(--(O1320:AS1320="R")))</f>
        <v/>
      </c>
      <c r="AY1320" s="44" t="n"/>
    </row>
    <row r="1321" hidden="1" outlineLevel="1" ht="15" customHeight="1" s="15">
      <c r="B1321" s="41" t="n">
        <v>6</v>
      </c>
      <c r="C1321" s="42">
        <f>IF(EMPLOYES!C59="","",EMPLOYES!C59)</f>
        <v/>
      </c>
      <c r="D1321" s="43">
        <f>IF(EMPLOYES!C59="","",EMPLOYES!D59)</f>
        <v/>
      </c>
      <c r="E1321" s="44" t="n"/>
      <c r="F1321" s="42" t="n"/>
      <c r="G1321" s="41">
        <f>IF($C1321="",0,MAX(0,$M1321-$N1321))</f>
        <v/>
      </c>
      <c r="H1321" s="45" t="n"/>
      <c r="I1321" s="41">
        <f>IF($C1321="","",IF(H1321="","OK",IF(H1321&gt;EMPLOYES!P59,"⚠ Avance &gt; salaire",IF(H1321&gt;EMPLOYES!P59*PARAMETRES!$C$218,"⚠ Avance élevée","OK"))))</f>
        <v/>
      </c>
      <c r="J1321" s="45" t="n"/>
      <c r="K1321" s="46" t="n"/>
      <c r="L1321" s="46" t="n"/>
      <c r="M1321" s="41">
        <f>IF($C1321="","",SUMPRODUCT((PARAMETRES!$B$38:$B$157=PARAMETRES!$C$29)*(PARAMETRES!$C$38:$C$157=6)*(IF(EMPLOYES!M59="5j",PARAMETRES!$I$38:$I$157,PARAMETRES!$H$38:$H$157))))</f>
        <v/>
      </c>
      <c r="N1321" s="41">
        <f>IF($C1321="","",SUMPRODUCT((O1321:AS1321="P")+(O1321:AS1321="F")+(O1321:AS1321="C")+0.5*(O1321:AS1321="D"),(1-((O1274:AS1274=6)*(EMPLOYES!M59="5j")))))</f>
        <v/>
      </c>
      <c r="O1321" s="46" t="n"/>
      <c r="P1321" s="46" t="n"/>
      <c r="Q1321" s="46" t="n"/>
      <c r="R1321" s="46" t="n"/>
      <c r="S1321" s="46" t="n"/>
      <c r="T1321" s="46" t="n"/>
      <c r="U1321" s="46" t="n"/>
      <c r="V1321" s="46" t="n"/>
      <c r="W1321" s="46" t="n"/>
      <c r="X1321" s="46" t="n"/>
      <c r="Y1321" s="46" t="n"/>
      <c r="Z1321" s="46" t="n"/>
      <c r="AA1321" s="46" t="n"/>
      <c r="AB1321" s="46" t="n"/>
      <c r="AC1321" s="46" t="n"/>
      <c r="AD1321" s="46" t="n"/>
      <c r="AE1321" s="46" t="n"/>
      <c r="AF1321" s="46" t="n"/>
      <c r="AG1321" s="46" t="n"/>
      <c r="AH1321" s="46" t="n"/>
      <c r="AI1321" s="46" t="n"/>
      <c r="AJ1321" s="46" t="n"/>
      <c r="AK1321" s="46" t="n"/>
      <c r="AL1321" s="46" t="n"/>
      <c r="AM1321" s="46" t="n"/>
      <c r="AN1321" s="46" t="n"/>
      <c r="AO1321" s="46" t="n"/>
      <c r="AP1321" s="46" t="n"/>
      <c r="AQ1321" s="46" t="n"/>
      <c r="AR1321" s="46" t="n"/>
      <c r="AS1321" s="46" t="n"/>
      <c r="AV1321" s="36">
        <f>IF($C1321="","",EMPLOYES!M59)</f>
        <v/>
      </c>
      <c r="AW1321" s="36">
        <f>IF($C1321="",0,SUMPRODUCT(--(O1321:AS1321="C")))</f>
        <v/>
      </c>
      <c r="AX1321" s="36">
        <f>IF($C1321="",0,SUMPRODUCT(--(O1321:AS1321="R")))</f>
        <v/>
      </c>
      <c r="AY1321" s="44" t="n"/>
    </row>
    <row r="1322" hidden="1" outlineLevel="1" ht="15" customHeight="1" s="15">
      <c r="B1322" s="41" t="n">
        <v>6</v>
      </c>
      <c r="C1322" s="42">
        <f>IF(EMPLOYES!C60="","",EMPLOYES!C60)</f>
        <v/>
      </c>
      <c r="D1322" s="43">
        <f>IF(EMPLOYES!C60="","",EMPLOYES!D60)</f>
        <v/>
      </c>
      <c r="E1322" s="44" t="n"/>
      <c r="F1322" s="42" t="n"/>
      <c r="G1322" s="41">
        <f>IF($C1322="",0,MAX(0,$M1322-$N1322))</f>
        <v/>
      </c>
      <c r="H1322" s="45" t="n"/>
      <c r="I1322" s="41">
        <f>IF($C1322="","",IF(H1322="","OK",IF(H1322&gt;EMPLOYES!P60,"⚠ Avance &gt; salaire",IF(H1322&gt;EMPLOYES!P60*PARAMETRES!$C$218,"⚠ Avance élevée","OK"))))</f>
        <v/>
      </c>
      <c r="J1322" s="45" t="n"/>
      <c r="K1322" s="46" t="n"/>
      <c r="L1322" s="46" t="n"/>
      <c r="M1322" s="41">
        <f>IF($C1322="","",SUMPRODUCT((PARAMETRES!$B$38:$B$157=PARAMETRES!$C$29)*(PARAMETRES!$C$38:$C$157=6)*(IF(EMPLOYES!M60="5j",PARAMETRES!$I$38:$I$157,PARAMETRES!$H$38:$H$157))))</f>
        <v/>
      </c>
      <c r="N1322" s="41">
        <f>IF($C1322="","",SUMPRODUCT((O1322:AS1322="P")+(O1322:AS1322="F")+(O1322:AS1322="C")+0.5*(O1322:AS1322="D"),(1-((O1274:AS1274=6)*(EMPLOYES!M60="5j")))))</f>
        <v/>
      </c>
      <c r="O1322" s="46" t="n"/>
      <c r="P1322" s="46" t="n"/>
      <c r="Q1322" s="46" t="n"/>
      <c r="R1322" s="46" t="n"/>
      <c r="S1322" s="46" t="n"/>
      <c r="T1322" s="46" t="n"/>
      <c r="U1322" s="46" t="n"/>
      <c r="V1322" s="46" t="n"/>
      <c r="W1322" s="46" t="n"/>
      <c r="X1322" s="46" t="n"/>
      <c r="Y1322" s="46" t="n"/>
      <c r="Z1322" s="46" t="n"/>
      <c r="AA1322" s="46" t="n"/>
      <c r="AB1322" s="46" t="n"/>
      <c r="AC1322" s="46" t="n"/>
      <c r="AD1322" s="46" t="n"/>
      <c r="AE1322" s="46" t="n"/>
      <c r="AF1322" s="46" t="n"/>
      <c r="AG1322" s="46" t="n"/>
      <c r="AH1322" s="46" t="n"/>
      <c r="AI1322" s="46" t="n"/>
      <c r="AJ1322" s="46" t="n"/>
      <c r="AK1322" s="46" t="n"/>
      <c r="AL1322" s="46" t="n"/>
      <c r="AM1322" s="46" t="n"/>
      <c r="AN1322" s="46" t="n"/>
      <c r="AO1322" s="46" t="n"/>
      <c r="AP1322" s="46" t="n"/>
      <c r="AQ1322" s="46" t="n"/>
      <c r="AR1322" s="46" t="n"/>
      <c r="AS1322" s="46" t="n"/>
      <c r="AV1322" s="36">
        <f>IF($C1322="","",EMPLOYES!M60)</f>
        <v/>
      </c>
      <c r="AW1322" s="36">
        <f>IF($C1322="",0,SUMPRODUCT(--(O1322:AS1322="C")))</f>
        <v/>
      </c>
      <c r="AX1322" s="36">
        <f>IF($C1322="",0,SUMPRODUCT(--(O1322:AS1322="R")))</f>
        <v/>
      </c>
      <c r="AY1322" s="44" t="n"/>
    </row>
    <row r="1323" hidden="1" outlineLevel="1" ht="15" customHeight="1" s="15">
      <c r="B1323" s="41" t="n">
        <v>6</v>
      </c>
      <c r="C1323" s="42">
        <f>IF(EMPLOYES!C61="","",EMPLOYES!C61)</f>
        <v/>
      </c>
      <c r="D1323" s="43">
        <f>IF(EMPLOYES!C61="","",EMPLOYES!D61)</f>
        <v/>
      </c>
      <c r="E1323" s="44" t="n"/>
      <c r="F1323" s="42" t="n"/>
      <c r="G1323" s="41">
        <f>IF($C1323="",0,MAX(0,$M1323-$N1323))</f>
        <v/>
      </c>
      <c r="H1323" s="45" t="n"/>
      <c r="I1323" s="41">
        <f>IF($C1323="","",IF(H1323="","OK",IF(H1323&gt;EMPLOYES!P61,"⚠ Avance &gt; salaire",IF(H1323&gt;EMPLOYES!P61*PARAMETRES!$C$218,"⚠ Avance élevée","OK"))))</f>
        <v/>
      </c>
      <c r="J1323" s="45" t="n"/>
      <c r="K1323" s="46" t="n"/>
      <c r="L1323" s="46" t="n"/>
      <c r="M1323" s="41">
        <f>IF($C1323="","",SUMPRODUCT((PARAMETRES!$B$38:$B$157=PARAMETRES!$C$29)*(PARAMETRES!$C$38:$C$157=6)*(IF(EMPLOYES!M61="5j",PARAMETRES!$I$38:$I$157,PARAMETRES!$H$38:$H$157))))</f>
        <v/>
      </c>
      <c r="N1323" s="41">
        <f>IF($C1323="","",SUMPRODUCT((O1323:AS1323="P")+(O1323:AS1323="F")+(O1323:AS1323="C")+0.5*(O1323:AS1323="D"),(1-((O1274:AS1274=6)*(EMPLOYES!M61="5j")))))</f>
        <v/>
      </c>
      <c r="O1323" s="46" t="n"/>
      <c r="P1323" s="46" t="n"/>
      <c r="Q1323" s="46" t="n"/>
      <c r="R1323" s="46" t="n"/>
      <c r="S1323" s="46" t="n"/>
      <c r="T1323" s="46" t="n"/>
      <c r="U1323" s="46" t="n"/>
      <c r="V1323" s="46" t="n"/>
      <c r="W1323" s="46" t="n"/>
      <c r="X1323" s="46" t="n"/>
      <c r="Y1323" s="46" t="n"/>
      <c r="Z1323" s="46" t="n"/>
      <c r="AA1323" s="46" t="n"/>
      <c r="AB1323" s="46" t="n"/>
      <c r="AC1323" s="46" t="n"/>
      <c r="AD1323" s="46" t="n"/>
      <c r="AE1323" s="46" t="n"/>
      <c r="AF1323" s="46" t="n"/>
      <c r="AG1323" s="46" t="n"/>
      <c r="AH1323" s="46" t="n"/>
      <c r="AI1323" s="46" t="n"/>
      <c r="AJ1323" s="46" t="n"/>
      <c r="AK1323" s="46" t="n"/>
      <c r="AL1323" s="46" t="n"/>
      <c r="AM1323" s="46" t="n"/>
      <c r="AN1323" s="46" t="n"/>
      <c r="AO1323" s="46" t="n"/>
      <c r="AP1323" s="46" t="n"/>
      <c r="AQ1323" s="46" t="n"/>
      <c r="AR1323" s="46" t="n"/>
      <c r="AS1323" s="46" t="n"/>
      <c r="AV1323" s="36">
        <f>IF($C1323="","",EMPLOYES!M61)</f>
        <v/>
      </c>
      <c r="AW1323" s="36">
        <f>IF($C1323="",0,SUMPRODUCT(--(O1323:AS1323="C")))</f>
        <v/>
      </c>
      <c r="AX1323" s="36">
        <f>IF($C1323="",0,SUMPRODUCT(--(O1323:AS1323="R")))</f>
        <v/>
      </c>
      <c r="AY1323" s="44" t="n"/>
    </row>
    <row r="1324" hidden="1" outlineLevel="1" ht="15" customHeight="1" s="15">
      <c r="B1324" s="41" t="n">
        <v>6</v>
      </c>
      <c r="C1324" s="42">
        <f>IF(EMPLOYES!C62="","",EMPLOYES!C62)</f>
        <v/>
      </c>
      <c r="D1324" s="43">
        <f>IF(EMPLOYES!C62="","",EMPLOYES!D62)</f>
        <v/>
      </c>
      <c r="E1324" s="44" t="n"/>
      <c r="F1324" s="42" t="n"/>
      <c r="G1324" s="41">
        <f>IF($C1324="",0,MAX(0,$M1324-$N1324))</f>
        <v/>
      </c>
      <c r="H1324" s="45" t="n"/>
      <c r="I1324" s="41">
        <f>IF($C1324="","",IF(H1324="","OK",IF(H1324&gt;EMPLOYES!P62,"⚠ Avance &gt; salaire",IF(H1324&gt;EMPLOYES!P62*PARAMETRES!$C$218,"⚠ Avance élevée","OK"))))</f>
        <v/>
      </c>
      <c r="J1324" s="45" t="n"/>
      <c r="K1324" s="46" t="n"/>
      <c r="L1324" s="46" t="n"/>
      <c r="M1324" s="41">
        <f>IF($C1324="","",SUMPRODUCT((PARAMETRES!$B$38:$B$157=PARAMETRES!$C$29)*(PARAMETRES!$C$38:$C$157=6)*(IF(EMPLOYES!M62="5j",PARAMETRES!$I$38:$I$157,PARAMETRES!$H$38:$H$157))))</f>
        <v/>
      </c>
      <c r="N1324" s="41">
        <f>IF($C1324="","",SUMPRODUCT((O1324:AS1324="P")+(O1324:AS1324="F")+(O1324:AS1324="C")+0.5*(O1324:AS1324="D"),(1-((O1274:AS1274=6)*(EMPLOYES!M62="5j")))))</f>
        <v/>
      </c>
      <c r="O1324" s="46" t="n"/>
      <c r="P1324" s="46" t="n"/>
      <c r="Q1324" s="46" t="n"/>
      <c r="R1324" s="46" t="n"/>
      <c r="S1324" s="46" t="n"/>
      <c r="T1324" s="46" t="n"/>
      <c r="U1324" s="46" t="n"/>
      <c r="V1324" s="46" t="n"/>
      <c r="W1324" s="46" t="n"/>
      <c r="X1324" s="46" t="n"/>
      <c r="Y1324" s="46" t="n"/>
      <c r="Z1324" s="46" t="n"/>
      <c r="AA1324" s="46" t="n"/>
      <c r="AB1324" s="46" t="n"/>
      <c r="AC1324" s="46" t="n"/>
      <c r="AD1324" s="46" t="n"/>
      <c r="AE1324" s="46" t="n"/>
      <c r="AF1324" s="46" t="n"/>
      <c r="AG1324" s="46" t="n"/>
      <c r="AH1324" s="46" t="n"/>
      <c r="AI1324" s="46" t="n"/>
      <c r="AJ1324" s="46" t="n"/>
      <c r="AK1324" s="46" t="n"/>
      <c r="AL1324" s="46" t="n"/>
      <c r="AM1324" s="46" t="n"/>
      <c r="AN1324" s="46" t="n"/>
      <c r="AO1324" s="46" t="n"/>
      <c r="AP1324" s="46" t="n"/>
      <c r="AQ1324" s="46" t="n"/>
      <c r="AR1324" s="46" t="n"/>
      <c r="AS1324" s="46" t="n"/>
      <c r="AV1324" s="36">
        <f>IF($C1324="","",EMPLOYES!M62)</f>
        <v/>
      </c>
      <c r="AW1324" s="36">
        <f>IF($C1324="",0,SUMPRODUCT(--(O1324:AS1324="C")))</f>
        <v/>
      </c>
      <c r="AX1324" s="36">
        <f>IF($C1324="",0,SUMPRODUCT(--(O1324:AS1324="R")))</f>
        <v/>
      </c>
      <c r="AY1324" s="44" t="n"/>
    </row>
    <row r="1325" hidden="1" outlineLevel="1" ht="15" customHeight="1" s="15">
      <c r="B1325" s="41" t="n">
        <v>6</v>
      </c>
      <c r="C1325" s="42">
        <f>IF(EMPLOYES!C63="","",EMPLOYES!C63)</f>
        <v/>
      </c>
      <c r="D1325" s="43">
        <f>IF(EMPLOYES!C63="","",EMPLOYES!D63)</f>
        <v/>
      </c>
      <c r="E1325" s="44" t="n"/>
      <c r="F1325" s="42" t="n"/>
      <c r="G1325" s="41">
        <f>IF($C1325="",0,MAX(0,$M1325-$N1325))</f>
        <v/>
      </c>
      <c r="H1325" s="45" t="n"/>
      <c r="I1325" s="41">
        <f>IF($C1325="","",IF(H1325="","OK",IF(H1325&gt;EMPLOYES!P63,"⚠ Avance &gt; salaire",IF(H1325&gt;EMPLOYES!P63*PARAMETRES!$C$218,"⚠ Avance élevée","OK"))))</f>
        <v/>
      </c>
      <c r="J1325" s="45" t="n"/>
      <c r="K1325" s="46" t="n"/>
      <c r="L1325" s="46" t="n"/>
      <c r="M1325" s="41">
        <f>IF($C1325="","",SUMPRODUCT((PARAMETRES!$B$38:$B$157=PARAMETRES!$C$29)*(PARAMETRES!$C$38:$C$157=6)*(IF(EMPLOYES!M63="5j",PARAMETRES!$I$38:$I$157,PARAMETRES!$H$38:$H$157))))</f>
        <v/>
      </c>
      <c r="N1325" s="41">
        <f>IF($C1325="","",SUMPRODUCT((O1325:AS1325="P")+(O1325:AS1325="F")+(O1325:AS1325="C")+0.5*(O1325:AS1325="D"),(1-((O1274:AS1274=6)*(EMPLOYES!M63="5j")))))</f>
        <v/>
      </c>
      <c r="O1325" s="46" t="n"/>
      <c r="P1325" s="46" t="n"/>
      <c r="Q1325" s="46" t="n"/>
      <c r="R1325" s="46" t="n"/>
      <c r="S1325" s="46" t="n"/>
      <c r="T1325" s="46" t="n"/>
      <c r="U1325" s="46" t="n"/>
      <c r="V1325" s="46" t="n"/>
      <c r="W1325" s="46" t="n"/>
      <c r="X1325" s="46" t="n"/>
      <c r="Y1325" s="46" t="n"/>
      <c r="Z1325" s="46" t="n"/>
      <c r="AA1325" s="46" t="n"/>
      <c r="AB1325" s="46" t="n"/>
      <c r="AC1325" s="46" t="n"/>
      <c r="AD1325" s="46" t="n"/>
      <c r="AE1325" s="46" t="n"/>
      <c r="AF1325" s="46" t="n"/>
      <c r="AG1325" s="46" t="n"/>
      <c r="AH1325" s="46" t="n"/>
      <c r="AI1325" s="46" t="n"/>
      <c r="AJ1325" s="46" t="n"/>
      <c r="AK1325" s="46" t="n"/>
      <c r="AL1325" s="46" t="n"/>
      <c r="AM1325" s="46" t="n"/>
      <c r="AN1325" s="46" t="n"/>
      <c r="AO1325" s="46" t="n"/>
      <c r="AP1325" s="46" t="n"/>
      <c r="AQ1325" s="46" t="n"/>
      <c r="AR1325" s="46" t="n"/>
      <c r="AS1325" s="46" t="n"/>
      <c r="AV1325" s="36">
        <f>IF($C1325="","",EMPLOYES!M63)</f>
        <v/>
      </c>
      <c r="AW1325" s="36">
        <f>IF($C1325="",0,SUMPRODUCT(--(O1325:AS1325="C")))</f>
        <v/>
      </c>
      <c r="AX1325" s="36">
        <f>IF($C1325="",0,SUMPRODUCT(--(O1325:AS1325="R")))</f>
        <v/>
      </c>
      <c r="AY1325" s="44" t="n"/>
    </row>
    <row r="1326" hidden="1" outlineLevel="1" ht="15" customHeight="1" s="15">
      <c r="B1326" s="41" t="n">
        <v>6</v>
      </c>
      <c r="C1326" s="42">
        <f>IF(EMPLOYES!C64="","",EMPLOYES!C64)</f>
        <v/>
      </c>
      <c r="D1326" s="43">
        <f>IF(EMPLOYES!C64="","",EMPLOYES!D64)</f>
        <v/>
      </c>
      <c r="E1326" s="44" t="n"/>
      <c r="F1326" s="42" t="n"/>
      <c r="G1326" s="41">
        <f>IF($C1326="",0,MAX(0,$M1326-$N1326))</f>
        <v/>
      </c>
      <c r="H1326" s="45" t="n"/>
      <c r="I1326" s="41">
        <f>IF($C1326="","",IF(H1326="","OK",IF(H1326&gt;EMPLOYES!P64,"⚠ Avance &gt; salaire",IF(H1326&gt;EMPLOYES!P64*PARAMETRES!$C$218,"⚠ Avance élevée","OK"))))</f>
        <v/>
      </c>
      <c r="J1326" s="45" t="n"/>
      <c r="K1326" s="46" t="n"/>
      <c r="L1326" s="46" t="n"/>
      <c r="M1326" s="41">
        <f>IF($C1326="","",SUMPRODUCT((PARAMETRES!$B$38:$B$157=PARAMETRES!$C$29)*(PARAMETRES!$C$38:$C$157=6)*(IF(EMPLOYES!M64="5j",PARAMETRES!$I$38:$I$157,PARAMETRES!$H$38:$H$157))))</f>
        <v/>
      </c>
      <c r="N1326" s="41">
        <f>IF($C1326="","",SUMPRODUCT((O1326:AS1326="P")+(O1326:AS1326="F")+(O1326:AS1326="C")+0.5*(O1326:AS1326="D"),(1-((O1274:AS1274=6)*(EMPLOYES!M64="5j")))))</f>
        <v/>
      </c>
      <c r="O1326" s="46" t="n"/>
      <c r="P1326" s="46" t="n"/>
      <c r="Q1326" s="46" t="n"/>
      <c r="R1326" s="46" t="n"/>
      <c r="S1326" s="46" t="n"/>
      <c r="T1326" s="46" t="n"/>
      <c r="U1326" s="46" t="n"/>
      <c r="V1326" s="46" t="n"/>
      <c r="W1326" s="46" t="n"/>
      <c r="X1326" s="46" t="n"/>
      <c r="Y1326" s="46" t="n"/>
      <c r="Z1326" s="46" t="n"/>
      <c r="AA1326" s="46" t="n"/>
      <c r="AB1326" s="46" t="n"/>
      <c r="AC1326" s="46" t="n"/>
      <c r="AD1326" s="46" t="n"/>
      <c r="AE1326" s="46" t="n"/>
      <c r="AF1326" s="46" t="n"/>
      <c r="AG1326" s="46" t="n"/>
      <c r="AH1326" s="46" t="n"/>
      <c r="AI1326" s="46" t="n"/>
      <c r="AJ1326" s="46" t="n"/>
      <c r="AK1326" s="46" t="n"/>
      <c r="AL1326" s="46" t="n"/>
      <c r="AM1326" s="46" t="n"/>
      <c r="AN1326" s="46" t="n"/>
      <c r="AO1326" s="46" t="n"/>
      <c r="AP1326" s="46" t="n"/>
      <c r="AQ1326" s="46" t="n"/>
      <c r="AR1326" s="46" t="n"/>
      <c r="AS1326" s="46" t="n"/>
      <c r="AV1326" s="36">
        <f>IF($C1326="","",EMPLOYES!M64)</f>
        <v/>
      </c>
      <c r="AW1326" s="36">
        <f>IF($C1326="",0,SUMPRODUCT(--(O1326:AS1326="C")))</f>
        <v/>
      </c>
      <c r="AX1326" s="36">
        <f>IF($C1326="",0,SUMPRODUCT(--(O1326:AS1326="R")))</f>
        <v/>
      </c>
      <c r="AY1326" s="44" t="n"/>
    </row>
    <row r="1327" hidden="1" outlineLevel="1" ht="15" customHeight="1" s="15">
      <c r="B1327" s="41" t="n">
        <v>6</v>
      </c>
      <c r="C1327" s="42">
        <f>IF(EMPLOYES!C65="","",EMPLOYES!C65)</f>
        <v/>
      </c>
      <c r="D1327" s="43">
        <f>IF(EMPLOYES!C65="","",EMPLOYES!D65)</f>
        <v/>
      </c>
      <c r="E1327" s="44" t="n"/>
      <c r="F1327" s="42" t="n"/>
      <c r="G1327" s="41">
        <f>IF($C1327="",0,MAX(0,$M1327-$N1327))</f>
        <v/>
      </c>
      <c r="H1327" s="45" t="n"/>
      <c r="I1327" s="41">
        <f>IF($C1327="","",IF(H1327="","OK",IF(H1327&gt;EMPLOYES!P65,"⚠ Avance &gt; salaire",IF(H1327&gt;EMPLOYES!P65*PARAMETRES!$C$218,"⚠ Avance élevée","OK"))))</f>
        <v/>
      </c>
      <c r="J1327" s="45" t="n"/>
      <c r="K1327" s="46" t="n"/>
      <c r="L1327" s="46" t="n"/>
      <c r="M1327" s="41">
        <f>IF($C1327="","",SUMPRODUCT((PARAMETRES!$B$38:$B$157=PARAMETRES!$C$29)*(PARAMETRES!$C$38:$C$157=6)*(IF(EMPLOYES!M65="5j",PARAMETRES!$I$38:$I$157,PARAMETRES!$H$38:$H$157))))</f>
        <v/>
      </c>
      <c r="N1327" s="41">
        <f>IF($C1327="","",SUMPRODUCT((O1327:AS1327="P")+(O1327:AS1327="F")+(O1327:AS1327="C")+0.5*(O1327:AS1327="D"),(1-((O1274:AS1274=6)*(EMPLOYES!M65="5j")))))</f>
        <v/>
      </c>
      <c r="O1327" s="46" t="n"/>
      <c r="P1327" s="46" t="n"/>
      <c r="Q1327" s="46" t="n"/>
      <c r="R1327" s="46" t="n"/>
      <c r="S1327" s="46" t="n"/>
      <c r="T1327" s="46" t="n"/>
      <c r="U1327" s="46" t="n"/>
      <c r="V1327" s="46" t="n"/>
      <c r="W1327" s="46" t="n"/>
      <c r="X1327" s="46" t="n"/>
      <c r="Y1327" s="46" t="n"/>
      <c r="Z1327" s="46" t="n"/>
      <c r="AA1327" s="46" t="n"/>
      <c r="AB1327" s="46" t="n"/>
      <c r="AC1327" s="46" t="n"/>
      <c r="AD1327" s="46" t="n"/>
      <c r="AE1327" s="46" t="n"/>
      <c r="AF1327" s="46" t="n"/>
      <c r="AG1327" s="46" t="n"/>
      <c r="AH1327" s="46" t="n"/>
      <c r="AI1327" s="46" t="n"/>
      <c r="AJ1327" s="46" t="n"/>
      <c r="AK1327" s="46" t="n"/>
      <c r="AL1327" s="46" t="n"/>
      <c r="AM1327" s="46" t="n"/>
      <c r="AN1327" s="46" t="n"/>
      <c r="AO1327" s="46" t="n"/>
      <c r="AP1327" s="46" t="n"/>
      <c r="AQ1327" s="46" t="n"/>
      <c r="AR1327" s="46" t="n"/>
      <c r="AS1327" s="46" t="n"/>
      <c r="AV1327" s="36">
        <f>IF($C1327="","",EMPLOYES!M65)</f>
        <v/>
      </c>
      <c r="AW1327" s="36">
        <f>IF($C1327="",0,SUMPRODUCT(--(O1327:AS1327="C")))</f>
        <v/>
      </c>
      <c r="AX1327" s="36">
        <f>IF($C1327="",0,SUMPRODUCT(--(O1327:AS1327="R")))</f>
        <v/>
      </c>
      <c r="AY1327" s="44" t="n"/>
    </row>
    <row r="1328" hidden="1" outlineLevel="1" ht="15" customHeight="1" s="15">
      <c r="B1328" s="41" t="n">
        <v>6</v>
      </c>
      <c r="C1328" s="42">
        <f>IF(EMPLOYES!C66="","",EMPLOYES!C66)</f>
        <v/>
      </c>
      <c r="D1328" s="43">
        <f>IF(EMPLOYES!C66="","",EMPLOYES!D66)</f>
        <v/>
      </c>
      <c r="E1328" s="44" t="n"/>
      <c r="F1328" s="42" t="n"/>
      <c r="G1328" s="41">
        <f>IF($C1328="",0,MAX(0,$M1328-$N1328))</f>
        <v/>
      </c>
      <c r="H1328" s="45" t="n"/>
      <c r="I1328" s="41">
        <f>IF($C1328="","",IF(H1328="","OK",IF(H1328&gt;EMPLOYES!P66,"⚠ Avance &gt; salaire",IF(H1328&gt;EMPLOYES!P66*PARAMETRES!$C$218,"⚠ Avance élevée","OK"))))</f>
        <v/>
      </c>
      <c r="J1328" s="45" t="n"/>
      <c r="K1328" s="46" t="n"/>
      <c r="L1328" s="46" t="n"/>
      <c r="M1328" s="41">
        <f>IF($C1328="","",SUMPRODUCT((PARAMETRES!$B$38:$B$157=PARAMETRES!$C$29)*(PARAMETRES!$C$38:$C$157=6)*(IF(EMPLOYES!M66="5j",PARAMETRES!$I$38:$I$157,PARAMETRES!$H$38:$H$157))))</f>
        <v/>
      </c>
      <c r="N1328" s="41">
        <f>IF($C1328="","",SUMPRODUCT((O1328:AS1328="P")+(O1328:AS1328="F")+(O1328:AS1328="C")+0.5*(O1328:AS1328="D"),(1-((O1274:AS1274=6)*(EMPLOYES!M66="5j")))))</f>
        <v/>
      </c>
      <c r="O1328" s="46" t="n"/>
      <c r="P1328" s="46" t="n"/>
      <c r="Q1328" s="46" t="n"/>
      <c r="R1328" s="46" t="n"/>
      <c r="S1328" s="46" t="n"/>
      <c r="T1328" s="46" t="n"/>
      <c r="U1328" s="46" t="n"/>
      <c r="V1328" s="46" t="n"/>
      <c r="W1328" s="46" t="n"/>
      <c r="X1328" s="46" t="n"/>
      <c r="Y1328" s="46" t="n"/>
      <c r="Z1328" s="46" t="n"/>
      <c r="AA1328" s="46" t="n"/>
      <c r="AB1328" s="46" t="n"/>
      <c r="AC1328" s="46" t="n"/>
      <c r="AD1328" s="46" t="n"/>
      <c r="AE1328" s="46" t="n"/>
      <c r="AF1328" s="46" t="n"/>
      <c r="AG1328" s="46" t="n"/>
      <c r="AH1328" s="46" t="n"/>
      <c r="AI1328" s="46" t="n"/>
      <c r="AJ1328" s="46" t="n"/>
      <c r="AK1328" s="46" t="n"/>
      <c r="AL1328" s="46" t="n"/>
      <c r="AM1328" s="46" t="n"/>
      <c r="AN1328" s="46" t="n"/>
      <c r="AO1328" s="46" t="n"/>
      <c r="AP1328" s="46" t="n"/>
      <c r="AQ1328" s="46" t="n"/>
      <c r="AR1328" s="46" t="n"/>
      <c r="AS1328" s="46" t="n"/>
      <c r="AV1328" s="36">
        <f>IF($C1328="","",EMPLOYES!M66)</f>
        <v/>
      </c>
      <c r="AW1328" s="36">
        <f>IF($C1328="",0,SUMPRODUCT(--(O1328:AS1328="C")))</f>
        <v/>
      </c>
      <c r="AX1328" s="36">
        <f>IF($C1328="",0,SUMPRODUCT(--(O1328:AS1328="R")))</f>
        <v/>
      </c>
      <c r="AY1328" s="44" t="n"/>
    </row>
    <row r="1329" hidden="1" outlineLevel="1" ht="15" customHeight="1" s="15">
      <c r="B1329" s="41" t="n">
        <v>6</v>
      </c>
      <c r="C1329" s="42">
        <f>IF(EMPLOYES!C67="","",EMPLOYES!C67)</f>
        <v/>
      </c>
      <c r="D1329" s="43">
        <f>IF(EMPLOYES!C67="","",EMPLOYES!D67)</f>
        <v/>
      </c>
      <c r="E1329" s="44" t="n"/>
      <c r="F1329" s="42" t="n"/>
      <c r="G1329" s="41">
        <f>IF($C1329="",0,MAX(0,$M1329-$N1329))</f>
        <v/>
      </c>
      <c r="H1329" s="45" t="n"/>
      <c r="I1329" s="41">
        <f>IF($C1329="","",IF(H1329="","OK",IF(H1329&gt;EMPLOYES!P67,"⚠ Avance &gt; salaire",IF(H1329&gt;EMPLOYES!P67*PARAMETRES!$C$218,"⚠ Avance élevée","OK"))))</f>
        <v/>
      </c>
      <c r="J1329" s="45" t="n"/>
      <c r="K1329" s="46" t="n"/>
      <c r="L1329" s="46" t="n"/>
      <c r="M1329" s="41">
        <f>IF($C1329="","",SUMPRODUCT((PARAMETRES!$B$38:$B$157=PARAMETRES!$C$29)*(PARAMETRES!$C$38:$C$157=6)*(IF(EMPLOYES!M67="5j",PARAMETRES!$I$38:$I$157,PARAMETRES!$H$38:$H$157))))</f>
        <v/>
      </c>
      <c r="N1329" s="41">
        <f>IF($C1329="","",SUMPRODUCT((O1329:AS1329="P")+(O1329:AS1329="F")+(O1329:AS1329="C")+0.5*(O1329:AS1329="D"),(1-((O1274:AS1274=6)*(EMPLOYES!M67="5j")))))</f>
        <v/>
      </c>
      <c r="O1329" s="46" t="n"/>
      <c r="P1329" s="46" t="n"/>
      <c r="Q1329" s="46" t="n"/>
      <c r="R1329" s="46" t="n"/>
      <c r="S1329" s="46" t="n"/>
      <c r="T1329" s="46" t="n"/>
      <c r="U1329" s="46" t="n"/>
      <c r="V1329" s="46" t="n"/>
      <c r="W1329" s="46" t="n"/>
      <c r="X1329" s="46" t="n"/>
      <c r="Y1329" s="46" t="n"/>
      <c r="Z1329" s="46" t="n"/>
      <c r="AA1329" s="46" t="n"/>
      <c r="AB1329" s="46" t="n"/>
      <c r="AC1329" s="46" t="n"/>
      <c r="AD1329" s="46" t="n"/>
      <c r="AE1329" s="46" t="n"/>
      <c r="AF1329" s="46" t="n"/>
      <c r="AG1329" s="46" t="n"/>
      <c r="AH1329" s="46" t="n"/>
      <c r="AI1329" s="46" t="n"/>
      <c r="AJ1329" s="46" t="n"/>
      <c r="AK1329" s="46" t="n"/>
      <c r="AL1329" s="46" t="n"/>
      <c r="AM1329" s="46" t="n"/>
      <c r="AN1329" s="46" t="n"/>
      <c r="AO1329" s="46" t="n"/>
      <c r="AP1329" s="46" t="n"/>
      <c r="AQ1329" s="46" t="n"/>
      <c r="AR1329" s="46" t="n"/>
      <c r="AS1329" s="46" t="n"/>
      <c r="AV1329" s="36">
        <f>IF($C1329="","",EMPLOYES!M67)</f>
        <v/>
      </c>
      <c r="AW1329" s="36">
        <f>IF($C1329="",0,SUMPRODUCT(--(O1329:AS1329="C")))</f>
        <v/>
      </c>
      <c r="AX1329" s="36">
        <f>IF($C1329="",0,SUMPRODUCT(--(O1329:AS1329="R")))</f>
        <v/>
      </c>
      <c r="AY1329" s="44" t="n"/>
    </row>
    <row r="1330" hidden="1" outlineLevel="1" ht="15" customHeight="1" s="15">
      <c r="B1330" s="41" t="n">
        <v>6</v>
      </c>
      <c r="C1330" s="42">
        <f>IF(EMPLOYES!C68="","",EMPLOYES!C68)</f>
        <v/>
      </c>
      <c r="D1330" s="43">
        <f>IF(EMPLOYES!C68="","",EMPLOYES!D68)</f>
        <v/>
      </c>
      <c r="E1330" s="44" t="n"/>
      <c r="F1330" s="42" t="n"/>
      <c r="G1330" s="41">
        <f>IF($C1330="",0,MAX(0,$M1330-$N1330))</f>
        <v/>
      </c>
      <c r="H1330" s="45" t="n"/>
      <c r="I1330" s="41">
        <f>IF($C1330="","",IF(H1330="","OK",IF(H1330&gt;EMPLOYES!P68,"⚠ Avance &gt; salaire",IF(H1330&gt;EMPLOYES!P68*PARAMETRES!$C$218,"⚠ Avance élevée","OK"))))</f>
        <v/>
      </c>
      <c r="J1330" s="45" t="n"/>
      <c r="K1330" s="46" t="n"/>
      <c r="L1330" s="46" t="n"/>
      <c r="M1330" s="41">
        <f>IF($C1330="","",SUMPRODUCT((PARAMETRES!$B$38:$B$157=PARAMETRES!$C$29)*(PARAMETRES!$C$38:$C$157=6)*(IF(EMPLOYES!M68="5j",PARAMETRES!$I$38:$I$157,PARAMETRES!$H$38:$H$157))))</f>
        <v/>
      </c>
      <c r="N1330" s="41">
        <f>IF($C1330="","",SUMPRODUCT((O1330:AS1330="P")+(O1330:AS1330="F")+(O1330:AS1330="C")+0.5*(O1330:AS1330="D"),(1-((O1274:AS1274=6)*(EMPLOYES!M68="5j")))))</f>
        <v/>
      </c>
      <c r="O1330" s="46" t="n"/>
      <c r="P1330" s="46" t="n"/>
      <c r="Q1330" s="46" t="n"/>
      <c r="R1330" s="46" t="n"/>
      <c r="S1330" s="46" t="n"/>
      <c r="T1330" s="46" t="n"/>
      <c r="U1330" s="46" t="n"/>
      <c r="V1330" s="46" t="n"/>
      <c r="W1330" s="46" t="n"/>
      <c r="X1330" s="46" t="n"/>
      <c r="Y1330" s="46" t="n"/>
      <c r="Z1330" s="46" t="n"/>
      <c r="AA1330" s="46" t="n"/>
      <c r="AB1330" s="46" t="n"/>
      <c r="AC1330" s="46" t="n"/>
      <c r="AD1330" s="46" t="n"/>
      <c r="AE1330" s="46" t="n"/>
      <c r="AF1330" s="46" t="n"/>
      <c r="AG1330" s="46" t="n"/>
      <c r="AH1330" s="46" t="n"/>
      <c r="AI1330" s="46" t="n"/>
      <c r="AJ1330" s="46" t="n"/>
      <c r="AK1330" s="46" t="n"/>
      <c r="AL1330" s="46" t="n"/>
      <c r="AM1330" s="46" t="n"/>
      <c r="AN1330" s="46" t="n"/>
      <c r="AO1330" s="46" t="n"/>
      <c r="AP1330" s="46" t="n"/>
      <c r="AQ1330" s="46" t="n"/>
      <c r="AR1330" s="46" t="n"/>
      <c r="AS1330" s="46" t="n"/>
      <c r="AV1330" s="36">
        <f>IF($C1330="","",EMPLOYES!M68)</f>
        <v/>
      </c>
      <c r="AW1330" s="36">
        <f>IF($C1330="",0,SUMPRODUCT(--(O1330:AS1330="C")))</f>
        <v/>
      </c>
      <c r="AX1330" s="36">
        <f>IF($C1330="",0,SUMPRODUCT(--(O1330:AS1330="R")))</f>
        <v/>
      </c>
      <c r="AY1330" s="44" t="n"/>
    </row>
    <row r="1331" hidden="1" outlineLevel="1" ht="15" customHeight="1" s="15">
      <c r="B1331" s="41" t="n">
        <v>6</v>
      </c>
      <c r="C1331" s="42">
        <f>IF(EMPLOYES!C69="","",EMPLOYES!C69)</f>
        <v/>
      </c>
      <c r="D1331" s="43">
        <f>IF(EMPLOYES!C69="","",EMPLOYES!D69)</f>
        <v/>
      </c>
      <c r="E1331" s="44" t="n"/>
      <c r="F1331" s="42" t="n"/>
      <c r="G1331" s="41">
        <f>IF($C1331="",0,MAX(0,$M1331-$N1331))</f>
        <v/>
      </c>
      <c r="H1331" s="45" t="n"/>
      <c r="I1331" s="41">
        <f>IF($C1331="","",IF(H1331="","OK",IF(H1331&gt;EMPLOYES!P69,"⚠ Avance &gt; salaire",IF(H1331&gt;EMPLOYES!P69*PARAMETRES!$C$218,"⚠ Avance élevée","OK"))))</f>
        <v/>
      </c>
      <c r="J1331" s="45" t="n"/>
      <c r="K1331" s="46" t="n"/>
      <c r="L1331" s="46" t="n"/>
      <c r="M1331" s="41">
        <f>IF($C1331="","",SUMPRODUCT((PARAMETRES!$B$38:$B$157=PARAMETRES!$C$29)*(PARAMETRES!$C$38:$C$157=6)*(IF(EMPLOYES!M69="5j",PARAMETRES!$I$38:$I$157,PARAMETRES!$H$38:$H$157))))</f>
        <v/>
      </c>
      <c r="N1331" s="41">
        <f>IF($C1331="","",SUMPRODUCT((O1331:AS1331="P")+(O1331:AS1331="F")+(O1331:AS1331="C")+0.5*(O1331:AS1331="D"),(1-((O1274:AS1274=6)*(EMPLOYES!M69="5j")))))</f>
        <v/>
      </c>
      <c r="O1331" s="46" t="n"/>
      <c r="P1331" s="46" t="n"/>
      <c r="Q1331" s="46" t="n"/>
      <c r="R1331" s="46" t="n"/>
      <c r="S1331" s="46" t="n"/>
      <c r="T1331" s="46" t="n"/>
      <c r="U1331" s="46" t="n"/>
      <c r="V1331" s="46" t="n"/>
      <c r="W1331" s="46" t="n"/>
      <c r="X1331" s="46" t="n"/>
      <c r="Y1331" s="46" t="n"/>
      <c r="Z1331" s="46" t="n"/>
      <c r="AA1331" s="46" t="n"/>
      <c r="AB1331" s="46" t="n"/>
      <c r="AC1331" s="46" t="n"/>
      <c r="AD1331" s="46" t="n"/>
      <c r="AE1331" s="46" t="n"/>
      <c r="AF1331" s="46" t="n"/>
      <c r="AG1331" s="46" t="n"/>
      <c r="AH1331" s="46" t="n"/>
      <c r="AI1331" s="46" t="n"/>
      <c r="AJ1331" s="46" t="n"/>
      <c r="AK1331" s="46" t="n"/>
      <c r="AL1331" s="46" t="n"/>
      <c r="AM1331" s="46" t="n"/>
      <c r="AN1331" s="46" t="n"/>
      <c r="AO1331" s="46" t="n"/>
      <c r="AP1331" s="46" t="n"/>
      <c r="AQ1331" s="46" t="n"/>
      <c r="AR1331" s="46" t="n"/>
      <c r="AS1331" s="46" t="n"/>
      <c r="AV1331" s="36">
        <f>IF($C1331="","",EMPLOYES!M69)</f>
        <v/>
      </c>
      <c r="AW1331" s="36">
        <f>IF($C1331="",0,SUMPRODUCT(--(O1331:AS1331="C")))</f>
        <v/>
      </c>
      <c r="AX1331" s="36">
        <f>IF($C1331="",0,SUMPRODUCT(--(O1331:AS1331="R")))</f>
        <v/>
      </c>
      <c r="AY1331" s="44" t="n"/>
    </row>
    <row r="1332" hidden="1" outlineLevel="1" ht="15" customHeight="1" s="15">
      <c r="B1332" s="41" t="n">
        <v>6</v>
      </c>
      <c r="C1332" s="42">
        <f>IF(EMPLOYES!C70="","",EMPLOYES!C70)</f>
        <v/>
      </c>
      <c r="D1332" s="43">
        <f>IF(EMPLOYES!C70="","",EMPLOYES!D70)</f>
        <v/>
      </c>
      <c r="E1332" s="44" t="n"/>
      <c r="F1332" s="42" t="n"/>
      <c r="G1332" s="41">
        <f>IF($C1332="",0,MAX(0,$M1332-$N1332))</f>
        <v/>
      </c>
      <c r="H1332" s="45" t="n"/>
      <c r="I1332" s="41">
        <f>IF($C1332="","",IF(H1332="","OK",IF(H1332&gt;EMPLOYES!P70,"⚠ Avance &gt; salaire",IF(H1332&gt;EMPLOYES!P70*PARAMETRES!$C$218,"⚠ Avance élevée","OK"))))</f>
        <v/>
      </c>
      <c r="J1332" s="45" t="n"/>
      <c r="K1332" s="46" t="n"/>
      <c r="L1332" s="46" t="n"/>
      <c r="M1332" s="41">
        <f>IF($C1332="","",SUMPRODUCT((PARAMETRES!$B$38:$B$157=PARAMETRES!$C$29)*(PARAMETRES!$C$38:$C$157=6)*(IF(EMPLOYES!M70="5j",PARAMETRES!$I$38:$I$157,PARAMETRES!$H$38:$H$157))))</f>
        <v/>
      </c>
      <c r="N1332" s="41">
        <f>IF($C1332="","",SUMPRODUCT((O1332:AS1332="P")+(O1332:AS1332="F")+(O1332:AS1332="C")+0.5*(O1332:AS1332="D"),(1-((O1274:AS1274=6)*(EMPLOYES!M70="5j")))))</f>
        <v/>
      </c>
      <c r="O1332" s="46" t="n"/>
      <c r="P1332" s="46" t="n"/>
      <c r="Q1332" s="46" t="n"/>
      <c r="R1332" s="46" t="n"/>
      <c r="S1332" s="46" t="n"/>
      <c r="T1332" s="46" t="n"/>
      <c r="U1332" s="46" t="n"/>
      <c r="V1332" s="46" t="n"/>
      <c r="W1332" s="46" t="n"/>
      <c r="X1332" s="46" t="n"/>
      <c r="Y1332" s="46" t="n"/>
      <c r="Z1332" s="46" t="n"/>
      <c r="AA1332" s="46" t="n"/>
      <c r="AB1332" s="46" t="n"/>
      <c r="AC1332" s="46" t="n"/>
      <c r="AD1332" s="46" t="n"/>
      <c r="AE1332" s="46" t="n"/>
      <c r="AF1332" s="46" t="n"/>
      <c r="AG1332" s="46" t="n"/>
      <c r="AH1332" s="46" t="n"/>
      <c r="AI1332" s="46" t="n"/>
      <c r="AJ1332" s="46" t="n"/>
      <c r="AK1332" s="46" t="n"/>
      <c r="AL1332" s="46" t="n"/>
      <c r="AM1332" s="46" t="n"/>
      <c r="AN1332" s="46" t="n"/>
      <c r="AO1332" s="46" t="n"/>
      <c r="AP1332" s="46" t="n"/>
      <c r="AQ1332" s="46" t="n"/>
      <c r="AR1332" s="46" t="n"/>
      <c r="AS1332" s="46" t="n"/>
      <c r="AV1332" s="36">
        <f>IF($C1332="","",EMPLOYES!M70)</f>
        <v/>
      </c>
      <c r="AW1332" s="36">
        <f>IF($C1332="",0,SUMPRODUCT(--(O1332:AS1332="C")))</f>
        <v/>
      </c>
      <c r="AX1332" s="36">
        <f>IF($C1332="",0,SUMPRODUCT(--(O1332:AS1332="R")))</f>
        <v/>
      </c>
      <c r="AY1332" s="44" t="n"/>
    </row>
    <row r="1333" hidden="1" outlineLevel="1" ht="15" customHeight="1" s="15">
      <c r="B1333" s="41" t="n">
        <v>6</v>
      </c>
      <c r="C1333" s="42">
        <f>IF(EMPLOYES!C71="","",EMPLOYES!C71)</f>
        <v/>
      </c>
      <c r="D1333" s="43">
        <f>IF(EMPLOYES!C71="","",EMPLOYES!D71)</f>
        <v/>
      </c>
      <c r="E1333" s="44" t="n"/>
      <c r="F1333" s="42" t="n"/>
      <c r="G1333" s="41">
        <f>IF($C1333="",0,MAX(0,$M1333-$N1333))</f>
        <v/>
      </c>
      <c r="H1333" s="45" t="n"/>
      <c r="I1333" s="41">
        <f>IF($C1333="","",IF(H1333="","OK",IF(H1333&gt;EMPLOYES!P71,"⚠ Avance &gt; salaire",IF(H1333&gt;EMPLOYES!P71*PARAMETRES!$C$218,"⚠ Avance élevée","OK"))))</f>
        <v/>
      </c>
      <c r="J1333" s="45" t="n"/>
      <c r="K1333" s="46" t="n"/>
      <c r="L1333" s="46" t="n"/>
      <c r="M1333" s="41">
        <f>IF($C1333="","",SUMPRODUCT((PARAMETRES!$B$38:$B$157=PARAMETRES!$C$29)*(PARAMETRES!$C$38:$C$157=6)*(IF(EMPLOYES!M71="5j",PARAMETRES!$I$38:$I$157,PARAMETRES!$H$38:$H$157))))</f>
        <v/>
      </c>
      <c r="N1333" s="41">
        <f>IF($C1333="","",SUMPRODUCT((O1333:AS1333="P")+(O1333:AS1333="F")+(O1333:AS1333="C")+0.5*(O1333:AS1333="D"),(1-((O1274:AS1274=6)*(EMPLOYES!M71="5j")))))</f>
        <v/>
      </c>
      <c r="O1333" s="46" t="n"/>
      <c r="P1333" s="46" t="n"/>
      <c r="Q1333" s="46" t="n"/>
      <c r="R1333" s="46" t="n"/>
      <c r="S1333" s="46" t="n"/>
      <c r="T1333" s="46" t="n"/>
      <c r="U1333" s="46" t="n"/>
      <c r="V1333" s="46" t="n"/>
      <c r="W1333" s="46" t="n"/>
      <c r="X1333" s="46" t="n"/>
      <c r="Y1333" s="46" t="n"/>
      <c r="Z1333" s="46" t="n"/>
      <c r="AA1333" s="46" t="n"/>
      <c r="AB1333" s="46" t="n"/>
      <c r="AC1333" s="46" t="n"/>
      <c r="AD1333" s="46" t="n"/>
      <c r="AE1333" s="46" t="n"/>
      <c r="AF1333" s="46" t="n"/>
      <c r="AG1333" s="46" t="n"/>
      <c r="AH1333" s="46" t="n"/>
      <c r="AI1333" s="46" t="n"/>
      <c r="AJ1333" s="46" t="n"/>
      <c r="AK1333" s="46" t="n"/>
      <c r="AL1333" s="46" t="n"/>
      <c r="AM1333" s="46" t="n"/>
      <c r="AN1333" s="46" t="n"/>
      <c r="AO1333" s="46" t="n"/>
      <c r="AP1333" s="46" t="n"/>
      <c r="AQ1333" s="46" t="n"/>
      <c r="AR1333" s="46" t="n"/>
      <c r="AS1333" s="46" t="n"/>
      <c r="AV1333" s="36">
        <f>IF($C1333="","",EMPLOYES!M71)</f>
        <v/>
      </c>
      <c r="AW1333" s="36">
        <f>IF($C1333="",0,SUMPRODUCT(--(O1333:AS1333="C")))</f>
        <v/>
      </c>
      <c r="AX1333" s="36">
        <f>IF($C1333="",0,SUMPRODUCT(--(O1333:AS1333="R")))</f>
        <v/>
      </c>
      <c r="AY1333" s="44" t="n"/>
    </row>
    <row r="1334" hidden="1" outlineLevel="1" ht="15" customHeight="1" s="15">
      <c r="B1334" s="41" t="n">
        <v>6</v>
      </c>
      <c r="C1334" s="42">
        <f>IF(EMPLOYES!C72="","",EMPLOYES!C72)</f>
        <v/>
      </c>
      <c r="D1334" s="43">
        <f>IF(EMPLOYES!C72="","",EMPLOYES!D72)</f>
        <v/>
      </c>
      <c r="E1334" s="44" t="n"/>
      <c r="F1334" s="42" t="n"/>
      <c r="G1334" s="41">
        <f>IF($C1334="",0,MAX(0,$M1334-$N1334))</f>
        <v/>
      </c>
      <c r="H1334" s="45" t="n"/>
      <c r="I1334" s="41">
        <f>IF($C1334="","",IF(H1334="","OK",IF(H1334&gt;EMPLOYES!P72,"⚠ Avance &gt; salaire",IF(H1334&gt;EMPLOYES!P72*PARAMETRES!$C$218,"⚠ Avance élevée","OK"))))</f>
        <v/>
      </c>
      <c r="J1334" s="45" t="n"/>
      <c r="K1334" s="46" t="n"/>
      <c r="L1334" s="46" t="n"/>
      <c r="M1334" s="41">
        <f>IF($C1334="","",SUMPRODUCT((PARAMETRES!$B$38:$B$157=PARAMETRES!$C$29)*(PARAMETRES!$C$38:$C$157=6)*(IF(EMPLOYES!M72="5j",PARAMETRES!$I$38:$I$157,PARAMETRES!$H$38:$H$157))))</f>
        <v/>
      </c>
      <c r="N1334" s="41">
        <f>IF($C1334="","",SUMPRODUCT((O1334:AS1334="P")+(O1334:AS1334="F")+(O1334:AS1334="C")+0.5*(O1334:AS1334="D"),(1-((O1274:AS1274=6)*(EMPLOYES!M72="5j")))))</f>
        <v/>
      </c>
      <c r="O1334" s="46" t="n"/>
      <c r="P1334" s="46" t="n"/>
      <c r="Q1334" s="46" t="n"/>
      <c r="R1334" s="46" t="n"/>
      <c r="S1334" s="46" t="n"/>
      <c r="T1334" s="46" t="n"/>
      <c r="U1334" s="46" t="n"/>
      <c r="V1334" s="46" t="n"/>
      <c r="W1334" s="46" t="n"/>
      <c r="X1334" s="46" t="n"/>
      <c r="Y1334" s="46" t="n"/>
      <c r="Z1334" s="46" t="n"/>
      <c r="AA1334" s="46" t="n"/>
      <c r="AB1334" s="46" t="n"/>
      <c r="AC1334" s="46" t="n"/>
      <c r="AD1334" s="46" t="n"/>
      <c r="AE1334" s="46" t="n"/>
      <c r="AF1334" s="46" t="n"/>
      <c r="AG1334" s="46" t="n"/>
      <c r="AH1334" s="46" t="n"/>
      <c r="AI1334" s="46" t="n"/>
      <c r="AJ1334" s="46" t="n"/>
      <c r="AK1334" s="46" t="n"/>
      <c r="AL1334" s="46" t="n"/>
      <c r="AM1334" s="46" t="n"/>
      <c r="AN1334" s="46" t="n"/>
      <c r="AO1334" s="46" t="n"/>
      <c r="AP1334" s="46" t="n"/>
      <c r="AQ1334" s="46" t="n"/>
      <c r="AR1334" s="46" t="n"/>
      <c r="AS1334" s="46" t="n"/>
      <c r="AV1334" s="36">
        <f>IF($C1334="","",EMPLOYES!M72)</f>
        <v/>
      </c>
      <c r="AW1334" s="36">
        <f>IF($C1334="",0,SUMPRODUCT(--(O1334:AS1334="C")))</f>
        <v/>
      </c>
      <c r="AX1334" s="36">
        <f>IF($C1334="",0,SUMPRODUCT(--(O1334:AS1334="R")))</f>
        <v/>
      </c>
      <c r="AY1334" s="44" t="n"/>
    </row>
    <row r="1335" hidden="1" outlineLevel="1" ht="15" customHeight="1" s="15">
      <c r="B1335" s="41" t="n">
        <v>6</v>
      </c>
      <c r="C1335" s="42">
        <f>IF(EMPLOYES!C73="","",EMPLOYES!C73)</f>
        <v/>
      </c>
      <c r="D1335" s="43">
        <f>IF(EMPLOYES!C73="","",EMPLOYES!D73)</f>
        <v/>
      </c>
      <c r="E1335" s="44" t="n"/>
      <c r="F1335" s="42" t="n"/>
      <c r="G1335" s="41">
        <f>IF($C1335="",0,MAX(0,$M1335-$N1335))</f>
        <v/>
      </c>
      <c r="H1335" s="45" t="n"/>
      <c r="I1335" s="41">
        <f>IF($C1335="","",IF(H1335="","OK",IF(H1335&gt;EMPLOYES!P73,"⚠ Avance &gt; salaire",IF(H1335&gt;EMPLOYES!P73*PARAMETRES!$C$218,"⚠ Avance élevée","OK"))))</f>
        <v/>
      </c>
      <c r="J1335" s="45" t="n"/>
      <c r="K1335" s="46" t="n"/>
      <c r="L1335" s="46" t="n"/>
      <c r="M1335" s="41">
        <f>IF($C1335="","",SUMPRODUCT((PARAMETRES!$B$38:$B$157=PARAMETRES!$C$29)*(PARAMETRES!$C$38:$C$157=6)*(IF(EMPLOYES!M73="5j",PARAMETRES!$I$38:$I$157,PARAMETRES!$H$38:$H$157))))</f>
        <v/>
      </c>
      <c r="N1335" s="41">
        <f>IF($C1335="","",SUMPRODUCT((O1335:AS1335="P")+(O1335:AS1335="F")+(O1335:AS1335="C")+0.5*(O1335:AS1335="D"),(1-((O1274:AS1274=6)*(EMPLOYES!M73="5j")))))</f>
        <v/>
      </c>
      <c r="O1335" s="46" t="n"/>
      <c r="P1335" s="46" t="n"/>
      <c r="Q1335" s="46" t="n"/>
      <c r="R1335" s="46" t="n"/>
      <c r="S1335" s="46" t="n"/>
      <c r="T1335" s="46" t="n"/>
      <c r="U1335" s="46" t="n"/>
      <c r="V1335" s="46" t="n"/>
      <c r="W1335" s="46" t="n"/>
      <c r="X1335" s="46" t="n"/>
      <c r="Y1335" s="46" t="n"/>
      <c r="Z1335" s="46" t="n"/>
      <c r="AA1335" s="46" t="n"/>
      <c r="AB1335" s="46" t="n"/>
      <c r="AC1335" s="46" t="n"/>
      <c r="AD1335" s="46" t="n"/>
      <c r="AE1335" s="46" t="n"/>
      <c r="AF1335" s="46" t="n"/>
      <c r="AG1335" s="46" t="n"/>
      <c r="AH1335" s="46" t="n"/>
      <c r="AI1335" s="46" t="n"/>
      <c r="AJ1335" s="46" t="n"/>
      <c r="AK1335" s="46" t="n"/>
      <c r="AL1335" s="46" t="n"/>
      <c r="AM1335" s="46" t="n"/>
      <c r="AN1335" s="46" t="n"/>
      <c r="AO1335" s="46" t="n"/>
      <c r="AP1335" s="46" t="n"/>
      <c r="AQ1335" s="46" t="n"/>
      <c r="AR1335" s="46" t="n"/>
      <c r="AS1335" s="46" t="n"/>
      <c r="AV1335" s="36">
        <f>IF($C1335="","",EMPLOYES!M73)</f>
        <v/>
      </c>
      <c r="AW1335" s="36">
        <f>IF($C1335="",0,SUMPRODUCT(--(O1335:AS1335="C")))</f>
        <v/>
      </c>
      <c r="AX1335" s="36">
        <f>IF($C1335="",0,SUMPRODUCT(--(O1335:AS1335="R")))</f>
        <v/>
      </c>
      <c r="AY1335" s="44" t="n"/>
    </row>
    <row r="1336" hidden="1" outlineLevel="1" ht="15" customHeight="1" s="15">
      <c r="B1336" s="41" t="n">
        <v>6</v>
      </c>
      <c r="C1336" s="42">
        <f>IF(EMPLOYES!C74="","",EMPLOYES!C74)</f>
        <v/>
      </c>
      <c r="D1336" s="43">
        <f>IF(EMPLOYES!C74="","",EMPLOYES!D74)</f>
        <v/>
      </c>
      <c r="E1336" s="44" t="n"/>
      <c r="F1336" s="42" t="n"/>
      <c r="G1336" s="41">
        <f>IF($C1336="",0,MAX(0,$M1336-$N1336))</f>
        <v/>
      </c>
      <c r="H1336" s="45" t="n"/>
      <c r="I1336" s="41">
        <f>IF($C1336="","",IF(H1336="","OK",IF(H1336&gt;EMPLOYES!P74,"⚠ Avance &gt; salaire",IF(H1336&gt;EMPLOYES!P74*PARAMETRES!$C$218,"⚠ Avance élevée","OK"))))</f>
        <v/>
      </c>
      <c r="J1336" s="45" t="n"/>
      <c r="K1336" s="46" t="n"/>
      <c r="L1336" s="46" t="n"/>
      <c r="M1336" s="41">
        <f>IF($C1336="","",SUMPRODUCT((PARAMETRES!$B$38:$B$157=PARAMETRES!$C$29)*(PARAMETRES!$C$38:$C$157=6)*(IF(EMPLOYES!M74="5j",PARAMETRES!$I$38:$I$157,PARAMETRES!$H$38:$H$157))))</f>
        <v/>
      </c>
      <c r="N1336" s="41">
        <f>IF($C1336="","",SUMPRODUCT((O1336:AS1336="P")+(O1336:AS1336="F")+(O1336:AS1336="C")+0.5*(O1336:AS1336="D"),(1-((O1274:AS1274=6)*(EMPLOYES!M74="5j")))))</f>
        <v/>
      </c>
      <c r="O1336" s="46" t="n"/>
      <c r="P1336" s="46" t="n"/>
      <c r="Q1336" s="46" t="n"/>
      <c r="R1336" s="46" t="n"/>
      <c r="S1336" s="46" t="n"/>
      <c r="T1336" s="46" t="n"/>
      <c r="U1336" s="46" t="n"/>
      <c r="V1336" s="46" t="n"/>
      <c r="W1336" s="46" t="n"/>
      <c r="X1336" s="46" t="n"/>
      <c r="Y1336" s="46" t="n"/>
      <c r="Z1336" s="46" t="n"/>
      <c r="AA1336" s="46" t="n"/>
      <c r="AB1336" s="46" t="n"/>
      <c r="AC1336" s="46" t="n"/>
      <c r="AD1336" s="46" t="n"/>
      <c r="AE1336" s="46" t="n"/>
      <c r="AF1336" s="46" t="n"/>
      <c r="AG1336" s="46" t="n"/>
      <c r="AH1336" s="46" t="n"/>
      <c r="AI1336" s="46" t="n"/>
      <c r="AJ1336" s="46" t="n"/>
      <c r="AK1336" s="46" t="n"/>
      <c r="AL1336" s="46" t="n"/>
      <c r="AM1336" s="46" t="n"/>
      <c r="AN1336" s="46" t="n"/>
      <c r="AO1336" s="46" t="n"/>
      <c r="AP1336" s="46" t="n"/>
      <c r="AQ1336" s="46" t="n"/>
      <c r="AR1336" s="46" t="n"/>
      <c r="AS1336" s="46" t="n"/>
      <c r="AV1336" s="36">
        <f>IF($C1336="","",EMPLOYES!M74)</f>
        <v/>
      </c>
      <c r="AW1336" s="36">
        <f>IF($C1336="",0,SUMPRODUCT(--(O1336:AS1336="C")))</f>
        <v/>
      </c>
      <c r="AX1336" s="36">
        <f>IF($C1336="",0,SUMPRODUCT(--(O1336:AS1336="R")))</f>
        <v/>
      </c>
      <c r="AY1336" s="44" t="n"/>
    </row>
    <row r="1337" hidden="1" ht="15" customHeight="1" s="15">
      <c r="B1337" s="36" t="inlineStr">
        <is>
          <t>Jour sem. (réf. grisage)</t>
        </is>
      </c>
      <c r="O1337" s="37">
        <f>IF(1&gt;DAY(EOMONTH(DATE(PARAMETRES!$C$29,6,1),0)),"",WEEKDAY(DATE(PARAMETRES!$C$29,6,1),2))</f>
        <v/>
      </c>
      <c r="P1337" s="37">
        <f>IF(2&gt;DAY(EOMONTH(DATE(PARAMETRES!$C$29,6,1),0)),"",WEEKDAY(DATE(PARAMETRES!$C$29,6,2),2))</f>
        <v/>
      </c>
      <c r="Q1337" s="37">
        <f>IF(3&gt;DAY(EOMONTH(DATE(PARAMETRES!$C$29,6,1),0)),"",WEEKDAY(DATE(PARAMETRES!$C$29,6,3),2))</f>
        <v/>
      </c>
      <c r="R1337" s="37">
        <f>IF(4&gt;DAY(EOMONTH(DATE(PARAMETRES!$C$29,6,1),0)),"",WEEKDAY(DATE(PARAMETRES!$C$29,6,4),2))</f>
        <v/>
      </c>
      <c r="S1337" s="37">
        <f>IF(5&gt;DAY(EOMONTH(DATE(PARAMETRES!$C$29,6,1),0)),"",WEEKDAY(DATE(PARAMETRES!$C$29,6,5),2))</f>
        <v/>
      </c>
      <c r="T1337" s="37">
        <f>IF(6&gt;DAY(EOMONTH(DATE(PARAMETRES!$C$29,6,1),0)),"",WEEKDAY(DATE(PARAMETRES!$C$29,6,6),2))</f>
        <v/>
      </c>
      <c r="U1337" s="37">
        <f>IF(7&gt;DAY(EOMONTH(DATE(PARAMETRES!$C$29,6,1),0)),"",WEEKDAY(DATE(PARAMETRES!$C$29,6,7),2))</f>
        <v/>
      </c>
      <c r="V1337" s="37">
        <f>IF(8&gt;DAY(EOMONTH(DATE(PARAMETRES!$C$29,6,1),0)),"",WEEKDAY(DATE(PARAMETRES!$C$29,6,8),2))</f>
        <v/>
      </c>
      <c r="W1337" s="37">
        <f>IF(9&gt;DAY(EOMONTH(DATE(PARAMETRES!$C$29,6,1),0)),"",WEEKDAY(DATE(PARAMETRES!$C$29,6,9),2))</f>
        <v/>
      </c>
      <c r="X1337" s="37">
        <f>IF(10&gt;DAY(EOMONTH(DATE(PARAMETRES!$C$29,6,1),0)),"",WEEKDAY(DATE(PARAMETRES!$C$29,6,10),2))</f>
        <v/>
      </c>
      <c r="Y1337" s="37">
        <f>IF(11&gt;DAY(EOMONTH(DATE(PARAMETRES!$C$29,6,1),0)),"",WEEKDAY(DATE(PARAMETRES!$C$29,6,11),2))</f>
        <v/>
      </c>
      <c r="Z1337" s="37">
        <f>IF(12&gt;DAY(EOMONTH(DATE(PARAMETRES!$C$29,6,1),0)),"",WEEKDAY(DATE(PARAMETRES!$C$29,6,12),2))</f>
        <v/>
      </c>
      <c r="AA1337" s="37">
        <f>IF(13&gt;DAY(EOMONTH(DATE(PARAMETRES!$C$29,6,1),0)),"",WEEKDAY(DATE(PARAMETRES!$C$29,6,13),2))</f>
        <v/>
      </c>
      <c r="AB1337" s="37">
        <f>IF(14&gt;DAY(EOMONTH(DATE(PARAMETRES!$C$29,6,1),0)),"",WEEKDAY(DATE(PARAMETRES!$C$29,6,14),2))</f>
        <v/>
      </c>
      <c r="AC1337" s="37">
        <f>IF(15&gt;DAY(EOMONTH(DATE(PARAMETRES!$C$29,6,1),0)),"",WEEKDAY(DATE(PARAMETRES!$C$29,6,15),2))</f>
        <v/>
      </c>
      <c r="AD1337" s="37">
        <f>IF(16&gt;DAY(EOMONTH(DATE(PARAMETRES!$C$29,6,1),0)),"",WEEKDAY(DATE(PARAMETRES!$C$29,6,16),2))</f>
        <v/>
      </c>
      <c r="AE1337" s="37">
        <f>IF(17&gt;DAY(EOMONTH(DATE(PARAMETRES!$C$29,6,1),0)),"",WEEKDAY(DATE(PARAMETRES!$C$29,6,17),2))</f>
        <v/>
      </c>
      <c r="AF1337" s="37">
        <f>IF(18&gt;DAY(EOMONTH(DATE(PARAMETRES!$C$29,6,1),0)),"",WEEKDAY(DATE(PARAMETRES!$C$29,6,18),2))</f>
        <v/>
      </c>
      <c r="AG1337" s="37">
        <f>IF(19&gt;DAY(EOMONTH(DATE(PARAMETRES!$C$29,6,1),0)),"",WEEKDAY(DATE(PARAMETRES!$C$29,6,19),2))</f>
        <v/>
      </c>
      <c r="AH1337" s="37">
        <f>IF(20&gt;DAY(EOMONTH(DATE(PARAMETRES!$C$29,6,1),0)),"",WEEKDAY(DATE(PARAMETRES!$C$29,6,20),2))</f>
        <v/>
      </c>
      <c r="AI1337" s="37">
        <f>IF(21&gt;DAY(EOMONTH(DATE(PARAMETRES!$C$29,6,1),0)),"",WEEKDAY(DATE(PARAMETRES!$C$29,6,21),2))</f>
        <v/>
      </c>
      <c r="AJ1337" s="37">
        <f>IF(22&gt;DAY(EOMONTH(DATE(PARAMETRES!$C$29,6,1),0)),"",WEEKDAY(DATE(PARAMETRES!$C$29,6,22),2))</f>
        <v/>
      </c>
      <c r="AK1337" s="37">
        <f>IF(23&gt;DAY(EOMONTH(DATE(PARAMETRES!$C$29,6,1),0)),"",WEEKDAY(DATE(PARAMETRES!$C$29,6,23),2))</f>
        <v/>
      </c>
      <c r="AL1337" s="37">
        <f>IF(24&gt;DAY(EOMONTH(DATE(PARAMETRES!$C$29,6,1),0)),"",WEEKDAY(DATE(PARAMETRES!$C$29,6,24),2))</f>
        <v/>
      </c>
      <c r="AM1337" s="37">
        <f>IF(25&gt;DAY(EOMONTH(DATE(PARAMETRES!$C$29,6,1),0)),"",WEEKDAY(DATE(PARAMETRES!$C$29,6,25),2))</f>
        <v/>
      </c>
      <c r="AN1337" s="37">
        <f>IF(26&gt;DAY(EOMONTH(DATE(PARAMETRES!$C$29,6,1),0)),"",WEEKDAY(DATE(PARAMETRES!$C$29,6,26),2))</f>
        <v/>
      </c>
      <c r="AO1337" s="37">
        <f>IF(27&gt;DAY(EOMONTH(DATE(PARAMETRES!$C$29,6,1),0)),"",WEEKDAY(DATE(PARAMETRES!$C$29,6,27),2))</f>
        <v/>
      </c>
      <c r="AP1337" s="37">
        <f>IF(28&gt;DAY(EOMONTH(DATE(PARAMETRES!$C$29,6,1),0)),"",WEEKDAY(DATE(PARAMETRES!$C$29,6,28),2))</f>
        <v/>
      </c>
      <c r="AQ1337" s="37">
        <f>IF(29&gt;DAY(EOMONTH(DATE(PARAMETRES!$C$29,6,1),0)),"",WEEKDAY(DATE(PARAMETRES!$C$29,6,29),2))</f>
        <v/>
      </c>
      <c r="AR1337" s="37">
        <f>IF(30&gt;DAY(EOMONTH(DATE(PARAMETRES!$C$29,6,1),0)),"",WEEKDAY(DATE(PARAMETRES!$C$29,6,30),2))</f>
        <v/>
      </c>
      <c r="AS1337" s="37">
        <f>IF(31&gt;DAY(EOMONTH(DATE(PARAMETRES!$C$29,6,1),0)),"",WEEKDAY(DATE(PARAMETRES!$C$29,6,31),2))</f>
        <v/>
      </c>
    </row>
    <row r="1338" hidden="1" outlineLevel="1" ht="15" customHeight="1" s="15">
      <c r="AT1338" s="36">
        <f>IF(OR(O1274="",O1274=7),"","P")</f>
        <v/>
      </c>
      <c r="AU1338" s="36">
        <f>IF(OR(O1274="",O1274&gt;=6),"","P")</f>
        <v/>
      </c>
    </row>
    <row r="1339" hidden="1" outlineLevel="1" ht="15" customHeight="1" s="15">
      <c r="AT1339" s="36">
        <f>IF(OR(O1274="",O1274=7),"","D")</f>
        <v/>
      </c>
      <c r="AU1339" s="36">
        <f>IF(OR(O1274="",O1274&gt;=6),"","D")</f>
        <v/>
      </c>
    </row>
    <row r="1340" hidden="1" outlineLevel="1" ht="15" customHeight="1" s="15">
      <c r="AT1340" s="36">
        <f>IF(OR(O1274="",O1274=7),"","A")</f>
        <v/>
      </c>
      <c r="AU1340" s="36">
        <f>IF(OR(O1274="",O1274&gt;=6),"","A")</f>
        <v/>
      </c>
    </row>
    <row r="1341" hidden="1" outlineLevel="1" ht="15" customHeight="1" s="15">
      <c r="AT1341" s="36">
        <f>IF(OR(O1274="",O1274=7),"","F")</f>
        <v/>
      </c>
      <c r="AU1341" s="36">
        <f>IF(OR(O1274="",O1274&gt;=6),"","F")</f>
        <v/>
      </c>
    </row>
    <row r="1342" hidden="1" outlineLevel="1" ht="15" customHeight="1" s="15">
      <c r="AT1342" s="36">
        <f>IF(OR(O1274="",O1274=7),"","C")</f>
        <v/>
      </c>
      <c r="AU1342" s="36">
        <f>IF(OR(O1274="",O1274&gt;=6),"","C")</f>
        <v/>
      </c>
    </row>
    <row r="1343" hidden="1" outlineLevel="1" ht="15" customHeight="1" s="15">
      <c r="AT1343" s="36">
        <f>IF(AND(O1274&lt;&gt;"",O1274=7),"R","")</f>
        <v/>
      </c>
      <c r="AU1343" s="36">
        <f>IF(AND(O1274&lt;&gt;"",O1274&gt;=6),"R","")</f>
        <v/>
      </c>
    </row>
    <row r="1344" hidden="1" outlineLevel="1" ht="15" customHeight="1" s="15">
      <c r="AT1344" s="36">
        <f>IF(OR(P1274="",P1274=7),"","P")</f>
        <v/>
      </c>
      <c r="AU1344" s="36">
        <f>IF(OR(P1274="",P1274&gt;=6),"","P")</f>
        <v/>
      </c>
    </row>
    <row r="1345" hidden="1" outlineLevel="1" ht="15" customHeight="1" s="15">
      <c r="AT1345" s="36">
        <f>IF(OR(P1274="",P1274=7),"","D")</f>
        <v/>
      </c>
      <c r="AU1345" s="36">
        <f>IF(OR(P1274="",P1274&gt;=6),"","D")</f>
        <v/>
      </c>
    </row>
    <row r="1346" hidden="1" outlineLevel="1" ht="15" customHeight="1" s="15">
      <c r="AT1346" s="36">
        <f>IF(OR(P1274="",P1274=7),"","A")</f>
        <v/>
      </c>
      <c r="AU1346" s="36">
        <f>IF(OR(P1274="",P1274&gt;=6),"","A")</f>
        <v/>
      </c>
    </row>
    <row r="1347" hidden="1" outlineLevel="1" ht="15" customHeight="1" s="15">
      <c r="AT1347" s="36">
        <f>IF(OR(P1274="",P1274=7),"","F")</f>
        <v/>
      </c>
      <c r="AU1347" s="36">
        <f>IF(OR(P1274="",P1274&gt;=6),"","F")</f>
        <v/>
      </c>
    </row>
    <row r="1348" hidden="1" outlineLevel="1" ht="15" customHeight="1" s="15">
      <c r="AT1348" s="36">
        <f>IF(OR(P1274="",P1274=7),"","C")</f>
        <v/>
      </c>
      <c r="AU1348" s="36">
        <f>IF(OR(P1274="",P1274&gt;=6),"","C")</f>
        <v/>
      </c>
    </row>
    <row r="1349" hidden="1" outlineLevel="1" ht="15" customHeight="1" s="15">
      <c r="AT1349" s="36">
        <f>IF(AND(P1274&lt;&gt;"",P1274=7),"R","")</f>
        <v/>
      </c>
      <c r="AU1349" s="36">
        <f>IF(AND(P1274&lt;&gt;"",P1274&gt;=6),"R","")</f>
        <v/>
      </c>
    </row>
    <row r="1350" hidden="1" outlineLevel="1" ht="15" customHeight="1" s="15">
      <c r="AT1350" s="36">
        <f>IF(OR(Q1274="",Q1274=7),"","P")</f>
        <v/>
      </c>
      <c r="AU1350" s="36">
        <f>IF(OR(Q1274="",Q1274&gt;=6),"","P")</f>
        <v/>
      </c>
    </row>
    <row r="1351" hidden="1" outlineLevel="1" ht="15" customHeight="1" s="15">
      <c r="AT1351" s="36">
        <f>IF(OR(Q1274="",Q1274=7),"","D")</f>
        <v/>
      </c>
      <c r="AU1351" s="36">
        <f>IF(OR(Q1274="",Q1274&gt;=6),"","D")</f>
        <v/>
      </c>
    </row>
    <row r="1352" hidden="1" outlineLevel="1" ht="15" customHeight="1" s="15">
      <c r="AT1352" s="36">
        <f>IF(OR(Q1274="",Q1274=7),"","A")</f>
        <v/>
      </c>
      <c r="AU1352" s="36">
        <f>IF(OR(Q1274="",Q1274&gt;=6),"","A")</f>
        <v/>
      </c>
    </row>
    <row r="1353" hidden="1" outlineLevel="1" ht="15" customHeight="1" s="15">
      <c r="AT1353" s="36">
        <f>IF(OR(Q1274="",Q1274=7),"","F")</f>
        <v/>
      </c>
      <c r="AU1353" s="36">
        <f>IF(OR(Q1274="",Q1274&gt;=6),"","F")</f>
        <v/>
      </c>
    </row>
    <row r="1354" hidden="1" outlineLevel="1" ht="15" customHeight="1" s="15">
      <c r="AT1354" s="36">
        <f>IF(OR(Q1274="",Q1274=7),"","C")</f>
        <v/>
      </c>
      <c r="AU1354" s="36">
        <f>IF(OR(Q1274="",Q1274&gt;=6),"","C")</f>
        <v/>
      </c>
    </row>
    <row r="1355" hidden="1" outlineLevel="1" ht="15" customHeight="1" s="15">
      <c r="AT1355" s="36">
        <f>IF(AND(Q1274&lt;&gt;"",Q1274=7),"R","")</f>
        <v/>
      </c>
      <c r="AU1355" s="36">
        <f>IF(AND(Q1274&lt;&gt;"",Q1274&gt;=6),"R","")</f>
        <v/>
      </c>
    </row>
    <row r="1356" hidden="1" outlineLevel="1" ht="15" customHeight="1" s="15">
      <c r="AT1356" s="36">
        <f>IF(OR(R1274="",R1274=7),"","P")</f>
        <v/>
      </c>
      <c r="AU1356" s="36">
        <f>IF(OR(R1274="",R1274&gt;=6),"","P")</f>
        <v/>
      </c>
    </row>
    <row r="1357" hidden="1" outlineLevel="1" ht="15" customHeight="1" s="15">
      <c r="AT1357" s="36">
        <f>IF(OR(R1274="",R1274=7),"","D")</f>
        <v/>
      </c>
      <c r="AU1357" s="36">
        <f>IF(OR(R1274="",R1274&gt;=6),"","D")</f>
        <v/>
      </c>
    </row>
    <row r="1358" hidden="1" outlineLevel="1" ht="15" customHeight="1" s="15">
      <c r="AT1358" s="36">
        <f>IF(OR(R1274="",R1274=7),"","A")</f>
        <v/>
      </c>
      <c r="AU1358" s="36">
        <f>IF(OR(R1274="",R1274&gt;=6),"","A")</f>
        <v/>
      </c>
    </row>
    <row r="1359" hidden="1" outlineLevel="1" ht="15" customHeight="1" s="15">
      <c r="AT1359" s="36">
        <f>IF(OR(R1274="",R1274=7),"","F")</f>
        <v/>
      </c>
      <c r="AU1359" s="36">
        <f>IF(OR(R1274="",R1274&gt;=6),"","F")</f>
        <v/>
      </c>
    </row>
    <row r="1360" hidden="1" outlineLevel="1" ht="15" customHeight="1" s="15">
      <c r="AT1360" s="36">
        <f>IF(OR(R1274="",R1274=7),"","C")</f>
        <v/>
      </c>
      <c r="AU1360" s="36">
        <f>IF(OR(R1274="",R1274&gt;=6),"","C")</f>
        <v/>
      </c>
    </row>
    <row r="1361" hidden="1" outlineLevel="1" ht="15" customHeight="1" s="15">
      <c r="AT1361" s="36">
        <f>IF(AND(R1274&lt;&gt;"",R1274=7),"R","")</f>
        <v/>
      </c>
      <c r="AU1361" s="36">
        <f>IF(AND(R1274&lt;&gt;"",R1274&gt;=6),"R","")</f>
        <v/>
      </c>
    </row>
    <row r="1362" hidden="1" outlineLevel="1" ht="15" customHeight="1" s="15">
      <c r="AT1362" s="36">
        <f>IF(OR(S1274="",S1274=7),"","P")</f>
        <v/>
      </c>
      <c r="AU1362" s="36">
        <f>IF(OR(S1274="",S1274&gt;=6),"","P")</f>
        <v/>
      </c>
    </row>
    <row r="1363" hidden="1" outlineLevel="1" ht="15" customHeight="1" s="15">
      <c r="AT1363" s="36">
        <f>IF(OR(S1274="",S1274=7),"","D")</f>
        <v/>
      </c>
      <c r="AU1363" s="36">
        <f>IF(OR(S1274="",S1274&gt;=6),"","D")</f>
        <v/>
      </c>
    </row>
    <row r="1364" hidden="1" outlineLevel="1" ht="15" customHeight="1" s="15">
      <c r="AT1364" s="36">
        <f>IF(OR(S1274="",S1274=7),"","A")</f>
        <v/>
      </c>
      <c r="AU1364" s="36">
        <f>IF(OR(S1274="",S1274&gt;=6),"","A")</f>
        <v/>
      </c>
    </row>
    <row r="1365" hidden="1" outlineLevel="1" ht="15" customHeight="1" s="15">
      <c r="AT1365" s="36">
        <f>IF(OR(S1274="",S1274=7),"","F")</f>
        <v/>
      </c>
      <c r="AU1365" s="36">
        <f>IF(OR(S1274="",S1274&gt;=6),"","F")</f>
        <v/>
      </c>
    </row>
    <row r="1366" hidden="1" outlineLevel="1" ht="15" customHeight="1" s="15">
      <c r="AT1366" s="36">
        <f>IF(OR(S1274="",S1274=7),"","C")</f>
        <v/>
      </c>
      <c r="AU1366" s="36">
        <f>IF(OR(S1274="",S1274&gt;=6),"","C")</f>
        <v/>
      </c>
    </row>
    <row r="1367" hidden="1" outlineLevel="1" ht="15" customHeight="1" s="15">
      <c r="AT1367" s="36">
        <f>IF(AND(S1274&lt;&gt;"",S1274=7),"R","")</f>
        <v/>
      </c>
      <c r="AU1367" s="36">
        <f>IF(AND(S1274&lt;&gt;"",S1274&gt;=6),"R","")</f>
        <v/>
      </c>
    </row>
    <row r="1368" hidden="1" outlineLevel="1" ht="15" customHeight="1" s="15">
      <c r="AT1368" s="36">
        <f>IF(OR(T1274="",T1274=7),"","P")</f>
        <v/>
      </c>
      <c r="AU1368" s="36">
        <f>IF(OR(T1274="",T1274&gt;=6),"","P")</f>
        <v/>
      </c>
    </row>
    <row r="1369" hidden="1" outlineLevel="1" ht="15" customHeight="1" s="15">
      <c r="AT1369" s="36">
        <f>IF(OR(T1274="",T1274=7),"","D")</f>
        <v/>
      </c>
      <c r="AU1369" s="36">
        <f>IF(OR(T1274="",T1274&gt;=6),"","D")</f>
        <v/>
      </c>
    </row>
    <row r="1370" hidden="1" outlineLevel="1" ht="15" customHeight="1" s="15">
      <c r="AT1370" s="36">
        <f>IF(OR(T1274="",T1274=7),"","A")</f>
        <v/>
      </c>
      <c r="AU1370" s="36">
        <f>IF(OR(T1274="",T1274&gt;=6),"","A")</f>
        <v/>
      </c>
    </row>
    <row r="1371" hidden="1" outlineLevel="1" ht="15" customHeight="1" s="15">
      <c r="AT1371" s="36">
        <f>IF(OR(T1274="",T1274=7),"","F")</f>
        <v/>
      </c>
      <c r="AU1371" s="36">
        <f>IF(OR(T1274="",T1274&gt;=6),"","F")</f>
        <v/>
      </c>
    </row>
    <row r="1372" hidden="1" outlineLevel="1" ht="15" customHeight="1" s="15">
      <c r="AT1372" s="36">
        <f>IF(OR(T1274="",T1274=7),"","C")</f>
        <v/>
      </c>
      <c r="AU1372" s="36">
        <f>IF(OR(T1274="",T1274&gt;=6),"","C")</f>
        <v/>
      </c>
    </row>
    <row r="1373" hidden="1" outlineLevel="1" ht="15" customHeight="1" s="15">
      <c r="AT1373" s="36">
        <f>IF(AND(T1274&lt;&gt;"",T1274=7),"R","")</f>
        <v/>
      </c>
      <c r="AU1373" s="36">
        <f>IF(AND(T1274&lt;&gt;"",T1274&gt;=6),"R","")</f>
        <v/>
      </c>
    </row>
    <row r="1374" hidden="1" outlineLevel="1" ht="15" customHeight="1" s="15">
      <c r="AT1374" s="36">
        <f>IF(OR(U1274="",U1274=7),"","P")</f>
        <v/>
      </c>
      <c r="AU1374" s="36">
        <f>IF(OR(U1274="",U1274&gt;=6),"","P")</f>
        <v/>
      </c>
    </row>
    <row r="1375" hidden="1" outlineLevel="1" ht="15" customHeight="1" s="15">
      <c r="AT1375" s="36">
        <f>IF(OR(U1274="",U1274=7),"","D")</f>
        <v/>
      </c>
      <c r="AU1375" s="36">
        <f>IF(OR(U1274="",U1274&gt;=6),"","D")</f>
        <v/>
      </c>
    </row>
    <row r="1376" hidden="1" outlineLevel="1" ht="15" customHeight="1" s="15">
      <c r="AT1376" s="36">
        <f>IF(OR(U1274="",U1274=7),"","A")</f>
        <v/>
      </c>
      <c r="AU1376" s="36">
        <f>IF(OR(U1274="",U1274&gt;=6),"","A")</f>
        <v/>
      </c>
    </row>
    <row r="1377" hidden="1" outlineLevel="1" ht="15" customHeight="1" s="15">
      <c r="AT1377" s="36">
        <f>IF(OR(U1274="",U1274=7),"","F")</f>
        <v/>
      </c>
      <c r="AU1377" s="36">
        <f>IF(OR(U1274="",U1274&gt;=6),"","F")</f>
        <v/>
      </c>
    </row>
    <row r="1378" hidden="1" outlineLevel="1" ht="15" customHeight="1" s="15">
      <c r="AT1378" s="36">
        <f>IF(OR(U1274="",U1274=7),"","C")</f>
        <v/>
      </c>
      <c r="AU1378" s="36">
        <f>IF(OR(U1274="",U1274&gt;=6),"","C")</f>
        <v/>
      </c>
    </row>
    <row r="1379" hidden="1" outlineLevel="1" ht="15" customHeight="1" s="15">
      <c r="AT1379" s="36">
        <f>IF(AND(U1274&lt;&gt;"",U1274=7),"R","")</f>
        <v/>
      </c>
      <c r="AU1379" s="36">
        <f>IF(AND(U1274&lt;&gt;"",U1274&gt;=6),"R","")</f>
        <v/>
      </c>
    </row>
    <row r="1380" hidden="1" outlineLevel="1" ht="15" customHeight="1" s="15">
      <c r="AT1380" s="36">
        <f>IF(OR(V1274="",V1274=7),"","P")</f>
        <v/>
      </c>
      <c r="AU1380" s="36">
        <f>IF(OR(V1274="",V1274&gt;=6),"","P")</f>
        <v/>
      </c>
    </row>
    <row r="1381" hidden="1" outlineLevel="1" ht="15" customHeight="1" s="15">
      <c r="AT1381" s="36">
        <f>IF(OR(V1274="",V1274=7),"","D")</f>
        <v/>
      </c>
      <c r="AU1381" s="36">
        <f>IF(OR(V1274="",V1274&gt;=6),"","D")</f>
        <v/>
      </c>
    </row>
    <row r="1382" hidden="1" outlineLevel="1" ht="15" customHeight="1" s="15">
      <c r="AT1382" s="36">
        <f>IF(OR(V1274="",V1274=7),"","A")</f>
        <v/>
      </c>
      <c r="AU1382" s="36">
        <f>IF(OR(V1274="",V1274&gt;=6),"","A")</f>
        <v/>
      </c>
    </row>
    <row r="1383" hidden="1" outlineLevel="1" ht="15" customHeight="1" s="15">
      <c r="AT1383" s="36">
        <f>IF(OR(V1274="",V1274=7),"","F")</f>
        <v/>
      </c>
      <c r="AU1383" s="36">
        <f>IF(OR(V1274="",V1274&gt;=6),"","F")</f>
        <v/>
      </c>
    </row>
    <row r="1384" hidden="1" outlineLevel="1" ht="15" customHeight="1" s="15">
      <c r="AT1384" s="36">
        <f>IF(OR(V1274="",V1274=7),"","C")</f>
        <v/>
      </c>
      <c r="AU1384" s="36">
        <f>IF(OR(V1274="",V1274&gt;=6),"","C")</f>
        <v/>
      </c>
    </row>
    <row r="1385" hidden="1" outlineLevel="1" ht="15" customHeight="1" s="15">
      <c r="AT1385" s="36">
        <f>IF(AND(V1274&lt;&gt;"",V1274=7),"R","")</f>
        <v/>
      </c>
      <c r="AU1385" s="36">
        <f>IF(AND(V1274&lt;&gt;"",V1274&gt;=6),"R","")</f>
        <v/>
      </c>
    </row>
    <row r="1386" hidden="1" outlineLevel="1" ht="15" customHeight="1" s="15">
      <c r="AT1386" s="36">
        <f>IF(OR(W1274="",W1274=7),"","P")</f>
        <v/>
      </c>
      <c r="AU1386" s="36">
        <f>IF(OR(W1274="",W1274&gt;=6),"","P")</f>
        <v/>
      </c>
    </row>
    <row r="1387" hidden="1" outlineLevel="1" ht="15" customHeight="1" s="15">
      <c r="AT1387" s="36">
        <f>IF(OR(W1274="",W1274=7),"","D")</f>
        <v/>
      </c>
      <c r="AU1387" s="36">
        <f>IF(OR(W1274="",W1274&gt;=6),"","D")</f>
        <v/>
      </c>
    </row>
    <row r="1388" hidden="1" outlineLevel="1" ht="15" customHeight="1" s="15">
      <c r="AT1388" s="36">
        <f>IF(OR(W1274="",W1274=7),"","A")</f>
        <v/>
      </c>
      <c r="AU1388" s="36">
        <f>IF(OR(W1274="",W1274&gt;=6),"","A")</f>
        <v/>
      </c>
    </row>
    <row r="1389" hidden="1" outlineLevel="1" ht="15" customHeight="1" s="15">
      <c r="AT1389" s="36">
        <f>IF(OR(W1274="",W1274=7),"","F")</f>
        <v/>
      </c>
      <c r="AU1389" s="36">
        <f>IF(OR(W1274="",W1274&gt;=6),"","F")</f>
        <v/>
      </c>
    </row>
    <row r="1390" hidden="1" outlineLevel="1" ht="15" customHeight="1" s="15">
      <c r="AT1390" s="36">
        <f>IF(OR(W1274="",W1274=7),"","C")</f>
        <v/>
      </c>
      <c r="AU1390" s="36">
        <f>IF(OR(W1274="",W1274&gt;=6),"","C")</f>
        <v/>
      </c>
    </row>
    <row r="1391" hidden="1" outlineLevel="1" ht="15" customHeight="1" s="15">
      <c r="AT1391" s="36">
        <f>IF(AND(W1274&lt;&gt;"",W1274=7),"R","")</f>
        <v/>
      </c>
      <c r="AU1391" s="36">
        <f>IF(AND(W1274&lt;&gt;"",W1274&gt;=6),"R","")</f>
        <v/>
      </c>
    </row>
    <row r="1392" hidden="1" outlineLevel="1" ht="15" customHeight="1" s="15">
      <c r="AT1392" s="36">
        <f>IF(OR(X1274="",X1274=7),"","P")</f>
        <v/>
      </c>
      <c r="AU1392" s="36">
        <f>IF(OR(X1274="",X1274&gt;=6),"","P")</f>
        <v/>
      </c>
    </row>
    <row r="1393" hidden="1" outlineLevel="1" ht="15" customHeight="1" s="15">
      <c r="AT1393" s="36">
        <f>IF(OR(X1274="",X1274=7),"","D")</f>
        <v/>
      </c>
      <c r="AU1393" s="36">
        <f>IF(OR(X1274="",X1274&gt;=6),"","D")</f>
        <v/>
      </c>
    </row>
    <row r="1394" hidden="1" outlineLevel="1" ht="15" customHeight="1" s="15">
      <c r="AT1394" s="36">
        <f>IF(OR(X1274="",X1274=7),"","A")</f>
        <v/>
      </c>
      <c r="AU1394" s="36">
        <f>IF(OR(X1274="",X1274&gt;=6),"","A")</f>
        <v/>
      </c>
    </row>
    <row r="1395" hidden="1" outlineLevel="1" ht="15" customHeight="1" s="15">
      <c r="AT1395" s="36">
        <f>IF(OR(X1274="",X1274=7),"","F")</f>
        <v/>
      </c>
      <c r="AU1395" s="36">
        <f>IF(OR(X1274="",X1274&gt;=6),"","F")</f>
        <v/>
      </c>
    </row>
    <row r="1396" hidden="1" outlineLevel="1" ht="15" customHeight="1" s="15">
      <c r="AT1396" s="36">
        <f>IF(OR(X1274="",X1274=7),"","C")</f>
        <v/>
      </c>
      <c r="AU1396" s="36">
        <f>IF(OR(X1274="",X1274&gt;=6),"","C")</f>
        <v/>
      </c>
    </row>
    <row r="1397" hidden="1" outlineLevel="1" ht="15" customHeight="1" s="15">
      <c r="AT1397" s="36">
        <f>IF(AND(X1274&lt;&gt;"",X1274=7),"R","")</f>
        <v/>
      </c>
      <c r="AU1397" s="36">
        <f>IF(AND(X1274&lt;&gt;"",X1274&gt;=6),"R","")</f>
        <v/>
      </c>
    </row>
    <row r="1398" hidden="1" outlineLevel="1" ht="15" customHeight="1" s="15">
      <c r="AT1398" s="36">
        <f>IF(OR(Y1274="",Y1274=7),"","P")</f>
        <v/>
      </c>
      <c r="AU1398" s="36">
        <f>IF(OR(Y1274="",Y1274&gt;=6),"","P")</f>
        <v/>
      </c>
    </row>
    <row r="1399" hidden="1" outlineLevel="1" ht="15" customHeight="1" s="15">
      <c r="AT1399" s="36">
        <f>IF(OR(Y1274="",Y1274=7),"","D")</f>
        <v/>
      </c>
      <c r="AU1399" s="36">
        <f>IF(OR(Y1274="",Y1274&gt;=6),"","D")</f>
        <v/>
      </c>
    </row>
    <row r="1400" hidden="1" outlineLevel="1" ht="15" customHeight="1" s="15">
      <c r="AT1400" s="36">
        <f>IF(OR(Y1274="",Y1274=7),"","A")</f>
        <v/>
      </c>
      <c r="AU1400" s="36">
        <f>IF(OR(Y1274="",Y1274&gt;=6),"","A")</f>
        <v/>
      </c>
    </row>
    <row r="1401" hidden="1" outlineLevel="1" ht="15" customHeight="1" s="15">
      <c r="AT1401" s="36">
        <f>IF(OR(Y1274="",Y1274=7),"","F")</f>
        <v/>
      </c>
      <c r="AU1401" s="36">
        <f>IF(OR(Y1274="",Y1274&gt;=6),"","F")</f>
        <v/>
      </c>
    </row>
    <row r="1402" hidden="1" outlineLevel="1" ht="15" customHeight="1" s="15">
      <c r="AT1402" s="36">
        <f>IF(OR(Y1274="",Y1274=7),"","C")</f>
        <v/>
      </c>
      <c r="AU1402" s="36">
        <f>IF(OR(Y1274="",Y1274&gt;=6),"","C")</f>
        <v/>
      </c>
    </row>
    <row r="1403" hidden="1" outlineLevel="1" ht="15" customHeight="1" s="15">
      <c r="AT1403" s="36">
        <f>IF(AND(Y1274&lt;&gt;"",Y1274=7),"R","")</f>
        <v/>
      </c>
      <c r="AU1403" s="36">
        <f>IF(AND(Y1274&lt;&gt;"",Y1274&gt;=6),"R","")</f>
        <v/>
      </c>
    </row>
    <row r="1404" hidden="1" outlineLevel="1" ht="15" customHeight="1" s="15">
      <c r="AT1404" s="36">
        <f>IF(OR(Z1274="",Z1274=7),"","P")</f>
        <v/>
      </c>
      <c r="AU1404" s="36">
        <f>IF(OR(Z1274="",Z1274&gt;=6),"","P")</f>
        <v/>
      </c>
    </row>
    <row r="1405" hidden="1" outlineLevel="1" ht="15" customHeight="1" s="15">
      <c r="AT1405" s="36">
        <f>IF(OR(Z1274="",Z1274=7),"","D")</f>
        <v/>
      </c>
      <c r="AU1405" s="36">
        <f>IF(OR(Z1274="",Z1274&gt;=6),"","D")</f>
        <v/>
      </c>
    </row>
    <row r="1406" hidden="1" outlineLevel="1" ht="15" customHeight="1" s="15">
      <c r="AT1406" s="36">
        <f>IF(OR(Z1274="",Z1274=7),"","A")</f>
        <v/>
      </c>
      <c r="AU1406" s="36">
        <f>IF(OR(Z1274="",Z1274&gt;=6),"","A")</f>
        <v/>
      </c>
    </row>
    <row r="1407" hidden="1" outlineLevel="1" ht="15" customHeight="1" s="15">
      <c r="AT1407" s="36">
        <f>IF(OR(Z1274="",Z1274=7),"","F")</f>
        <v/>
      </c>
      <c r="AU1407" s="36">
        <f>IF(OR(Z1274="",Z1274&gt;=6),"","F")</f>
        <v/>
      </c>
    </row>
    <row r="1408" hidden="1" outlineLevel="1" ht="15" customHeight="1" s="15">
      <c r="AT1408" s="36">
        <f>IF(OR(Z1274="",Z1274=7),"","C")</f>
        <v/>
      </c>
      <c r="AU1408" s="36">
        <f>IF(OR(Z1274="",Z1274&gt;=6),"","C")</f>
        <v/>
      </c>
    </row>
    <row r="1409" hidden="1" outlineLevel="1" ht="15" customHeight="1" s="15">
      <c r="AT1409" s="36">
        <f>IF(AND(Z1274&lt;&gt;"",Z1274=7),"R","")</f>
        <v/>
      </c>
      <c r="AU1409" s="36">
        <f>IF(AND(Z1274&lt;&gt;"",Z1274&gt;=6),"R","")</f>
        <v/>
      </c>
    </row>
    <row r="1410" hidden="1" outlineLevel="1" ht="15" customHeight="1" s="15">
      <c r="AT1410" s="36">
        <f>IF(OR(AA1274="",AA1274=7),"","P")</f>
        <v/>
      </c>
      <c r="AU1410" s="36">
        <f>IF(OR(AA1274="",AA1274&gt;=6),"","P")</f>
        <v/>
      </c>
    </row>
    <row r="1411" hidden="1" outlineLevel="1" ht="15" customHeight="1" s="15">
      <c r="AT1411" s="36">
        <f>IF(OR(AA1274="",AA1274=7),"","D")</f>
        <v/>
      </c>
      <c r="AU1411" s="36">
        <f>IF(OR(AA1274="",AA1274&gt;=6),"","D")</f>
        <v/>
      </c>
    </row>
    <row r="1412" hidden="1" outlineLevel="1" ht="15" customHeight="1" s="15">
      <c r="AT1412" s="36">
        <f>IF(OR(AA1274="",AA1274=7),"","A")</f>
        <v/>
      </c>
      <c r="AU1412" s="36">
        <f>IF(OR(AA1274="",AA1274&gt;=6),"","A")</f>
        <v/>
      </c>
    </row>
    <row r="1413" hidden="1" outlineLevel="1" ht="15" customHeight="1" s="15">
      <c r="AT1413" s="36">
        <f>IF(OR(AA1274="",AA1274=7),"","F")</f>
        <v/>
      </c>
      <c r="AU1413" s="36">
        <f>IF(OR(AA1274="",AA1274&gt;=6),"","F")</f>
        <v/>
      </c>
    </row>
    <row r="1414" hidden="1" outlineLevel="1" ht="15" customHeight="1" s="15">
      <c r="AT1414" s="36">
        <f>IF(OR(AA1274="",AA1274=7),"","C")</f>
        <v/>
      </c>
      <c r="AU1414" s="36">
        <f>IF(OR(AA1274="",AA1274&gt;=6),"","C")</f>
        <v/>
      </c>
    </row>
    <row r="1415" hidden="1" outlineLevel="1" ht="15" customHeight="1" s="15">
      <c r="AT1415" s="36">
        <f>IF(AND(AA1274&lt;&gt;"",AA1274=7),"R","")</f>
        <v/>
      </c>
      <c r="AU1415" s="36">
        <f>IF(AND(AA1274&lt;&gt;"",AA1274&gt;=6),"R","")</f>
        <v/>
      </c>
    </row>
    <row r="1416" hidden="1" outlineLevel="1" ht="15" customHeight="1" s="15">
      <c r="AT1416" s="36">
        <f>IF(OR(AB1274="",AB1274=7),"","P")</f>
        <v/>
      </c>
      <c r="AU1416" s="36">
        <f>IF(OR(AB1274="",AB1274&gt;=6),"","P")</f>
        <v/>
      </c>
    </row>
    <row r="1417" hidden="1" outlineLevel="1" ht="15" customHeight="1" s="15">
      <c r="AT1417" s="36">
        <f>IF(OR(AB1274="",AB1274=7),"","D")</f>
        <v/>
      </c>
      <c r="AU1417" s="36">
        <f>IF(OR(AB1274="",AB1274&gt;=6),"","D")</f>
        <v/>
      </c>
    </row>
    <row r="1418" hidden="1" outlineLevel="1" ht="15" customHeight="1" s="15">
      <c r="AT1418" s="36">
        <f>IF(OR(AB1274="",AB1274=7),"","A")</f>
        <v/>
      </c>
      <c r="AU1418" s="36">
        <f>IF(OR(AB1274="",AB1274&gt;=6),"","A")</f>
        <v/>
      </c>
    </row>
    <row r="1419" hidden="1" outlineLevel="1" ht="15" customHeight="1" s="15">
      <c r="AT1419" s="36">
        <f>IF(OR(AB1274="",AB1274=7),"","F")</f>
        <v/>
      </c>
      <c r="AU1419" s="36">
        <f>IF(OR(AB1274="",AB1274&gt;=6),"","F")</f>
        <v/>
      </c>
    </row>
    <row r="1420" hidden="1" outlineLevel="1" ht="15" customHeight="1" s="15">
      <c r="AT1420" s="36">
        <f>IF(OR(AB1274="",AB1274=7),"","C")</f>
        <v/>
      </c>
      <c r="AU1420" s="36">
        <f>IF(OR(AB1274="",AB1274&gt;=6),"","C")</f>
        <v/>
      </c>
    </row>
    <row r="1421" hidden="1" outlineLevel="1" ht="15" customHeight="1" s="15">
      <c r="AT1421" s="36">
        <f>IF(AND(AB1274&lt;&gt;"",AB1274=7),"R","")</f>
        <v/>
      </c>
      <c r="AU1421" s="36">
        <f>IF(AND(AB1274&lt;&gt;"",AB1274&gt;=6),"R","")</f>
        <v/>
      </c>
    </row>
    <row r="1422" hidden="1" outlineLevel="1" ht="15" customHeight="1" s="15">
      <c r="AT1422" s="36">
        <f>IF(OR(AC1274="",AC1274=7),"","P")</f>
        <v/>
      </c>
      <c r="AU1422" s="36">
        <f>IF(OR(AC1274="",AC1274&gt;=6),"","P")</f>
        <v/>
      </c>
    </row>
    <row r="1423" hidden="1" outlineLevel="1" ht="15" customHeight="1" s="15">
      <c r="AT1423" s="36">
        <f>IF(OR(AC1274="",AC1274=7),"","D")</f>
        <v/>
      </c>
      <c r="AU1423" s="36">
        <f>IF(OR(AC1274="",AC1274&gt;=6),"","D")</f>
        <v/>
      </c>
    </row>
    <row r="1424" hidden="1" outlineLevel="1" ht="15" customHeight="1" s="15">
      <c r="AT1424" s="36">
        <f>IF(OR(AC1274="",AC1274=7),"","A")</f>
        <v/>
      </c>
      <c r="AU1424" s="36">
        <f>IF(OR(AC1274="",AC1274&gt;=6),"","A")</f>
        <v/>
      </c>
    </row>
    <row r="1425" hidden="1" outlineLevel="1" ht="15" customHeight="1" s="15">
      <c r="AT1425" s="36">
        <f>IF(OR(AC1274="",AC1274=7),"","F")</f>
        <v/>
      </c>
      <c r="AU1425" s="36">
        <f>IF(OR(AC1274="",AC1274&gt;=6),"","F")</f>
        <v/>
      </c>
    </row>
    <row r="1426" hidden="1" outlineLevel="1" ht="15" customHeight="1" s="15">
      <c r="AT1426" s="36">
        <f>IF(OR(AC1274="",AC1274=7),"","C")</f>
        <v/>
      </c>
      <c r="AU1426" s="36">
        <f>IF(OR(AC1274="",AC1274&gt;=6),"","C")</f>
        <v/>
      </c>
    </row>
    <row r="1427" hidden="1" outlineLevel="1" ht="15" customHeight="1" s="15">
      <c r="AT1427" s="36">
        <f>IF(AND(AC1274&lt;&gt;"",AC1274=7),"R","")</f>
        <v/>
      </c>
      <c r="AU1427" s="36">
        <f>IF(AND(AC1274&lt;&gt;"",AC1274&gt;=6),"R","")</f>
        <v/>
      </c>
    </row>
    <row r="1428" hidden="1" outlineLevel="1" ht="15" customHeight="1" s="15">
      <c r="AT1428" s="36">
        <f>IF(OR(AD1274="",AD1274=7),"","P")</f>
        <v/>
      </c>
      <c r="AU1428" s="36">
        <f>IF(OR(AD1274="",AD1274&gt;=6),"","P")</f>
        <v/>
      </c>
    </row>
    <row r="1429" hidden="1" outlineLevel="1" ht="15" customHeight="1" s="15">
      <c r="AT1429" s="36">
        <f>IF(OR(AD1274="",AD1274=7),"","D")</f>
        <v/>
      </c>
      <c r="AU1429" s="36">
        <f>IF(OR(AD1274="",AD1274&gt;=6),"","D")</f>
        <v/>
      </c>
    </row>
    <row r="1430" hidden="1" outlineLevel="1" ht="15" customHeight="1" s="15">
      <c r="AT1430" s="36">
        <f>IF(OR(AD1274="",AD1274=7),"","A")</f>
        <v/>
      </c>
      <c r="AU1430" s="36">
        <f>IF(OR(AD1274="",AD1274&gt;=6),"","A")</f>
        <v/>
      </c>
    </row>
    <row r="1431" hidden="1" outlineLevel="1" ht="15" customHeight="1" s="15">
      <c r="AT1431" s="36">
        <f>IF(OR(AD1274="",AD1274=7),"","F")</f>
        <v/>
      </c>
      <c r="AU1431" s="36">
        <f>IF(OR(AD1274="",AD1274&gt;=6),"","F")</f>
        <v/>
      </c>
    </row>
    <row r="1432" hidden="1" outlineLevel="1" ht="15" customHeight="1" s="15">
      <c r="AT1432" s="36">
        <f>IF(OR(AD1274="",AD1274=7),"","C")</f>
        <v/>
      </c>
      <c r="AU1432" s="36">
        <f>IF(OR(AD1274="",AD1274&gt;=6),"","C")</f>
        <v/>
      </c>
    </row>
    <row r="1433" hidden="1" outlineLevel="1" ht="15" customHeight="1" s="15">
      <c r="AT1433" s="36">
        <f>IF(AND(AD1274&lt;&gt;"",AD1274=7),"R","")</f>
        <v/>
      </c>
      <c r="AU1433" s="36">
        <f>IF(AND(AD1274&lt;&gt;"",AD1274&gt;=6),"R","")</f>
        <v/>
      </c>
    </row>
    <row r="1434" hidden="1" outlineLevel="1" ht="15" customHeight="1" s="15">
      <c r="AT1434" s="36">
        <f>IF(OR(AE1274="",AE1274=7),"","P")</f>
        <v/>
      </c>
      <c r="AU1434" s="36">
        <f>IF(OR(AE1274="",AE1274&gt;=6),"","P")</f>
        <v/>
      </c>
    </row>
    <row r="1435" hidden="1" outlineLevel="1" ht="15" customHeight="1" s="15">
      <c r="AT1435" s="36">
        <f>IF(OR(AE1274="",AE1274=7),"","D")</f>
        <v/>
      </c>
      <c r="AU1435" s="36">
        <f>IF(OR(AE1274="",AE1274&gt;=6),"","D")</f>
        <v/>
      </c>
    </row>
    <row r="1436" hidden="1" outlineLevel="1" ht="15" customHeight="1" s="15">
      <c r="AT1436" s="36">
        <f>IF(OR(AE1274="",AE1274=7),"","A")</f>
        <v/>
      </c>
      <c r="AU1436" s="36">
        <f>IF(OR(AE1274="",AE1274&gt;=6),"","A")</f>
        <v/>
      </c>
    </row>
    <row r="1437" hidden="1" outlineLevel="1" ht="15" customHeight="1" s="15">
      <c r="AT1437" s="36">
        <f>IF(OR(AE1274="",AE1274=7),"","F")</f>
        <v/>
      </c>
      <c r="AU1437" s="36">
        <f>IF(OR(AE1274="",AE1274&gt;=6),"","F")</f>
        <v/>
      </c>
    </row>
    <row r="1438" hidden="1" outlineLevel="1" ht="15" customHeight="1" s="15">
      <c r="AT1438" s="36">
        <f>IF(OR(AE1274="",AE1274=7),"","C")</f>
        <v/>
      </c>
      <c r="AU1438" s="36">
        <f>IF(OR(AE1274="",AE1274&gt;=6),"","C")</f>
        <v/>
      </c>
    </row>
    <row r="1439" hidden="1" outlineLevel="1" ht="15" customHeight="1" s="15">
      <c r="AT1439" s="36">
        <f>IF(AND(AE1274&lt;&gt;"",AE1274=7),"R","")</f>
        <v/>
      </c>
      <c r="AU1439" s="36">
        <f>IF(AND(AE1274&lt;&gt;"",AE1274&gt;=6),"R","")</f>
        <v/>
      </c>
    </row>
    <row r="1440" hidden="1" outlineLevel="1" ht="15" customHeight="1" s="15">
      <c r="AT1440" s="36">
        <f>IF(OR(AF1274="",AF1274=7),"","P")</f>
        <v/>
      </c>
      <c r="AU1440" s="36">
        <f>IF(OR(AF1274="",AF1274&gt;=6),"","P")</f>
        <v/>
      </c>
    </row>
    <row r="1441" hidden="1" outlineLevel="1" ht="15" customHeight="1" s="15">
      <c r="AT1441" s="36">
        <f>IF(OR(AF1274="",AF1274=7),"","D")</f>
        <v/>
      </c>
      <c r="AU1441" s="36">
        <f>IF(OR(AF1274="",AF1274&gt;=6),"","D")</f>
        <v/>
      </c>
    </row>
    <row r="1442" hidden="1" outlineLevel="1" ht="15" customHeight="1" s="15">
      <c r="AT1442" s="36">
        <f>IF(OR(AF1274="",AF1274=7),"","A")</f>
        <v/>
      </c>
      <c r="AU1442" s="36">
        <f>IF(OR(AF1274="",AF1274&gt;=6),"","A")</f>
        <v/>
      </c>
    </row>
    <row r="1443" hidden="1" outlineLevel="1" ht="15" customHeight="1" s="15">
      <c r="AT1443" s="36">
        <f>IF(OR(AF1274="",AF1274=7),"","F")</f>
        <v/>
      </c>
      <c r="AU1443" s="36">
        <f>IF(OR(AF1274="",AF1274&gt;=6),"","F")</f>
        <v/>
      </c>
    </row>
    <row r="1444" hidden="1" outlineLevel="1" ht="15" customHeight="1" s="15">
      <c r="AT1444" s="36">
        <f>IF(OR(AF1274="",AF1274=7),"","C")</f>
        <v/>
      </c>
      <c r="AU1444" s="36">
        <f>IF(OR(AF1274="",AF1274&gt;=6),"","C")</f>
        <v/>
      </c>
    </row>
    <row r="1445" hidden="1" outlineLevel="1" ht="15" customHeight="1" s="15">
      <c r="AT1445" s="36">
        <f>IF(AND(AF1274&lt;&gt;"",AF1274=7),"R","")</f>
        <v/>
      </c>
      <c r="AU1445" s="36">
        <f>IF(AND(AF1274&lt;&gt;"",AF1274&gt;=6),"R","")</f>
        <v/>
      </c>
    </row>
    <row r="1446" hidden="1" outlineLevel="1" ht="15" customHeight="1" s="15">
      <c r="AT1446" s="36">
        <f>IF(OR(AG1274="",AG1274=7),"","P")</f>
        <v/>
      </c>
      <c r="AU1446" s="36">
        <f>IF(OR(AG1274="",AG1274&gt;=6),"","P")</f>
        <v/>
      </c>
    </row>
    <row r="1447" hidden="1" outlineLevel="1" ht="15" customHeight="1" s="15">
      <c r="AT1447" s="36">
        <f>IF(OR(AG1274="",AG1274=7),"","D")</f>
        <v/>
      </c>
      <c r="AU1447" s="36">
        <f>IF(OR(AG1274="",AG1274&gt;=6),"","D")</f>
        <v/>
      </c>
    </row>
    <row r="1448" hidden="1" outlineLevel="1" ht="15" customHeight="1" s="15">
      <c r="AT1448" s="36">
        <f>IF(OR(AG1274="",AG1274=7),"","A")</f>
        <v/>
      </c>
      <c r="AU1448" s="36">
        <f>IF(OR(AG1274="",AG1274&gt;=6),"","A")</f>
        <v/>
      </c>
    </row>
    <row r="1449" hidden="1" outlineLevel="1" ht="15" customHeight="1" s="15">
      <c r="AT1449" s="36">
        <f>IF(OR(AG1274="",AG1274=7),"","F")</f>
        <v/>
      </c>
      <c r="AU1449" s="36">
        <f>IF(OR(AG1274="",AG1274&gt;=6),"","F")</f>
        <v/>
      </c>
    </row>
    <row r="1450" hidden="1" outlineLevel="1" ht="15" customHeight="1" s="15">
      <c r="AT1450" s="36">
        <f>IF(OR(AG1274="",AG1274=7),"","C")</f>
        <v/>
      </c>
      <c r="AU1450" s="36">
        <f>IF(OR(AG1274="",AG1274&gt;=6),"","C")</f>
        <v/>
      </c>
    </row>
    <row r="1451" hidden="1" outlineLevel="1" ht="15" customHeight="1" s="15">
      <c r="AT1451" s="36">
        <f>IF(AND(AG1274&lt;&gt;"",AG1274=7),"R","")</f>
        <v/>
      </c>
      <c r="AU1451" s="36">
        <f>IF(AND(AG1274&lt;&gt;"",AG1274&gt;=6),"R","")</f>
        <v/>
      </c>
    </row>
    <row r="1452" hidden="1" outlineLevel="1" ht="15" customHeight="1" s="15">
      <c r="AT1452" s="36">
        <f>IF(OR(AH1274="",AH1274=7),"","P")</f>
        <v/>
      </c>
      <c r="AU1452" s="36">
        <f>IF(OR(AH1274="",AH1274&gt;=6),"","P")</f>
        <v/>
      </c>
    </row>
    <row r="1453" hidden="1" outlineLevel="1" ht="15" customHeight="1" s="15">
      <c r="AT1453" s="36">
        <f>IF(OR(AH1274="",AH1274=7),"","D")</f>
        <v/>
      </c>
      <c r="AU1453" s="36">
        <f>IF(OR(AH1274="",AH1274&gt;=6),"","D")</f>
        <v/>
      </c>
    </row>
    <row r="1454" hidden="1" outlineLevel="1" ht="15" customHeight="1" s="15">
      <c r="AT1454" s="36">
        <f>IF(OR(AH1274="",AH1274=7),"","A")</f>
        <v/>
      </c>
      <c r="AU1454" s="36">
        <f>IF(OR(AH1274="",AH1274&gt;=6),"","A")</f>
        <v/>
      </c>
    </row>
    <row r="1455" hidden="1" outlineLevel="1" ht="15" customHeight="1" s="15">
      <c r="AT1455" s="36">
        <f>IF(OR(AH1274="",AH1274=7),"","F")</f>
        <v/>
      </c>
      <c r="AU1455" s="36">
        <f>IF(OR(AH1274="",AH1274&gt;=6),"","F")</f>
        <v/>
      </c>
    </row>
    <row r="1456" hidden="1" outlineLevel="1" ht="15" customHeight="1" s="15">
      <c r="AT1456" s="36">
        <f>IF(OR(AH1274="",AH1274=7),"","C")</f>
        <v/>
      </c>
      <c r="AU1456" s="36">
        <f>IF(OR(AH1274="",AH1274&gt;=6),"","C")</f>
        <v/>
      </c>
    </row>
    <row r="1457" hidden="1" outlineLevel="1" ht="15" customHeight="1" s="15">
      <c r="AT1457" s="36">
        <f>IF(AND(AH1274&lt;&gt;"",AH1274=7),"R","")</f>
        <v/>
      </c>
      <c r="AU1457" s="36">
        <f>IF(AND(AH1274&lt;&gt;"",AH1274&gt;=6),"R","")</f>
        <v/>
      </c>
    </row>
    <row r="1458" hidden="1" outlineLevel="1" ht="15" customHeight="1" s="15">
      <c r="AT1458" s="36">
        <f>IF(OR(AI1274="",AI1274=7),"","P")</f>
        <v/>
      </c>
      <c r="AU1458" s="36">
        <f>IF(OR(AI1274="",AI1274&gt;=6),"","P")</f>
        <v/>
      </c>
    </row>
    <row r="1459" hidden="1" outlineLevel="1" ht="15" customHeight="1" s="15">
      <c r="AT1459" s="36">
        <f>IF(OR(AI1274="",AI1274=7),"","D")</f>
        <v/>
      </c>
      <c r="AU1459" s="36">
        <f>IF(OR(AI1274="",AI1274&gt;=6),"","D")</f>
        <v/>
      </c>
    </row>
    <row r="1460" hidden="1" outlineLevel="1" ht="15" customHeight="1" s="15">
      <c r="AT1460" s="36">
        <f>IF(OR(AI1274="",AI1274=7),"","A")</f>
        <v/>
      </c>
      <c r="AU1460" s="36">
        <f>IF(OR(AI1274="",AI1274&gt;=6),"","A")</f>
        <v/>
      </c>
    </row>
    <row r="1461" hidden="1" outlineLevel="1" ht="15" customHeight="1" s="15">
      <c r="AT1461" s="36">
        <f>IF(OR(AI1274="",AI1274=7),"","F")</f>
        <v/>
      </c>
      <c r="AU1461" s="36">
        <f>IF(OR(AI1274="",AI1274&gt;=6),"","F")</f>
        <v/>
      </c>
    </row>
    <row r="1462" hidden="1" outlineLevel="1" ht="15" customHeight="1" s="15">
      <c r="AT1462" s="36">
        <f>IF(OR(AI1274="",AI1274=7),"","C")</f>
        <v/>
      </c>
      <c r="AU1462" s="36">
        <f>IF(OR(AI1274="",AI1274&gt;=6),"","C")</f>
        <v/>
      </c>
    </row>
    <row r="1463" hidden="1" outlineLevel="1" ht="15" customHeight="1" s="15">
      <c r="AT1463" s="36">
        <f>IF(AND(AI1274&lt;&gt;"",AI1274=7),"R","")</f>
        <v/>
      </c>
      <c r="AU1463" s="36">
        <f>IF(AND(AI1274&lt;&gt;"",AI1274&gt;=6),"R","")</f>
        <v/>
      </c>
    </row>
    <row r="1464" hidden="1" outlineLevel="1" ht="15" customHeight="1" s="15">
      <c r="AT1464" s="36">
        <f>IF(OR(AJ1274="",AJ1274=7),"","P")</f>
        <v/>
      </c>
      <c r="AU1464" s="36">
        <f>IF(OR(AJ1274="",AJ1274&gt;=6),"","P")</f>
        <v/>
      </c>
    </row>
    <row r="1465" hidden="1" outlineLevel="1" ht="15" customHeight="1" s="15">
      <c r="AT1465" s="36">
        <f>IF(OR(AJ1274="",AJ1274=7),"","D")</f>
        <v/>
      </c>
      <c r="AU1465" s="36">
        <f>IF(OR(AJ1274="",AJ1274&gt;=6),"","D")</f>
        <v/>
      </c>
    </row>
    <row r="1466" hidden="1" outlineLevel="1" ht="15" customHeight="1" s="15">
      <c r="AT1466" s="36">
        <f>IF(OR(AJ1274="",AJ1274=7),"","A")</f>
        <v/>
      </c>
      <c r="AU1466" s="36">
        <f>IF(OR(AJ1274="",AJ1274&gt;=6),"","A")</f>
        <v/>
      </c>
    </row>
    <row r="1467" hidden="1" outlineLevel="1" ht="15" customHeight="1" s="15">
      <c r="AT1467" s="36">
        <f>IF(OR(AJ1274="",AJ1274=7),"","F")</f>
        <v/>
      </c>
      <c r="AU1467" s="36">
        <f>IF(OR(AJ1274="",AJ1274&gt;=6),"","F")</f>
        <v/>
      </c>
    </row>
    <row r="1468" hidden="1" outlineLevel="1" ht="15" customHeight="1" s="15">
      <c r="AT1468" s="36">
        <f>IF(OR(AJ1274="",AJ1274=7),"","C")</f>
        <v/>
      </c>
      <c r="AU1468" s="36">
        <f>IF(OR(AJ1274="",AJ1274&gt;=6),"","C")</f>
        <v/>
      </c>
    </row>
    <row r="1469" hidden="1" outlineLevel="1" ht="15" customHeight="1" s="15">
      <c r="AT1469" s="36">
        <f>IF(AND(AJ1274&lt;&gt;"",AJ1274=7),"R","")</f>
        <v/>
      </c>
      <c r="AU1469" s="36">
        <f>IF(AND(AJ1274&lt;&gt;"",AJ1274&gt;=6),"R","")</f>
        <v/>
      </c>
    </row>
    <row r="1470" hidden="1" outlineLevel="1" ht="15" customHeight="1" s="15">
      <c r="AT1470" s="36">
        <f>IF(OR(AK1274="",AK1274=7),"","P")</f>
        <v/>
      </c>
      <c r="AU1470" s="36">
        <f>IF(OR(AK1274="",AK1274&gt;=6),"","P")</f>
        <v/>
      </c>
    </row>
    <row r="1471" hidden="1" outlineLevel="1" ht="15" customHeight="1" s="15">
      <c r="AT1471" s="36">
        <f>IF(OR(AK1274="",AK1274=7),"","D")</f>
        <v/>
      </c>
      <c r="AU1471" s="36">
        <f>IF(OR(AK1274="",AK1274&gt;=6),"","D")</f>
        <v/>
      </c>
    </row>
    <row r="1472" hidden="1" outlineLevel="1" ht="15" customHeight="1" s="15">
      <c r="AT1472" s="36">
        <f>IF(OR(AK1274="",AK1274=7),"","A")</f>
        <v/>
      </c>
      <c r="AU1472" s="36">
        <f>IF(OR(AK1274="",AK1274&gt;=6),"","A")</f>
        <v/>
      </c>
    </row>
    <row r="1473" hidden="1" outlineLevel="1" ht="15" customHeight="1" s="15">
      <c r="AT1473" s="36">
        <f>IF(OR(AK1274="",AK1274=7),"","F")</f>
        <v/>
      </c>
      <c r="AU1473" s="36">
        <f>IF(OR(AK1274="",AK1274&gt;=6),"","F")</f>
        <v/>
      </c>
    </row>
    <row r="1474" hidden="1" outlineLevel="1" ht="15" customHeight="1" s="15">
      <c r="AT1474" s="36">
        <f>IF(OR(AK1274="",AK1274=7),"","C")</f>
        <v/>
      </c>
      <c r="AU1474" s="36">
        <f>IF(OR(AK1274="",AK1274&gt;=6),"","C")</f>
        <v/>
      </c>
    </row>
    <row r="1475" hidden="1" outlineLevel="1" ht="15" customHeight="1" s="15">
      <c r="AT1475" s="36">
        <f>IF(AND(AK1274&lt;&gt;"",AK1274=7),"R","")</f>
        <v/>
      </c>
      <c r="AU1475" s="36">
        <f>IF(AND(AK1274&lt;&gt;"",AK1274&gt;=6),"R","")</f>
        <v/>
      </c>
    </row>
    <row r="1476" hidden="1" outlineLevel="1" ht="15" customHeight="1" s="15">
      <c r="AT1476" s="36">
        <f>IF(OR(AL1274="",AL1274=7),"","P")</f>
        <v/>
      </c>
      <c r="AU1476" s="36">
        <f>IF(OR(AL1274="",AL1274&gt;=6),"","P")</f>
        <v/>
      </c>
    </row>
    <row r="1477" hidden="1" outlineLevel="1" ht="15" customHeight="1" s="15">
      <c r="AT1477" s="36">
        <f>IF(OR(AL1274="",AL1274=7),"","D")</f>
        <v/>
      </c>
      <c r="AU1477" s="36">
        <f>IF(OR(AL1274="",AL1274&gt;=6),"","D")</f>
        <v/>
      </c>
    </row>
    <row r="1478" hidden="1" outlineLevel="1" ht="15" customHeight="1" s="15">
      <c r="AT1478" s="36">
        <f>IF(OR(AL1274="",AL1274=7),"","A")</f>
        <v/>
      </c>
      <c r="AU1478" s="36">
        <f>IF(OR(AL1274="",AL1274&gt;=6),"","A")</f>
        <v/>
      </c>
    </row>
    <row r="1479" hidden="1" outlineLevel="1" ht="15" customHeight="1" s="15">
      <c r="AT1479" s="36">
        <f>IF(OR(AL1274="",AL1274=7),"","F")</f>
        <v/>
      </c>
      <c r="AU1479" s="36">
        <f>IF(OR(AL1274="",AL1274&gt;=6),"","F")</f>
        <v/>
      </c>
    </row>
    <row r="1480" hidden="1" outlineLevel="1" ht="15" customHeight="1" s="15">
      <c r="AT1480" s="36">
        <f>IF(OR(AL1274="",AL1274=7),"","C")</f>
        <v/>
      </c>
      <c r="AU1480" s="36">
        <f>IF(OR(AL1274="",AL1274&gt;=6),"","C")</f>
        <v/>
      </c>
    </row>
    <row r="1481" hidden="1" outlineLevel="1" ht="15" customHeight="1" s="15">
      <c r="AT1481" s="36">
        <f>IF(AND(AL1274&lt;&gt;"",AL1274=7),"R","")</f>
        <v/>
      </c>
      <c r="AU1481" s="36">
        <f>IF(AND(AL1274&lt;&gt;"",AL1274&gt;=6),"R","")</f>
        <v/>
      </c>
    </row>
    <row r="1482" hidden="1" outlineLevel="1" ht="15" customHeight="1" s="15">
      <c r="AT1482" s="36">
        <f>IF(OR(AM1274="",AM1274=7),"","P")</f>
        <v/>
      </c>
      <c r="AU1482" s="36">
        <f>IF(OR(AM1274="",AM1274&gt;=6),"","P")</f>
        <v/>
      </c>
    </row>
    <row r="1483" hidden="1" outlineLevel="1" ht="15" customHeight="1" s="15">
      <c r="AT1483" s="36">
        <f>IF(OR(AM1274="",AM1274=7),"","D")</f>
        <v/>
      </c>
      <c r="AU1483" s="36">
        <f>IF(OR(AM1274="",AM1274&gt;=6),"","D")</f>
        <v/>
      </c>
    </row>
    <row r="1484" hidden="1" outlineLevel="1" ht="15" customHeight="1" s="15">
      <c r="AT1484" s="36">
        <f>IF(OR(AM1274="",AM1274=7),"","A")</f>
        <v/>
      </c>
      <c r="AU1484" s="36">
        <f>IF(OR(AM1274="",AM1274&gt;=6),"","A")</f>
        <v/>
      </c>
    </row>
    <row r="1485" hidden="1" outlineLevel="1" ht="15" customHeight="1" s="15">
      <c r="AT1485" s="36">
        <f>IF(OR(AM1274="",AM1274=7),"","F")</f>
        <v/>
      </c>
      <c r="AU1485" s="36">
        <f>IF(OR(AM1274="",AM1274&gt;=6),"","F")</f>
        <v/>
      </c>
    </row>
    <row r="1486" hidden="1" outlineLevel="1" ht="15" customHeight="1" s="15">
      <c r="AT1486" s="36">
        <f>IF(OR(AM1274="",AM1274=7),"","C")</f>
        <v/>
      </c>
      <c r="AU1486" s="36">
        <f>IF(OR(AM1274="",AM1274&gt;=6),"","C")</f>
        <v/>
      </c>
    </row>
    <row r="1487" hidden="1" outlineLevel="1" ht="15" customHeight="1" s="15">
      <c r="AT1487" s="36">
        <f>IF(AND(AM1274&lt;&gt;"",AM1274=7),"R","")</f>
        <v/>
      </c>
      <c r="AU1487" s="36">
        <f>IF(AND(AM1274&lt;&gt;"",AM1274&gt;=6),"R","")</f>
        <v/>
      </c>
    </row>
    <row r="1488" hidden="1" outlineLevel="1" ht="15" customHeight="1" s="15">
      <c r="AT1488" s="36">
        <f>IF(OR(AN1274="",AN1274=7),"","P")</f>
        <v/>
      </c>
      <c r="AU1488" s="36">
        <f>IF(OR(AN1274="",AN1274&gt;=6),"","P")</f>
        <v/>
      </c>
    </row>
    <row r="1489" hidden="1" outlineLevel="1" ht="15" customHeight="1" s="15">
      <c r="AT1489" s="36">
        <f>IF(OR(AN1274="",AN1274=7),"","D")</f>
        <v/>
      </c>
      <c r="AU1489" s="36">
        <f>IF(OR(AN1274="",AN1274&gt;=6),"","D")</f>
        <v/>
      </c>
    </row>
    <row r="1490" hidden="1" outlineLevel="1" ht="15" customHeight="1" s="15">
      <c r="AT1490" s="36">
        <f>IF(OR(AN1274="",AN1274=7),"","A")</f>
        <v/>
      </c>
      <c r="AU1490" s="36">
        <f>IF(OR(AN1274="",AN1274&gt;=6),"","A")</f>
        <v/>
      </c>
    </row>
    <row r="1491" hidden="1" outlineLevel="1" ht="15" customHeight="1" s="15">
      <c r="AT1491" s="36">
        <f>IF(OR(AN1274="",AN1274=7),"","F")</f>
        <v/>
      </c>
      <c r="AU1491" s="36">
        <f>IF(OR(AN1274="",AN1274&gt;=6),"","F")</f>
        <v/>
      </c>
    </row>
    <row r="1492" hidden="1" outlineLevel="1" ht="15" customHeight="1" s="15">
      <c r="AT1492" s="36">
        <f>IF(OR(AN1274="",AN1274=7),"","C")</f>
        <v/>
      </c>
      <c r="AU1492" s="36">
        <f>IF(OR(AN1274="",AN1274&gt;=6),"","C")</f>
        <v/>
      </c>
    </row>
    <row r="1493" hidden="1" outlineLevel="1" ht="15" customHeight="1" s="15">
      <c r="AT1493" s="36">
        <f>IF(AND(AN1274&lt;&gt;"",AN1274=7),"R","")</f>
        <v/>
      </c>
      <c r="AU1493" s="36">
        <f>IF(AND(AN1274&lt;&gt;"",AN1274&gt;=6),"R","")</f>
        <v/>
      </c>
    </row>
    <row r="1494" hidden="1" outlineLevel="1" ht="15" customHeight="1" s="15">
      <c r="AT1494" s="36">
        <f>IF(OR(AO1274="",AO1274=7),"","P")</f>
        <v/>
      </c>
      <c r="AU1494" s="36">
        <f>IF(OR(AO1274="",AO1274&gt;=6),"","P")</f>
        <v/>
      </c>
    </row>
    <row r="1495" hidden="1" outlineLevel="1" ht="15" customHeight="1" s="15">
      <c r="AT1495" s="36">
        <f>IF(OR(AO1274="",AO1274=7),"","D")</f>
        <v/>
      </c>
      <c r="AU1495" s="36">
        <f>IF(OR(AO1274="",AO1274&gt;=6),"","D")</f>
        <v/>
      </c>
    </row>
    <row r="1496" hidden="1" outlineLevel="1" ht="15" customHeight="1" s="15">
      <c r="AT1496" s="36">
        <f>IF(OR(AO1274="",AO1274=7),"","A")</f>
        <v/>
      </c>
      <c r="AU1496" s="36">
        <f>IF(OR(AO1274="",AO1274&gt;=6),"","A")</f>
        <v/>
      </c>
    </row>
    <row r="1497" hidden="1" outlineLevel="1" ht="15" customHeight="1" s="15">
      <c r="AT1497" s="36">
        <f>IF(OR(AO1274="",AO1274=7),"","F")</f>
        <v/>
      </c>
      <c r="AU1497" s="36">
        <f>IF(OR(AO1274="",AO1274&gt;=6),"","F")</f>
        <v/>
      </c>
    </row>
    <row r="1498" hidden="1" outlineLevel="1" ht="15" customHeight="1" s="15">
      <c r="AT1498" s="36">
        <f>IF(OR(AO1274="",AO1274=7),"","C")</f>
        <v/>
      </c>
      <c r="AU1498" s="36">
        <f>IF(OR(AO1274="",AO1274&gt;=6),"","C")</f>
        <v/>
      </c>
    </row>
    <row r="1499" hidden="1" outlineLevel="1" ht="15" customHeight="1" s="15">
      <c r="AT1499" s="36">
        <f>IF(AND(AO1274&lt;&gt;"",AO1274=7),"R","")</f>
        <v/>
      </c>
      <c r="AU1499" s="36">
        <f>IF(AND(AO1274&lt;&gt;"",AO1274&gt;=6),"R","")</f>
        <v/>
      </c>
    </row>
    <row r="1500" hidden="1" outlineLevel="1" ht="15" customHeight="1" s="15">
      <c r="AT1500" s="36">
        <f>IF(OR(AP1274="",AP1274=7),"","P")</f>
        <v/>
      </c>
      <c r="AU1500" s="36">
        <f>IF(OR(AP1274="",AP1274&gt;=6),"","P")</f>
        <v/>
      </c>
    </row>
    <row r="1501" hidden="1" outlineLevel="1" ht="15" customHeight="1" s="15">
      <c r="AT1501" s="36">
        <f>IF(OR(AP1274="",AP1274=7),"","D")</f>
        <v/>
      </c>
      <c r="AU1501" s="36">
        <f>IF(OR(AP1274="",AP1274&gt;=6),"","D")</f>
        <v/>
      </c>
    </row>
    <row r="1502" hidden="1" outlineLevel="1" ht="15" customHeight="1" s="15">
      <c r="AT1502" s="36">
        <f>IF(OR(AP1274="",AP1274=7),"","A")</f>
        <v/>
      </c>
      <c r="AU1502" s="36">
        <f>IF(OR(AP1274="",AP1274&gt;=6),"","A")</f>
        <v/>
      </c>
    </row>
    <row r="1503" hidden="1" outlineLevel="1" ht="15" customHeight="1" s="15">
      <c r="AT1503" s="36">
        <f>IF(OR(AP1274="",AP1274=7),"","F")</f>
        <v/>
      </c>
      <c r="AU1503" s="36">
        <f>IF(OR(AP1274="",AP1274&gt;=6),"","F")</f>
        <v/>
      </c>
    </row>
    <row r="1504" hidden="1" outlineLevel="1" ht="15" customHeight="1" s="15">
      <c r="AT1504" s="36">
        <f>IF(OR(AP1274="",AP1274=7),"","C")</f>
        <v/>
      </c>
      <c r="AU1504" s="36">
        <f>IF(OR(AP1274="",AP1274&gt;=6),"","C")</f>
        <v/>
      </c>
    </row>
    <row r="1505" hidden="1" outlineLevel="1" ht="15" customHeight="1" s="15">
      <c r="AT1505" s="36">
        <f>IF(AND(AP1274&lt;&gt;"",AP1274=7),"R","")</f>
        <v/>
      </c>
      <c r="AU1505" s="36">
        <f>IF(AND(AP1274&lt;&gt;"",AP1274&gt;=6),"R","")</f>
        <v/>
      </c>
    </row>
    <row r="1506" hidden="1" outlineLevel="1" ht="15" customHeight="1" s="15">
      <c r="AT1506" s="36">
        <f>IF(OR(AQ1274="",AQ1274=7),"","P")</f>
        <v/>
      </c>
      <c r="AU1506" s="36">
        <f>IF(OR(AQ1274="",AQ1274&gt;=6),"","P")</f>
        <v/>
      </c>
    </row>
    <row r="1507" hidden="1" outlineLevel="1" ht="15" customHeight="1" s="15">
      <c r="AT1507" s="36">
        <f>IF(OR(AQ1274="",AQ1274=7),"","D")</f>
        <v/>
      </c>
      <c r="AU1507" s="36">
        <f>IF(OR(AQ1274="",AQ1274&gt;=6),"","D")</f>
        <v/>
      </c>
    </row>
    <row r="1508" hidden="1" outlineLevel="1" ht="15" customHeight="1" s="15">
      <c r="AT1508" s="36">
        <f>IF(OR(AQ1274="",AQ1274=7),"","A")</f>
        <v/>
      </c>
      <c r="AU1508" s="36">
        <f>IF(OR(AQ1274="",AQ1274&gt;=6),"","A")</f>
        <v/>
      </c>
    </row>
    <row r="1509" hidden="1" outlineLevel="1" ht="15" customHeight="1" s="15">
      <c r="AT1509" s="36">
        <f>IF(OR(AQ1274="",AQ1274=7),"","F")</f>
        <v/>
      </c>
      <c r="AU1509" s="36">
        <f>IF(OR(AQ1274="",AQ1274&gt;=6),"","F")</f>
        <v/>
      </c>
    </row>
    <row r="1510" hidden="1" outlineLevel="1" ht="15" customHeight="1" s="15">
      <c r="AT1510" s="36">
        <f>IF(OR(AQ1274="",AQ1274=7),"","C")</f>
        <v/>
      </c>
      <c r="AU1510" s="36">
        <f>IF(OR(AQ1274="",AQ1274&gt;=6),"","C")</f>
        <v/>
      </c>
    </row>
    <row r="1511" hidden="1" outlineLevel="1" ht="15" customHeight="1" s="15">
      <c r="AT1511" s="36">
        <f>IF(AND(AQ1274&lt;&gt;"",AQ1274=7),"R","")</f>
        <v/>
      </c>
      <c r="AU1511" s="36">
        <f>IF(AND(AQ1274&lt;&gt;"",AQ1274&gt;=6),"R","")</f>
        <v/>
      </c>
    </row>
    <row r="1512" hidden="1" outlineLevel="1" ht="15" customHeight="1" s="15">
      <c r="AT1512" s="36">
        <f>IF(OR(AR1274="",AR1274=7),"","P")</f>
        <v/>
      </c>
      <c r="AU1512" s="36">
        <f>IF(OR(AR1274="",AR1274&gt;=6),"","P")</f>
        <v/>
      </c>
    </row>
    <row r="1513" hidden="1" outlineLevel="1" ht="15" customHeight="1" s="15">
      <c r="AT1513" s="36">
        <f>IF(OR(AR1274="",AR1274=7),"","D")</f>
        <v/>
      </c>
      <c r="AU1513" s="36">
        <f>IF(OR(AR1274="",AR1274&gt;=6),"","D")</f>
        <v/>
      </c>
    </row>
    <row r="1514" hidden="1" outlineLevel="1" ht="15" customHeight="1" s="15">
      <c r="AT1514" s="36">
        <f>IF(OR(AR1274="",AR1274=7),"","A")</f>
        <v/>
      </c>
      <c r="AU1514" s="36">
        <f>IF(OR(AR1274="",AR1274&gt;=6),"","A")</f>
        <v/>
      </c>
    </row>
    <row r="1515" hidden="1" outlineLevel="1" ht="15" customHeight="1" s="15">
      <c r="AT1515" s="36">
        <f>IF(OR(AR1274="",AR1274=7),"","F")</f>
        <v/>
      </c>
      <c r="AU1515" s="36">
        <f>IF(OR(AR1274="",AR1274&gt;=6),"","F")</f>
        <v/>
      </c>
    </row>
    <row r="1516" hidden="1" outlineLevel="1" ht="15" customHeight="1" s="15">
      <c r="AT1516" s="36">
        <f>IF(OR(AR1274="",AR1274=7),"","C")</f>
        <v/>
      </c>
      <c r="AU1516" s="36">
        <f>IF(OR(AR1274="",AR1274&gt;=6),"","C")</f>
        <v/>
      </c>
    </row>
    <row r="1517" hidden="1" outlineLevel="1" ht="15" customHeight="1" s="15">
      <c r="AT1517" s="36">
        <f>IF(AND(AR1274&lt;&gt;"",AR1274=7),"R","")</f>
        <v/>
      </c>
      <c r="AU1517" s="36">
        <f>IF(AND(AR1274&lt;&gt;"",AR1274&gt;=6),"R","")</f>
        <v/>
      </c>
    </row>
    <row r="1518" hidden="1" outlineLevel="1" ht="15" customHeight="1" s="15">
      <c r="AT1518" s="36">
        <f>IF(OR(AS1274="",AS1274=7),"","P")</f>
        <v/>
      </c>
      <c r="AU1518" s="36">
        <f>IF(OR(AS1274="",AS1274&gt;=6),"","P")</f>
        <v/>
      </c>
    </row>
    <row r="1519" hidden="1" outlineLevel="1" ht="15" customHeight="1" s="15">
      <c r="AT1519" s="36">
        <f>IF(OR(AS1274="",AS1274=7),"","D")</f>
        <v/>
      </c>
      <c r="AU1519" s="36">
        <f>IF(OR(AS1274="",AS1274&gt;=6),"","D")</f>
        <v/>
      </c>
    </row>
    <row r="1520" hidden="1" outlineLevel="1" ht="15" customHeight="1" s="15">
      <c r="AT1520" s="36">
        <f>IF(OR(AS1274="",AS1274=7),"","A")</f>
        <v/>
      </c>
      <c r="AU1520" s="36">
        <f>IF(OR(AS1274="",AS1274&gt;=6),"","A")</f>
        <v/>
      </c>
    </row>
    <row r="1521" hidden="1" outlineLevel="1" ht="15" customHeight="1" s="15">
      <c r="AT1521" s="36">
        <f>IF(OR(AS1274="",AS1274=7),"","F")</f>
        <v/>
      </c>
      <c r="AU1521" s="36">
        <f>IF(OR(AS1274="",AS1274&gt;=6),"","F")</f>
        <v/>
      </c>
    </row>
    <row r="1522" hidden="1" outlineLevel="1" ht="15" customHeight="1" s="15">
      <c r="AT1522" s="36">
        <f>IF(OR(AS1274="",AS1274=7),"","C")</f>
        <v/>
      </c>
      <c r="AU1522" s="36">
        <f>IF(OR(AS1274="",AS1274&gt;=6),"","C")</f>
        <v/>
      </c>
    </row>
    <row r="1523" hidden="1" outlineLevel="1" ht="15" customHeight="1" s="15">
      <c r="AT1523" s="36">
        <f>IF(AND(AS1274&lt;&gt;"",AS1274=7),"R","")</f>
        <v/>
      </c>
      <c r="AU1523" s="36">
        <f>IF(AND(AS1274&lt;&gt;"",AS1274&gt;=6),"R","")</f>
        <v/>
      </c>
    </row>
    <row r="1524" ht="21.75" customHeight="1" s="15">
      <c r="B1524" s="6" t="inlineStr">
        <is>
          <t>ℹ  Grille de pointage Juin — P/D/A/F/C/R, jours prévus/réels/absence calculés (jours ouvrables réels, WEEKDAY). R ne se propose que le jour de repos (repos exceptionnellement travaillé, +majoration). Listes techniques et ligne de calendrier repliées par défaut.</t>
        </is>
      </c>
    </row>
    <row r="1526" ht="19.5" customHeight="1" s="15">
      <c r="B1526" s="71">
        <f>"  JUILLET " &amp; PARAMETRES!$C$29</f>
        <v/>
      </c>
    </row>
    <row r="1527" hidden="1" ht="15" customHeight="1" s="15">
      <c r="B1527" s="36" t="inlineStr">
        <is>
          <t>Jour sem. (technique)</t>
        </is>
      </c>
      <c r="O1527" s="37">
        <f>IF(1&gt;DAY(EOMONTH(DATE(PARAMETRES!$C$29,7,1),0)),"",WEEKDAY(DATE(PARAMETRES!$C$29,7,1),2))</f>
        <v/>
      </c>
      <c r="P1527" s="37">
        <f>IF(2&gt;DAY(EOMONTH(DATE(PARAMETRES!$C$29,7,1),0)),"",WEEKDAY(DATE(PARAMETRES!$C$29,7,2),2))</f>
        <v/>
      </c>
      <c r="Q1527" s="37">
        <f>IF(3&gt;DAY(EOMONTH(DATE(PARAMETRES!$C$29,7,1),0)),"",WEEKDAY(DATE(PARAMETRES!$C$29,7,3),2))</f>
        <v/>
      </c>
      <c r="R1527" s="37">
        <f>IF(4&gt;DAY(EOMONTH(DATE(PARAMETRES!$C$29,7,1),0)),"",WEEKDAY(DATE(PARAMETRES!$C$29,7,4),2))</f>
        <v/>
      </c>
      <c r="S1527" s="37">
        <f>IF(5&gt;DAY(EOMONTH(DATE(PARAMETRES!$C$29,7,1),0)),"",WEEKDAY(DATE(PARAMETRES!$C$29,7,5),2))</f>
        <v/>
      </c>
      <c r="T1527" s="37">
        <f>IF(6&gt;DAY(EOMONTH(DATE(PARAMETRES!$C$29,7,1),0)),"",WEEKDAY(DATE(PARAMETRES!$C$29,7,6),2))</f>
        <v/>
      </c>
      <c r="U1527" s="37">
        <f>IF(7&gt;DAY(EOMONTH(DATE(PARAMETRES!$C$29,7,1),0)),"",WEEKDAY(DATE(PARAMETRES!$C$29,7,7),2))</f>
        <v/>
      </c>
      <c r="V1527" s="37">
        <f>IF(8&gt;DAY(EOMONTH(DATE(PARAMETRES!$C$29,7,1),0)),"",WEEKDAY(DATE(PARAMETRES!$C$29,7,8),2))</f>
        <v/>
      </c>
      <c r="W1527" s="37">
        <f>IF(9&gt;DAY(EOMONTH(DATE(PARAMETRES!$C$29,7,1),0)),"",WEEKDAY(DATE(PARAMETRES!$C$29,7,9),2))</f>
        <v/>
      </c>
      <c r="X1527" s="37">
        <f>IF(10&gt;DAY(EOMONTH(DATE(PARAMETRES!$C$29,7,1),0)),"",WEEKDAY(DATE(PARAMETRES!$C$29,7,10),2))</f>
        <v/>
      </c>
      <c r="Y1527" s="37">
        <f>IF(11&gt;DAY(EOMONTH(DATE(PARAMETRES!$C$29,7,1),0)),"",WEEKDAY(DATE(PARAMETRES!$C$29,7,11),2))</f>
        <v/>
      </c>
      <c r="Z1527" s="37">
        <f>IF(12&gt;DAY(EOMONTH(DATE(PARAMETRES!$C$29,7,1),0)),"",WEEKDAY(DATE(PARAMETRES!$C$29,7,12),2))</f>
        <v/>
      </c>
      <c r="AA1527" s="37">
        <f>IF(13&gt;DAY(EOMONTH(DATE(PARAMETRES!$C$29,7,1),0)),"",WEEKDAY(DATE(PARAMETRES!$C$29,7,13),2))</f>
        <v/>
      </c>
      <c r="AB1527" s="37">
        <f>IF(14&gt;DAY(EOMONTH(DATE(PARAMETRES!$C$29,7,1),0)),"",WEEKDAY(DATE(PARAMETRES!$C$29,7,14),2))</f>
        <v/>
      </c>
      <c r="AC1527" s="37">
        <f>IF(15&gt;DAY(EOMONTH(DATE(PARAMETRES!$C$29,7,1),0)),"",WEEKDAY(DATE(PARAMETRES!$C$29,7,15),2))</f>
        <v/>
      </c>
      <c r="AD1527" s="37">
        <f>IF(16&gt;DAY(EOMONTH(DATE(PARAMETRES!$C$29,7,1),0)),"",WEEKDAY(DATE(PARAMETRES!$C$29,7,16),2))</f>
        <v/>
      </c>
      <c r="AE1527" s="37">
        <f>IF(17&gt;DAY(EOMONTH(DATE(PARAMETRES!$C$29,7,1),0)),"",WEEKDAY(DATE(PARAMETRES!$C$29,7,17),2))</f>
        <v/>
      </c>
      <c r="AF1527" s="37">
        <f>IF(18&gt;DAY(EOMONTH(DATE(PARAMETRES!$C$29,7,1),0)),"",WEEKDAY(DATE(PARAMETRES!$C$29,7,18),2))</f>
        <v/>
      </c>
      <c r="AG1527" s="37">
        <f>IF(19&gt;DAY(EOMONTH(DATE(PARAMETRES!$C$29,7,1),0)),"",WEEKDAY(DATE(PARAMETRES!$C$29,7,19),2))</f>
        <v/>
      </c>
      <c r="AH1527" s="37">
        <f>IF(20&gt;DAY(EOMONTH(DATE(PARAMETRES!$C$29,7,1),0)),"",WEEKDAY(DATE(PARAMETRES!$C$29,7,20),2))</f>
        <v/>
      </c>
      <c r="AI1527" s="37">
        <f>IF(21&gt;DAY(EOMONTH(DATE(PARAMETRES!$C$29,7,1),0)),"",WEEKDAY(DATE(PARAMETRES!$C$29,7,21),2))</f>
        <v/>
      </c>
      <c r="AJ1527" s="37">
        <f>IF(22&gt;DAY(EOMONTH(DATE(PARAMETRES!$C$29,7,1),0)),"",WEEKDAY(DATE(PARAMETRES!$C$29,7,22),2))</f>
        <v/>
      </c>
      <c r="AK1527" s="37">
        <f>IF(23&gt;DAY(EOMONTH(DATE(PARAMETRES!$C$29,7,1),0)),"",WEEKDAY(DATE(PARAMETRES!$C$29,7,23),2))</f>
        <v/>
      </c>
      <c r="AL1527" s="37">
        <f>IF(24&gt;DAY(EOMONTH(DATE(PARAMETRES!$C$29,7,1),0)),"",WEEKDAY(DATE(PARAMETRES!$C$29,7,24),2))</f>
        <v/>
      </c>
      <c r="AM1527" s="37">
        <f>IF(25&gt;DAY(EOMONTH(DATE(PARAMETRES!$C$29,7,1),0)),"",WEEKDAY(DATE(PARAMETRES!$C$29,7,25),2))</f>
        <v/>
      </c>
      <c r="AN1527" s="37">
        <f>IF(26&gt;DAY(EOMONTH(DATE(PARAMETRES!$C$29,7,1),0)),"",WEEKDAY(DATE(PARAMETRES!$C$29,7,26),2))</f>
        <v/>
      </c>
      <c r="AO1527" s="37">
        <f>IF(27&gt;DAY(EOMONTH(DATE(PARAMETRES!$C$29,7,1),0)),"",WEEKDAY(DATE(PARAMETRES!$C$29,7,27),2))</f>
        <v/>
      </c>
      <c r="AP1527" s="37">
        <f>IF(28&gt;DAY(EOMONTH(DATE(PARAMETRES!$C$29,7,1),0)),"",WEEKDAY(DATE(PARAMETRES!$C$29,7,28),2))</f>
        <v/>
      </c>
      <c r="AQ1527" s="37">
        <f>IF(29&gt;DAY(EOMONTH(DATE(PARAMETRES!$C$29,7,1),0)),"",WEEKDAY(DATE(PARAMETRES!$C$29,7,29),2))</f>
        <v/>
      </c>
      <c r="AR1527" s="37">
        <f>IF(30&gt;DAY(EOMONTH(DATE(PARAMETRES!$C$29,7,1),0)),"",WEEKDAY(DATE(PARAMETRES!$C$29,7,30),2))</f>
        <v/>
      </c>
      <c r="AS1527" s="37">
        <f>IF(31&gt;DAY(EOMONTH(DATE(PARAMETRES!$C$29,7,1),0)),"",WEEKDAY(DATE(PARAMETRES!$C$29,7,31),2))</f>
        <v/>
      </c>
    </row>
    <row r="1528" ht="15" customHeight="1" s="15">
      <c r="B1528" s="38" t="inlineStr">
        <is>
          <t>Jour</t>
        </is>
      </c>
      <c r="O1528" s="39">
        <f>IF(O1527="","",CHOOSE(O1527,"L","M","M","J","V","S","D"))</f>
        <v/>
      </c>
      <c r="P1528" s="39">
        <f>IF(P1527="","",CHOOSE(P1527,"L","M","M","J","V","S","D"))</f>
        <v/>
      </c>
      <c r="Q1528" s="39">
        <f>IF(Q1527="","",CHOOSE(Q1527,"L","M","M","J","V","S","D"))</f>
        <v/>
      </c>
      <c r="R1528" s="39">
        <f>IF(R1527="","",CHOOSE(R1527,"L","M","M","J","V","S","D"))</f>
        <v/>
      </c>
      <c r="S1528" s="39">
        <f>IF(S1527="","",CHOOSE(S1527,"L","M","M","J","V","S","D"))</f>
        <v/>
      </c>
      <c r="T1528" s="39">
        <f>IF(T1527="","",CHOOSE(T1527,"L","M","M","J","V","S","D"))</f>
        <v/>
      </c>
      <c r="U1528" s="39">
        <f>IF(U1527="","",CHOOSE(U1527,"L","M","M","J","V","S","D"))</f>
        <v/>
      </c>
      <c r="V1528" s="39">
        <f>IF(V1527="","",CHOOSE(V1527,"L","M","M","J","V","S","D"))</f>
        <v/>
      </c>
      <c r="W1528" s="39">
        <f>IF(W1527="","",CHOOSE(W1527,"L","M","M","J","V","S","D"))</f>
        <v/>
      </c>
      <c r="X1528" s="39">
        <f>IF(X1527="","",CHOOSE(X1527,"L","M","M","J","V","S","D"))</f>
        <v/>
      </c>
      <c r="Y1528" s="39">
        <f>IF(Y1527="","",CHOOSE(Y1527,"L","M","M","J","V","S","D"))</f>
        <v/>
      </c>
      <c r="Z1528" s="39">
        <f>IF(Z1527="","",CHOOSE(Z1527,"L","M","M","J","V","S","D"))</f>
        <v/>
      </c>
      <c r="AA1528" s="39">
        <f>IF(AA1527="","",CHOOSE(AA1527,"L","M","M","J","V","S","D"))</f>
        <v/>
      </c>
      <c r="AB1528" s="39">
        <f>IF(AB1527="","",CHOOSE(AB1527,"L","M","M","J","V","S","D"))</f>
        <v/>
      </c>
      <c r="AC1528" s="39">
        <f>IF(AC1527="","",CHOOSE(AC1527,"L","M","M","J","V","S","D"))</f>
        <v/>
      </c>
      <c r="AD1528" s="39">
        <f>IF(AD1527="","",CHOOSE(AD1527,"L","M","M","J","V","S","D"))</f>
        <v/>
      </c>
      <c r="AE1528" s="39">
        <f>IF(AE1527="","",CHOOSE(AE1527,"L","M","M","J","V","S","D"))</f>
        <v/>
      </c>
      <c r="AF1528" s="39">
        <f>IF(AF1527="","",CHOOSE(AF1527,"L","M","M","J","V","S","D"))</f>
        <v/>
      </c>
      <c r="AG1528" s="39">
        <f>IF(AG1527="","",CHOOSE(AG1527,"L","M","M","J","V","S","D"))</f>
        <v/>
      </c>
      <c r="AH1528" s="39">
        <f>IF(AH1527="","",CHOOSE(AH1527,"L","M","M","J","V","S","D"))</f>
        <v/>
      </c>
      <c r="AI1528" s="39">
        <f>IF(AI1527="","",CHOOSE(AI1527,"L","M","M","J","V","S","D"))</f>
        <v/>
      </c>
      <c r="AJ1528" s="39">
        <f>IF(AJ1527="","",CHOOSE(AJ1527,"L","M","M","J","V","S","D"))</f>
        <v/>
      </c>
      <c r="AK1528" s="39">
        <f>IF(AK1527="","",CHOOSE(AK1527,"L","M","M","J","V","S","D"))</f>
        <v/>
      </c>
      <c r="AL1528" s="39">
        <f>IF(AL1527="","",CHOOSE(AL1527,"L","M","M","J","V","S","D"))</f>
        <v/>
      </c>
      <c r="AM1528" s="39">
        <f>IF(AM1527="","",CHOOSE(AM1527,"L","M","M","J","V","S","D"))</f>
        <v/>
      </c>
      <c r="AN1528" s="39">
        <f>IF(AN1527="","",CHOOSE(AN1527,"L","M","M","J","V","S","D"))</f>
        <v/>
      </c>
      <c r="AO1528" s="39">
        <f>IF(AO1527="","",CHOOSE(AO1527,"L","M","M","J","V","S","D"))</f>
        <v/>
      </c>
      <c r="AP1528" s="39">
        <f>IF(AP1527="","",CHOOSE(AP1527,"L","M","M","J","V","S","D"))</f>
        <v/>
      </c>
      <c r="AQ1528" s="39">
        <f>IF(AQ1527="","",CHOOSE(AQ1527,"L","M","M","J","V","S","D"))</f>
        <v/>
      </c>
      <c r="AR1528" s="39">
        <f>IF(AR1527="","",CHOOSE(AR1527,"L","M","M","J","V","S","D"))</f>
        <v/>
      </c>
      <c r="AS1528" s="39">
        <f>IF(AS1527="","",CHOOSE(AS1527,"L","M","M","J","V","S","D"))</f>
        <v/>
      </c>
    </row>
    <row r="1529" ht="24" customHeight="1" s="15">
      <c r="B1529" s="40" t="inlineStr">
        <is>
          <t>Mois</t>
        </is>
      </c>
      <c r="C1529" s="40" t="inlineStr">
        <is>
          <t>Matricule</t>
        </is>
      </c>
      <c r="D1529" s="40" t="inlineStr">
        <is>
          <t>Nom complet</t>
        </is>
      </c>
      <c r="E1529" s="40" t="inlineStr">
        <is>
          <t>Heures
sup.</t>
        </is>
      </c>
      <c r="F1529" s="40" t="inlineStr">
        <is>
          <t>Primes
(CDF)</t>
        </is>
      </c>
      <c r="G1529" s="40" t="inlineStr">
        <is>
          <t>Jours
abs.</t>
        </is>
      </c>
      <c r="H1529" s="40" t="inlineStr">
        <is>
          <t>Avance
(CDF)</t>
        </is>
      </c>
      <c r="I1529" s="40" t="inlineStr">
        <is>
          <t>Contrôle
auto.</t>
        </is>
      </c>
      <c r="J1529" s="40" t="inlineStr">
        <is>
          <t>Retenues
(CDF)</t>
        </is>
      </c>
      <c r="K1529" s="40" t="inlineStr">
        <is>
          <t>Motif</t>
        </is>
      </c>
      <c r="L1529" s="40" t="inlineStr">
        <is>
          <t>Observ.</t>
        </is>
      </c>
      <c r="M1529" s="40" t="inlineStr">
        <is>
          <t>Jours
prévus</t>
        </is>
      </c>
      <c r="N1529" s="40" t="inlineStr">
        <is>
          <t>Jours
réels</t>
        </is>
      </c>
      <c r="O1529" s="40" t="n">
        <v>1</v>
      </c>
      <c r="P1529" s="40" t="n">
        <v>2</v>
      </c>
      <c r="Q1529" s="40" t="n">
        <v>3</v>
      </c>
      <c r="R1529" s="40" t="n">
        <v>4</v>
      </c>
      <c r="S1529" s="40" t="n">
        <v>5</v>
      </c>
      <c r="T1529" s="40" t="n">
        <v>6</v>
      </c>
      <c r="U1529" s="40" t="n">
        <v>7</v>
      </c>
      <c r="V1529" s="40" t="n">
        <v>8</v>
      </c>
      <c r="W1529" s="40" t="n">
        <v>9</v>
      </c>
      <c r="X1529" s="40" t="n">
        <v>10</v>
      </c>
      <c r="Y1529" s="40" t="n">
        <v>11</v>
      </c>
      <c r="Z1529" s="40" t="n">
        <v>12</v>
      </c>
      <c r="AA1529" s="40" t="n">
        <v>13</v>
      </c>
      <c r="AB1529" s="40" t="n">
        <v>14</v>
      </c>
      <c r="AC1529" s="40" t="n">
        <v>15</v>
      </c>
      <c r="AD1529" s="40" t="n">
        <v>16</v>
      </c>
      <c r="AE1529" s="40" t="n">
        <v>17</v>
      </c>
      <c r="AF1529" s="40" t="n">
        <v>18</v>
      </c>
      <c r="AG1529" s="40" t="n">
        <v>19</v>
      </c>
      <c r="AH1529" s="40" t="n">
        <v>20</v>
      </c>
      <c r="AI1529" s="40" t="n">
        <v>21</v>
      </c>
      <c r="AJ1529" s="40" t="n">
        <v>22</v>
      </c>
      <c r="AK1529" s="40" t="n">
        <v>23</v>
      </c>
      <c r="AL1529" s="40" t="n">
        <v>24</v>
      </c>
      <c r="AM1529" s="40" t="n">
        <v>25</v>
      </c>
      <c r="AN1529" s="40" t="n">
        <v>26</v>
      </c>
      <c r="AO1529" s="40" t="n">
        <v>27</v>
      </c>
      <c r="AP1529" s="40" t="n">
        <v>28</v>
      </c>
      <c r="AQ1529" s="40" t="n">
        <v>29</v>
      </c>
      <c r="AR1529" s="40" t="n">
        <v>30</v>
      </c>
      <c r="AS1529" s="40" t="n">
        <v>31</v>
      </c>
      <c r="AY1529" s="40" t="inlineStr">
        <is>
          <t>Heures
nuit</t>
        </is>
      </c>
    </row>
    <row r="1530" hidden="1" outlineLevel="1" ht="15" customHeight="1" s="15">
      <c r="B1530" s="41" t="n">
        <v>7</v>
      </c>
      <c r="C1530" s="42">
        <f>IF(EMPLOYES!C15="","",EMPLOYES!C15)</f>
        <v/>
      </c>
      <c r="D1530" s="43">
        <f>IF(EMPLOYES!C15="","",EMPLOYES!D15)</f>
        <v/>
      </c>
      <c r="E1530" s="44" t="n"/>
      <c r="F1530" s="42" t="n"/>
      <c r="G1530" s="41">
        <f>IF($C1530="",0,MAX(0,$M1530-$N1530))</f>
        <v/>
      </c>
      <c r="H1530" s="45" t="n"/>
      <c r="I1530" s="41">
        <f>IF($C1530="","",IF(H1530="","OK",IF(H1530&gt;EMPLOYES!P15,"⚠ Avance &gt; salaire",IF(H1530&gt;EMPLOYES!P15*PARAMETRES!$C$218,"⚠ Avance élevée","OK"))))</f>
        <v/>
      </c>
      <c r="J1530" s="45" t="n"/>
      <c r="K1530" s="46" t="n"/>
      <c r="L1530" s="46" t="n"/>
      <c r="M1530" s="41">
        <f>IF($C1530="","",SUMPRODUCT((PARAMETRES!$B$38:$B$157=PARAMETRES!$C$29)*(PARAMETRES!$C$38:$C$157=7)*(IF(EMPLOYES!M15="5j",PARAMETRES!$I$38:$I$157,PARAMETRES!$H$38:$H$157))))</f>
        <v/>
      </c>
      <c r="N1530" s="41">
        <f>IF($C1530="","",SUMPRODUCT((O1530:AS1530="P")+(O1530:AS1530="F")+(O1530:AS1530="C")+0.5*(O1530:AS1530="D"),(1-((O1527:AS1527=6)*(EMPLOYES!M15="5j")))))</f>
        <v/>
      </c>
      <c r="O1530" s="46" t="n"/>
      <c r="P1530" s="46" t="n"/>
      <c r="Q1530" s="46" t="n"/>
      <c r="R1530" s="46" t="n"/>
      <c r="S1530" s="46" t="n"/>
      <c r="T1530" s="46" t="n"/>
      <c r="U1530" s="46" t="n"/>
      <c r="V1530" s="46" t="n"/>
      <c r="W1530" s="46" t="n"/>
      <c r="X1530" s="46" t="n"/>
      <c r="Y1530" s="46" t="n"/>
      <c r="Z1530" s="46" t="n"/>
      <c r="AA1530" s="46" t="n"/>
      <c r="AB1530" s="46" t="n"/>
      <c r="AC1530" s="46" t="n"/>
      <c r="AD1530" s="46" t="n"/>
      <c r="AE1530" s="46" t="n"/>
      <c r="AF1530" s="46" t="n"/>
      <c r="AG1530" s="46" t="n"/>
      <c r="AH1530" s="46" t="n"/>
      <c r="AI1530" s="46" t="n"/>
      <c r="AJ1530" s="46" t="n"/>
      <c r="AK1530" s="46" t="n"/>
      <c r="AL1530" s="46" t="n"/>
      <c r="AM1530" s="46" t="n"/>
      <c r="AN1530" s="46" t="n"/>
      <c r="AO1530" s="46" t="n"/>
      <c r="AP1530" s="46" t="n"/>
      <c r="AQ1530" s="46" t="n"/>
      <c r="AR1530" s="46" t="n"/>
      <c r="AS1530" s="46" t="n"/>
      <c r="AV1530" s="36">
        <f>IF($C1530="","",EMPLOYES!M15)</f>
        <v/>
      </c>
      <c r="AW1530" s="36">
        <f>IF($C1530="",0,SUMPRODUCT(--(O1530:AS1530="C")))</f>
        <v/>
      </c>
      <c r="AX1530" s="36">
        <f>IF($C1530="",0,SUMPRODUCT(--(O1530:AS1530="R")))</f>
        <v/>
      </c>
      <c r="AY1530" s="44" t="n"/>
    </row>
    <row r="1531" hidden="1" outlineLevel="1" ht="15" customHeight="1" s="15">
      <c r="B1531" s="41" t="n">
        <v>7</v>
      </c>
      <c r="C1531" s="42">
        <f>IF(EMPLOYES!C16="","",EMPLOYES!C16)</f>
        <v/>
      </c>
      <c r="D1531" s="43">
        <f>IF(EMPLOYES!C16="","",EMPLOYES!D16)</f>
        <v/>
      </c>
      <c r="E1531" s="44" t="n"/>
      <c r="F1531" s="42" t="n"/>
      <c r="G1531" s="41">
        <f>IF($C1531="",0,MAX(0,$M1531-$N1531))</f>
        <v/>
      </c>
      <c r="H1531" s="45" t="n"/>
      <c r="I1531" s="41">
        <f>IF($C1531="","",IF(H1531="","OK",IF(H1531&gt;EMPLOYES!P16,"⚠ Avance &gt; salaire",IF(H1531&gt;EMPLOYES!P16*PARAMETRES!$C$218,"⚠ Avance élevée","OK"))))</f>
        <v/>
      </c>
      <c r="J1531" s="45" t="n"/>
      <c r="K1531" s="46" t="n"/>
      <c r="L1531" s="46" t="n"/>
      <c r="M1531" s="41">
        <f>IF($C1531="","",SUMPRODUCT((PARAMETRES!$B$38:$B$157=PARAMETRES!$C$29)*(PARAMETRES!$C$38:$C$157=7)*(IF(EMPLOYES!M16="5j",PARAMETRES!$I$38:$I$157,PARAMETRES!$H$38:$H$157))))</f>
        <v/>
      </c>
      <c r="N1531" s="41">
        <f>IF($C1531="","",SUMPRODUCT((O1531:AS1531="P")+(O1531:AS1531="F")+(O1531:AS1531="C")+0.5*(O1531:AS1531="D"),(1-((O1527:AS1527=6)*(EMPLOYES!M16="5j")))))</f>
        <v/>
      </c>
      <c r="O1531" s="46" t="n"/>
      <c r="P1531" s="46" t="n"/>
      <c r="Q1531" s="46" t="n"/>
      <c r="R1531" s="46" t="n"/>
      <c r="S1531" s="46" t="n"/>
      <c r="T1531" s="46" t="n"/>
      <c r="U1531" s="46" t="n"/>
      <c r="V1531" s="46" t="n"/>
      <c r="W1531" s="46" t="n"/>
      <c r="X1531" s="46" t="n"/>
      <c r="Y1531" s="46" t="n"/>
      <c r="Z1531" s="46" t="n"/>
      <c r="AA1531" s="46" t="n"/>
      <c r="AB1531" s="46" t="n"/>
      <c r="AC1531" s="46" t="n"/>
      <c r="AD1531" s="46" t="n"/>
      <c r="AE1531" s="46" t="n"/>
      <c r="AF1531" s="46" t="n"/>
      <c r="AG1531" s="46" t="n"/>
      <c r="AH1531" s="46" t="n"/>
      <c r="AI1531" s="46" t="n"/>
      <c r="AJ1531" s="46" t="n"/>
      <c r="AK1531" s="46" t="n"/>
      <c r="AL1531" s="46" t="n"/>
      <c r="AM1531" s="46" t="n"/>
      <c r="AN1531" s="46" t="n"/>
      <c r="AO1531" s="46" t="n"/>
      <c r="AP1531" s="46" t="n"/>
      <c r="AQ1531" s="46" t="n"/>
      <c r="AR1531" s="46" t="n"/>
      <c r="AS1531" s="46" t="n"/>
      <c r="AV1531" s="36">
        <f>IF($C1531="","",EMPLOYES!M16)</f>
        <v/>
      </c>
      <c r="AW1531" s="36">
        <f>IF($C1531="",0,SUMPRODUCT(--(O1531:AS1531="C")))</f>
        <v/>
      </c>
      <c r="AX1531" s="36">
        <f>IF($C1531="",0,SUMPRODUCT(--(O1531:AS1531="R")))</f>
        <v/>
      </c>
      <c r="AY1531" s="44" t="n"/>
    </row>
    <row r="1532" hidden="1" outlineLevel="1" ht="15" customHeight="1" s="15">
      <c r="B1532" s="41" t="n">
        <v>7</v>
      </c>
      <c r="C1532" s="42">
        <f>IF(EMPLOYES!C17="","",EMPLOYES!C17)</f>
        <v/>
      </c>
      <c r="D1532" s="43">
        <f>IF(EMPLOYES!C17="","",EMPLOYES!D17)</f>
        <v/>
      </c>
      <c r="E1532" s="44" t="n"/>
      <c r="F1532" s="42" t="n"/>
      <c r="G1532" s="41">
        <f>IF($C1532="",0,MAX(0,$M1532-$N1532))</f>
        <v/>
      </c>
      <c r="H1532" s="45" t="n"/>
      <c r="I1532" s="41">
        <f>IF($C1532="","",IF(H1532="","OK",IF(H1532&gt;EMPLOYES!P17,"⚠ Avance &gt; salaire",IF(H1532&gt;EMPLOYES!P17*PARAMETRES!$C$218,"⚠ Avance élevée","OK"))))</f>
        <v/>
      </c>
      <c r="J1532" s="45" t="n"/>
      <c r="K1532" s="46" t="n"/>
      <c r="L1532" s="46" t="n"/>
      <c r="M1532" s="41">
        <f>IF($C1532="","",SUMPRODUCT((PARAMETRES!$B$38:$B$157=PARAMETRES!$C$29)*(PARAMETRES!$C$38:$C$157=7)*(IF(EMPLOYES!M17="5j",PARAMETRES!$I$38:$I$157,PARAMETRES!$H$38:$H$157))))</f>
        <v/>
      </c>
      <c r="N1532" s="41">
        <f>IF($C1532="","",SUMPRODUCT((O1532:AS1532="P")+(O1532:AS1532="F")+(O1532:AS1532="C")+0.5*(O1532:AS1532="D"),(1-((O1527:AS1527=6)*(EMPLOYES!M17="5j")))))</f>
        <v/>
      </c>
      <c r="O1532" s="46" t="n"/>
      <c r="P1532" s="46" t="n"/>
      <c r="Q1532" s="46" t="n"/>
      <c r="R1532" s="46" t="n"/>
      <c r="S1532" s="46" t="n"/>
      <c r="T1532" s="46" t="n"/>
      <c r="U1532" s="46" t="n"/>
      <c r="V1532" s="46" t="n"/>
      <c r="W1532" s="46" t="n"/>
      <c r="X1532" s="46" t="n"/>
      <c r="Y1532" s="46" t="n"/>
      <c r="Z1532" s="46" t="n"/>
      <c r="AA1532" s="46" t="n"/>
      <c r="AB1532" s="46" t="n"/>
      <c r="AC1532" s="46" t="n"/>
      <c r="AD1532" s="46" t="n"/>
      <c r="AE1532" s="46" t="n"/>
      <c r="AF1532" s="46" t="n"/>
      <c r="AG1532" s="46" t="n"/>
      <c r="AH1532" s="46" t="n"/>
      <c r="AI1532" s="46" t="n"/>
      <c r="AJ1532" s="46" t="n"/>
      <c r="AK1532" s="46" t="n"/>
      <c r="AL1532" s="46" t="n"/>
      <c r="AM1532" s="46" t="n"/>
      <c r="AN1532" s="46" t="n"/>
      <c r="AO1532" s="46" t="n"/>
      <c r="AP1532" s="46" t="n"/>
      <c r="AQ1532" s="46" t="n"/>
      <c r="AR1532" s="46" t="n"/>
      <c r="AS1532" s="46" t="n"/>
      <c r="AV1532" s="36">
        <f>IF($C1532="","",EMPLOYES!M17)</f>
        <v/>
      </c>
      <c r="AW1532" s="36">
        <f>IF($C1532="",0,SUMPRODUCT(--(O1532:AS1532="C")))</f>
        <v/>
      </c>
      <c r="AX1532" s="36">
        <f>IF($C1532="",0,SUMPRODUCT(--(O1532:AS1532="R")))</f>
        <v/>
      </c>
      <c r="AY1532" s="44" t="n"/>
    </row>
    <row r="1533" hidden="1" outlineLevel="1" ht="15" customHeight="1" s="15">
      <c r="B1533" s="41" t="n">
        <v>7</v>
      </c>
      <c r="C1533" s="42">
        <f>IF(EMPLOYES!C18="","",EMPLOYES!C18)</f>
        <v/>
      </c>
      <c r="D1533" s="43">
        <f>IF(EMPLOYES!C18="","",EMPLOYES!D18)</f>
        <v/>
      </c>
      <c r="E1533" s="44" t="n"/>
      <c r="F1533" s="42" t="n"/>
      <c r="G1533" s="41">
        <f>IF($C1533="",0,MAX(0,$M1533-$N1533))</f>
        <v/>
      </c>
      <c r="H1533" s="45" t="n"/>
      <c r="I1533" s="41">
        <f>IF($C1533="","",IF(H1533="","OK",IF(H1533&gt;EMPLOYES!P18,"⚠ Avance &gt; salaire",IF(H1533&gt;EMPLOYES!P18*PARAMETRES!$C$218,"⚠ Avance élevée","OK"))))</f>
        <v/>
      </c>
      <c r="J1533" s="45" t="n"/>
      <c r="K1533" s="46" t="n"/>
      <c r="L1533" s="46" t="n"/>
      <c r="M1533" s="41">
        <f>IF($C1533="","",SUMPRODUCT((PARAMETRES!$B$38:$B$157=PARAMETRES!$C$29)*(PARAMETRES!$C$38:$C$157=7)*(IF(EMPLOYES!M18="5j",PARAMETRES!$I$38:$I$157,PARAMETRES!$H$38:$H$157))))</f>
        <v/>
      </c>
      <c r="N1533" s="41">
        <f>IF($C1533="","",SUMPRODUCT((O1533:AS1533="P")+(O1533:AS1533="F")+(O1533:AS1533="C")+0.5*(O1533:AS1533="D"),(1-((O1527:AS1527=6)*(EMPLOYES!M18="5j")))))</f>
        <v/>
      </c>
      <c r="O1533" s="46" t="n"/>
      <c r="P1533" s="46" t="n"/>
      <c r="Q1533" s="46" t="n"/>
      <c r="R1533" s="46" t="n"/>
      <c r="S1533" s="46" t="n"/>
      <c r="T1533" s="46" t="n"/>
      <c r="U1533" s="46" t="n"/>
      <c r="V1533" s="46" t="n"/>
      <c r="W1533" s="46" t="n"/>
      <c r="X1533" s="46" t="n"/>
      <c r="Y1533" s="46" t="n"/>
      <c r="Z1533" s="46" t="n"/>
      <c r="AA1533" s="46" t="n"/>
      <c r="AB1533" s="46" t="n"/>
      <c r="AC1533" s="46" t="n"/>
      <c r="AD1533" s="46" t="n"/>
      <c r="AE1533" s="46" t="n"/>
      <c r="AF1533" s="46" t="n"/>
      <c r="AG1533" s="46" t="n"/>
      <c r="AH1533" s="46" t="n"/>
      <c r="AI1533" s="46" t="n"/>
      <c r="AJ1533" s="46" t="n"/>
      <c r="AK1533" s="46" t="n"/>
      <c r="AL1533" s="46" t="n"/>
      <c r="AM1533" s="46" t="n"/>
      <c r="AN1533" s="46" t="n"/>
      <c r="AO1533" s="46" t="n"/>
      <c r="AP1533" s="46" t="n"/>
      <c r="AQ1533" s="46" t="n"/>
      <c r="AR1533" s="46" t="n"/>
      <c r="AS1533" s="46" t="n"/>
      <c r="AV1533" s="36">
        <f>IF($C1533="","",EMPLOYES!M18)</f>
        <v/>
      </c>
      <c r="AW1533" s="36">
        <f>IF($C1533="",0,SUMPRODUCT(--(O1533:AS1533="C")))</f>
        <v/>
      </c>
      <c r="AX1533" s="36">
        <f>IF($C1533="",0,SUMPRODUCT(--(O1533:AS1533="R")))</f>
        <v/>
      </c>
      <c r="AY1533" s="44" t="n"/>
    </row>
    <row r="1534" hidden="1" outlineLevel="1" ht="15" customHeight="1" s="15">
      <c r="B1534" s="41" t="n">
        <v>7</v>
      </c>
      <c r="C1534" s="42">
        <f>IF(EMPLOYES!C19="","",EMPLOYES!C19)</f>
        <v/>
      </c>
      <c r="D1534" s="43">
        <f>IF(EMPLOYES!C19="","",EMPLOYES!D19)</f>
        <v/>
      </c>
      <c r="E1534" s="44" t="n"/>
      <c r="F1534" s="42" t="n"/>
      <c r="G1534" s="41">
        <f>IF($C1534="",0,MAX(0,$M1534-$N1534))</f>
        <v/>
      </c>
      <c r="H1534" s="45" t="n"/>
      <c r="I1534" s="41">
        <f>IF($C1534="","",IF(H1534="","OK",IF(H1534&gt;EMPLOYES!P19,"⚠ Avance &gt; salaire",IF(H1534&gt;EMPLOYES!P19*PARAMETRES!$C$218,"⚠ Avance élevée","OK"))))</f>
        <v/>
      </c>
      <c r="J1534" s="45" t="n"/>
      <c r="K1534" s="46" t="n"/>
      <c r="L1534" s="46" t="n"/>
      <c r="M1534" s="41">
        <f>IF($C1534="","",SUMPRODUCT((PARAMETRES!$B$38:$B$157=PARAMETRES!$C$29)*(PARAMETRES!$C$38:$C$157=7)*(IF(EMPLOYES!M19="5j",PARAMETRES!$I$38:$I$157,PARAMETRES!$H$38:$H$157))))</f>
        <v/>
      </c>
      <c r="N1534" s="41">
        <f>IF($C1534="","",SUMPRODUCT((O1534:AS1534="P")+(O1534:AS1534="F")+(O1534:AS1534="C")+0.5*(O1534:AS1534="D"),(1-((O1527:AS1527=6)*(EMPLOYES!M19="5j")))))</f>
        <v/>
      </c>
      <c r="O1534" s="46" t="n"/>
      <c r="P1534" s="46" t="n"/>
      <c r="Q1534" s="46" t="n"/>
      <c r="R1534" s="46" t="n"/>
      <c r="S1534" s="46" t="n"/>
      <c r="T1534" s="46" t="n"/>
      <c r="U1534" s="46" t="n"/>
      <c r="V1534" s="46" t="n"/>
      <c r="W1534" s="46" t="n"/>
      <c r="X1534" s="46" t="n"/>
      <c r="Y1534" s="46" t="n"/>
      <c r="Z1534" s="46" t="n"/>
      <c r="AA1534" s="46" t="n"/>
      <c r="AB1534" s="46" t="n"/>
      <c r="AC1534" s="46" t="n"/>
      <c r="AD1534" s="46" t="n"/>
      <c r="AE1534" s="46" t="n"/>
      <c r="AF1534" s="46" t="n"/>
      <c r="AG1534" s="46" t="n"/>
      <c r="AH1534" s="46" t="n"/>
      <c r="AI1534" s="46" t="n"/>
      <c r="AJ1534" s="46" t="n"/>
      <c r="AK1534" s="46" t="n"/>
      <c r="AL1534" s="46" t="n"/>
      <c r="AM1534" s="46" t="n"/>
      <c r="AN1534" s="46" t="n"/>
      <c r="AO1534" s="46" t="n"/>
      <c r="AP1534" s="46" t="n"/>
      <c r="AQ1534" s="46" t="n"/>
      <c r="AR1534" s="46" t="n"/>
      <c r="AS1534" s="46" t="n"/>
      <c r="AV1534" s="36">
        <f>IF($C1534="","",EMPLOYES!M19)</f>
        <v/>
      </c>
      <c r="AW1534" s="36">
        <f>IF($C1534="",0,SUMPRODUCT(--(O1534:AS1534="C")))</f>
        <v/>
      </c>
      <c r="AX1534" s="36">
        <f>IF($C1534="",0,SUMPRODUCT(--(O1534:AS1534="R")))</f>
        <v/>
      </c>
      <c r="AY1534" s="44" t="n"/>
    </row>
    <row r="1535" hidden="1" outlineLevel="1" ht="15" customHeight="1" s="15">
      <c r="B1535" s="41" t="n">
        <v>7</v>
      </c>
      <c r="C1535" s="42">
        <f>IF(EMPLOYES!C20="","",EMPLOYES!C20)</f>
        <v/>
      </c>
      <c r="D1535" s="43">
        <f>IF(EMPLOYES!C20="","",EMPLOYES!D20)</f>
        <v/>
      </c>
      <c r="E1535" s="44" t="n"/>
      <c r="F1535" s="42" t="n"/>
      <c r="G1535" s="41">
        <f>IF($C1535="",0,MAX(0,$M1535-$N1535))</f>
        <v/>
      </c>
      <c r="H1535" s="45" t="n"/>
      <c r="I1535" s="41">
        <f>IF($C1535="","",IF(H1535="","OK",IF(H1535&gt;EMPLOYES!P20,"⚠ Avance &gt; salaire",IF(H1535&gt;EMPLOYES!P20*PARAMETRES!$C$218,"⚠ Avance élevée","OK"))))</f>
        <v/>
      </c>
      <c r="J1535" s="45" t="n"/>
      <c r="K1535" s="46" t="n"/>
      <c r="L1535" s="46" t="n"/>
      <c r="M1535" s="41">
        <f>IF($C1535="","",SUMPRODUCT((PARAMETRES!$B$38:$B$157=PARAMETRES!$C$29)*(PARAMETRES!$C$38:$C$157=7)*(IF(EMPLOYES!M20="5j",PARAMETRES!$I$38:$I$157,PARAMETRES!$H$38:$H$157))))</f>
        <v/>
      </c>
      <c r="N1535" s="41">
        <f>IF($C1535="","",SUMPRODUCT((O1535:AS1535="P")+(O1535:AS1535="F")+(O1535:AS1535="C")+0.5*(O1535:AS1535="D"),(1-((O1527:AS1527=6)*(EMPLOYES!M20="5j")))))</f>
        <v/>
      </c>
      <c r="O1535" s="46" t="n"/>
      <c r="P1535" s="46" t="n"/>
      <c r="Q1535" s="46" t="n"/>
      <c r="R1535" s="46" t="n"/>
      <c r="S1535" s="46" t="n"/>
      <c r="T1535" s="46" t="n"/>
      <c r="U1535" s="46" t="n"/>
      <c r="V1535" s="46" t="n"/>
      <c r="W1535" s="46" t="n"/>
      <c r="X1535" s="46" t="n"/>
      <c r="Y1535" s="46" t="n"/>
      <c r="Z1535" s="46" t="n"/>
      <c r="AA1535" s="46" t="n"/>
      <c r="AB1535" s="46" t="n"/>
      <c r="AC1535" s="46" t="n"/>
      <c r="AD1535" s="46" t="n"/>
      <c r="AE1535" s="46" t="n"/>
      <c r="AF1535" s="46" t="n"/>
      <c r="AG1535" s="46" t="n"/>
      <c r="AH1535" s="46" t="n"/>
      <c r="AI1535" s="46" t="n"/>
      <c r="AJ1535" s="46" t="n"/>
      <c r="AK1535" s="46" t="n"/>
      <c r="AL1535" s="46" t="n"/>
      <c r="AM1535" s="46" t="n"/>
      <c r="AN1535" s="46" t="n"/>
      <c r="AO1535" s="46" t="n"/>
      <c r="AP1535" s="46" t="n"/>
      <c r="AQ1535" s="46" t="n"/>
      <c r="AR1535" s="46" t="n"/>
      <c r="AS1535" s="46" t="n"/>
      <c r="AV1535" s="36">
        <f>IF($C1535="","",EMPLOYES!M20)</f>
        <v/>
      </c>
      <c r="AW1535" s="36">
        <f>IF($C1535="",0,SUMPRODUCT(--(O1535:AS1535="C")))</f>
        <v/>
      </c>
      <c r="AX1535" s="36">
        <f>IF($C1535="",0,SUMPRODUCT(--(O1535:AS1535="R")))</f>
        <v/>
      </c>
      <c r="AY1535" s="44" t="n"/>
    </row>
    <row r="1536" hidden="1" outlineLevel="1" ht="15" customHeight="1" s="15">
      <c r="B1536" s="41" t="n">
        <v>7</v>
      </c>
      <c r="C1536" s="42">
        <f>IF(EMPLOYES!C21="","",EMPLOYES!C21)</f>
        <v/>
      </c>
      <c r="D1536" s="43">
        <f>IF(EMPLOYES!C21="","",EMPLOYES!D21)</f>
        <v/>
      </c>
      <c r="E1536" s="44" t="n"/>
      <c r="F1536" s="42" t="n"/>
      <c r="G1536" s="41">
        <f>IF($C1536="",0,MAX(0,$M1536-$N1536))</f>
        <v/>
      </c>
      <c r="H1536" s="45" t="n"/>
      <c r="I1536" s="41">
        <f>IF($C1536="","",IF(H1536="","OK",IF(H1536&gt;EMPLOYES!P21,"⚠ Avance &gt; salaire",IF(H1536&gt;EMPLOYES!P21*PARAMETRES!$C$218,"⚠ Avance élevée","OK"))))</f>
        <v/>
      </c>
      <c r="J1536" s="45" t="n"/>
      <c r="K1536" s="46" t="n"/>
      <c r="L1536" s="46" t="n"/>
      <c r="M1536" s="41">
        <f>IF($C1536="","",SUMPRODUCT((PARAMETRES!$B$38:$B$157=PARAMETRES!$C$29)*(PARAMETRES!$C$38:$C$157=7)*(IF(EMPLOYES!M21="5j",PARAMETRES!$I$38:$I$157,PARAMETRES!$H$38:$H$157))))</f>
        <v/>
      </c>
      <c r="N1536" s="41">
        <f>IF($C1536="","",SUMPRODUCT((O1536:AS1536="P")+(O1536:AS1536="F")+(O1536:AS1536="C")+0.5*(O1536:AS1536="D"),(1-((O1527:AS1527=6)*(EMPLOYES!M21="5j")))))</f>
        <v/>
      </c>
      <c r="O1536" s="46" t="n"/>
      <c r="P1536" s="46" t="n"/>
      <c r="Q1536" s="46" t="n"/>
      <c r="R1536" s="46" t="n"/>
      <c r="S1536" s="46" t="n"/>
      <c r="T1536" s="46" t="n"/>
      <c r="U1536" s="46" t="n"/>
      <c r="V1536" s="46" t="n"/>
      <c r="W1536" s="46" t="n"/>
      <c r="X1536" s="46" t="n"/>
      <c r="Y1536" s="46" t="n"/>
      <c r="Z1536" s="46" t="n"/>
      <c r="AA1536" s="46" t="n"/>
      <c r="AB1536" s="46" t="n"/>
      <c r="AC1536" s="46" t="n"/>
      <c r="AD1536" s="46" t="n"/>
      <c r="AE1536" s="46" t="n"/>
      <c r="AF1536" s="46" t="n"/>
      <c r="AG1536" s="46" t="n"/>
      <c r="AH1536" s="46" t="n"/>
      <c r="AI1536" s="46" t="n"/>
      <c r="AJ1536" s="46" t="n"/>
      <c r="AK1536" s="46" t="n"/>
      <c r="AL1536" s="46" t="n"/>
      <c r="AM1536" s="46" t="n"/>
      <c r="AN1536" s="46" t="n"/>
      <c r="AO1536" s="46" t="n"/>
      <c r="AP1536" s="46" t="n"/>
      <c r="AQ1536" s="46" t="n"/>
      <c r="AR1536" s="46" t="n"/>
      <c r="AS1536" s="46" t="n"/>
      <c r="AV1536" s="36">
        <f>IF($C1536="","",EMPLOYES!M21)</f>
        <v/>
      </c>
      <c r="AW1536" s="36">
        <f>IF($C1536="",0,SUMPRODUCT(--(O1536:AS1536="C")))</f>
        <v/>
      </c>
      <c r="AX1536" s="36">
        <f>IF($C1536="",0,SUMPRODUCT(--(O1536:AS1536="R")))</f>
        <v/>
      </c>
      <c r="AY1536" s="44" t="n"/>
    </row>
    <row r="1537" hidden="1" outlineLevel="1" ht="15" customHeight="1" s="15">
      <c r="B1537" s="41" t="n">
        <v>7</v>
      </c>
      <c r="C1537" s="42">
        <f>IF(EMPLOYES!C22="","",EMPLOYES!C22)</f>
        <v/>
      </c>
      <c r="D1537" s="43">
        <f>IF(EMPLOYES!C22="","",EMPLOYES!D22)</f>
        <v/>
      </c>
      <c r="E1537" s="44" t="n"/>
      <c r="F1537" s="42" t="n"/>
      <c r="G1537" s="41">
        <f>IF($C1537="",0,MAX(0,$M1537-$N1537))</f>
        <v/>
      </c>
      <c r="H1537" s="45" t="n"/>
      <c r="I1537" s="41">
        <f>IF($C1537="","",IF(H1537="","OK",IF(H1537&gt;EMPLOYES!P22,"⚠ Avance &gt; salaire",IF(H1537&gt;EMPLOYES!P22*PARAMETRES!$C$218,"⚠ Avance élevée","OK"))))</f>
        <v/>
      </c>
      <c r="J1537" s="45" t="n"/>
      <c r="K1537" s="46" t="n"/>
      <c r="L1537" s="46" t="n"/>
      <c r="M1537" s="41">
        <f>IF($C1537="","",SUMPRODUCT((PARAMETRES!$B$38:$B$157=PARAMETRES!$C$29)*(PARAMETRES!$C$38:$C$157=7)*(IF(EMPLOYES!M22="5j",PARAMETRES!$I$38:$I$157,PARAMETRES!$H$38:$H$157))))</f>
        <v/>
      </c>
      <c r="N1537" s="41">
        <f>IF($C1537="","",SUMPRODUCT((O1537:AS1537="P")+(O1537:AS1537="F")+(O1537:AS1537="C")+0.5*(O1537:AS1537="D"),(1-((O1527:AS1527=6)*(EMPLOYES!M22="5j")))))</f>
        <v/>
      </c>
      <c r="O1537" s="46" t="n"/>
      <c r="P1537" s="46" t="n"/>
      <c r="Q1537" s="46" t="n"/>
      <c r="R1537" s="46" t="n"/>
      <c r="S1537" s="46" t="n"/>
      <c r="T1537" s="46" t="n"/>
      <c r="U1537" s="46" t="n"/>
      <c r="V1537" s="46" t="n"/>
      <c r="W1537" s="46" t="n"/>
      <c r="X1537" s="46" t="n"/>
      <c r="Y1537" s="46" t="n"/>
      <c r="Z1537" s="46" t="n"/>
      <c r="AA1537" s="46" t="n"/>
      <c r="AB1537" s="46" t="n"/>
      <c r="AC1537" s="46" t="n"/>
      <c r="AD1537" s="46" t="n"/>
      <c r="AE1537" s="46" t="n"/>
      <c r="AF1537" s="46" t="n"/>
      <c r="AG1537" s="46" t="n"/>
      <c r="AH1537" s="46" t="n"/>
      <c r="AI1537" s="46" t="n"/>
      <c r="AJ1537" s="46" t="n"/>
      <c r="AK1537" s="46" t="n"/>
      <c r="AL1537" s="46" t="n"/>
      <c r="AM1537" s="46" t="n"/>
      <c r="AN1537" s="46" t="n"/>
      <c r="AO1537" s="46" t="n"/>
      <c r="AP1537" s="46" t="n"/>
      <c r="AQ1537" s="46" t="n"/>
      <c r="AR1537" s="46" t="n"/>
      <c r="AS1537" s="46" t="n"/>
      <c r="AV1537" s="36">
        <f>IF($C1537="","",EMPLOYES!M22)</f>
        <v/>
      </c>
      <c r="AW1537" s="36">
        <f>IF($C1537="",0,SUMPRODUCT(--(O1537:AS1537="C")))</f>
        <v/>
      </c>
      <c r="AX1537" s="36">
        <f>IF($C1537="",0,SUMPRODUCT(--(O1537:AS1537="R")))</f>
        <v/>
      </c>
      <c r="AY1537" s="44" t="n"/>
    </row>
    <row r="1538" hidden="1" outlineLevel="1" ht="15" customHeight="1" s="15">
      <c r="B1538" s="41" t="n">
        <v>7</v>
      </c>
      <c r="C1538" s="42">
        <f>IF(EMPLOYES!C23="","",EMPLOYES!C23)</f>
        <v/>
      </c>
      <c r="D1538" s="43">
        <f>IF(EMPLOYES!C23="","",EMPLOYES!D23)</f>
        <v/>
      </c>
      <c r="E1538" s="44" t="n"/>
      <c r="F1538" s="42" t="n"/>
      <c r="G1538" s="41">
        <f>IF($C1538="",0,MAX(0,$M1538-$N1538))</f>
        <v/>
      </c>
      <c r="H1538" s="45" t="n"/>
      <c r="I1538" s="41">
        <f>IF($C1538="","",IF(H1538="","OK",IF(H1538&gt;EMPLOYES!P23,"⚠ Avance &gt; salaire",IF(H1538&gt;EMPLOYES!P23*PARAMETRES!$C$218,"⚠ Avance élevée","OK"))))</f>
        <v/>
      </c>
      <c r="J1538" s="45" t="n"/>
      <c r="K1538" s="46" t="n"/>
      <c r="L1538" s="46" t="n"/>
      <c r="M1538" s="41">
        <f>IF($C1538="","",SUMPRODUCT((PARAMETRES!$B$38:$B$157=PARAMETRES!$C$29)*(PARAMETRES!$C$38:$C$157=7)*(IF(EMPLOYES!M23="5j",PARAMETRES!$I$38:$I$157,PARAMETRES!$H$38:$H$157))))</f>
        <v/>
      </c>
      <c r="N1538" s="41">
        <f>IF($C1538="","",SUMPRODUCT((O1538:AS1538="P")+(O1538:AS1538="F")+(O1538:AS1538="C")+0.5*(O1538:AS1538="D"),(1-((O1527:AS1527=6)*(EMPLOYES!M23="5j")))))</f>
        <v/>
      </c>
      <c r="O1538" s="46" t="n"/>
      <c r="P1538" s="46" t="n"/>
      <c r="Q1538" s="46" t="n"/>
      <c r="R1538" s="46" t="n"/>
      <c r="S1538" s="46" t="n"/>
      <c r="T1538" s="46" t="n"/>
      <c r="U1538" s="46" t="n"/>
      <c r="V1538" s="46" t="n"/>
      <c r="W1538" s="46" t="n"/>
      <c r="X1538" s="46" t="n"/>
      <c r="Y1538" s="46" t="n"/>
      <c r="Z1538" s="46" t="n"/>
      <c r="AA1538" s="46" t="n"/>
      <c r="AB1538" s="46" t="n"/>
      <c r="AC1538" s="46" t="n"/>
      <c r="AD1538" s="46" t="n"/>
      <c r="AE1538" s="46" t="n"/>
      <c r="AF1538" s="46" t="n"/>
      <c r="AG1538" s="46" t="n"/>
      <c r="AH1538" s="46" t="n"/>
      <c r="AI1538" s="46" t="n"/>
      <c r="AJ1538" s="46" t="n"/>
      <c r="AK1538" s="46" t="n"/>
      <c r="AL1538" s="46" t="n"/>
      <c r="AM1538" s="46" t="n"/>
      <c r="AN1538" s="46" t="n"/>
      <c r="AO1538" s="46" t="n"/>
      <c r="AP1538" s="46" t="n"/>
      <c r="AQ1538" s="46" t="n"/>
      <c r="AR1538" s="46" t="n"/>
      <c r="AS1538" s="46" t="n"/>
      <c r="AV1538" s="36">
        <f>IF($C1538="","",EMPLOYES!M23)</f>
        <v/>
      </c>
      <c r="AW1538" s="36">
        <f>IF($C1538="",0,SUMPRODUCT(--(O1538:AS1538="C")))</f>
        <v/>
      </c>
      <c r="AX1538" s="36">
        <f>IF($C1538="",0,SUMPRODUCT(--(O1538:AS1538="R")))</f>
        <v/>
      </c>
      <c r="AY1538" s="44" t="n"/>
    </row>
    <row r="1539" hidden="1" outlineLevel="1" ht="15" customHeight="1" s="15">
      <c r="B1539" s="41" t="n">
        <v>7</v>
      </c>
      <c r="C1539" s="42">
        <f>IF(EMPLOYES!C24="","",EMPLOYES!C24)</f>
        <v/>
      </c>
      <c r="D1539" s="43">
        <f>IF(EMPLOYES!C24="","",EMPLOYES!D24)</f>
        <v/>
      </c>
      <c r="E1539" s="44" t="n"/>
      <c r="F1539" s="42" t="n"/>
      <c r="G1539" s="41">
        <f>IF($C1539="",0,MAX(0,$M1539-$N1539))</f>
        <v/>
      </c>
      <c r="H1539" s="45" t="n"/>
      <c r="I1539" s="41">
        <f>IF($C1539="","",IF(H1539="","OK",IF(H1539&gt;EMPLOYES!P24,"⚠ Avance &gt; salaire",IF(H1539&gt;EMPLOYES!P24*PARAMETRES!$C$218,"⚠ Avance élevée","OK"))))</f>
        <v/>
      </c>
      <c r="J1539" s="45" t="n"/>
      <c r="K1539" s="46" t="n"/>
      <c r="L1539" s="46" t="n"/>
      <c r="M1539" s="41">
        <f>IF($C1539="","",SUMPRODUCT((PARAMETRES!$B$38:$B$157=PARAMETRES!$C$29)*(PARAMETRES!$C$38:$C$157=7)*(IF(EMPLOYES!M24="5j",PARAMETRES!$I$38:$I$157,PARAMETRES!$H$38:$H$157))))</f>
        <v/>
      </c>
      <c r="N1539" s="41">
        <f>IF($C1539="","",SUMPRODUCT((O1539:AS1539="P")+(O1539:AS1539="F")+(O1539:AS1539="C")+0.5*(O1539:AS1539="D"),(1-((O1527:AS1527=6)*(EMPLOYES!M24="5j")))))</f>
        <v/>
      </c>
      <c r="O1539" s="46" t="n"/>
      <c r="P1539" s="46" t="n"/>
      <c r="Q1539" s="46" t="n"/>
      <c r="R1539" s="46" t="n"/>
      <c r="S1539" s="46" t="n"/>
      <c r="T1539" s="46" t="n"/>
      <c r="U1539" s="46" t="n"/>
      <c r="V1539" s="46" t="n"/>
      <c r="W1539" s="46" t="n"/>
      <c r="X1539" s="46" t="n"/>
      <c r="Y1539" s="46" t="n"/>
      <c r="Z1539" s="46" t="n"/>
      <c r="AA1539" s="46" t="n"/>
      <c r="AB1539" s="46" t="n"/>
      <c r="AC1539" s="46" t="n"/>
      <c r="AD1539" s="46" t="n"/>
      <c r="AE1539" s="46" t="n"/>
      <c r="AF1539" s="46" t="n"/>
      <c r="AG1539" s="46" t="n"/>
      <c r="AH1539" s="46" t="n"/>
      <c r="AI1539" s="46" t="n"/>
      <c r="AJ1539" s="46" t="n"/>
      <c r="AK1539" s="46" t="n"/>
      <c r="AL1539" s="46" t="n"/>
      <c r="AM1539" s="46" t="n"/>
      <c r="AN1539" s="46" t="n"/>
      <c r="AO1539" s="46" t="n"/>
      <c r="AP1539" s="46" t="n"/>
      <c r="AQ1539" s="46" t="n"/>
      <c r="AR1539" s="46" t="n"/>
      <c r="AS1539" s="46" t="n"/>
      <c r="AV1539" s="36">
        <f>IF($C1539="","",EMPLOYES!M24)</f>
        <v/>
      </c>
      <c r="AW1539" s="36">
        <f>IF($C1539="",0,SUMPRODUCT(--(O1539:AS1539="C")))</f>
        <v/>
      </c>
      <c r="AX1539" s="36">
        <f>IF($C1539="",0,SUMPRODUCT(--(O1539:AS1539="R")))</f>
        <v/>
      </c>
      <c r="AY1539" s="44" t="n"/>
    </row>
    <row r="1540" hidden="1" outlineLevel="1" ht="15" customHeight="1" s="15">
      <c r="B1540" s="41" t="n">
        <v>7</v>
      </c>
      <c r="C1540" s="42">
        <f>IF(EMPLOYES!C25="","",EMPLOYES!C25)</f>
        <v/>
      </c>
      <c r="D1540" s="43">
        <f>IF(EMPLOYES!C25="","",EMPLOYES!D25)</f>
        <v/>
      </c>
      <c r="E1540" s="44" t="n"/>
      <c r="F1540" s="42" t="n"/>
      <c r="G1540" s="41">
        <f>IF($C1540="",0,MAX(0,$M1540-$N1540))</f>
        <v/>
      </c>
      <c r="H1540" s="45" t="n"/>
      <c r="I1540" s="41">
        <f>IF($C1540="","",IF(H1540="","OK",IF(H1540&gt;EMPLOYES!P25,"⚠ Avance &gt; salaire",IF(H1540&gt;EMPLOYES!P25*PARAMETRES!$C$218,"⚠ Avance élevée","OK"))))</f>
        <v/>
      </c>
      <c r="J1540" s="45" t="n"/>
      <c r="K1540" s="46" t="n"/>
      <c r="L1540" s="46" t="n"/>
      <c r="M1540" s="41">
        <f>IF($C1540="","",SUMPRODUCT((PARAMETRES!$B$38:$B$157=PARAMETRES!$C$29)*(PARAMETRES!$C$38:$C$157=7)*(IF(EMPLOYES!M25="5j",PARAMETRES!$I$38:$I$157,PARAMETRES!$H$38:$H$157))))</f>
        <v/>
      </c>
      <c r="N1540" s="41">
        <f>IF($C1540="","",SUMPRODUCT((O1540:AS1540="P")+(O1540:AS1540="F")+(O1540:AS1540="C")+0.5*(O1540:AS1540="D"),(1-((O1527:AS1527=6)*(EMPLOYES!M25="5j")))))</f>
        <v/>
      </c>
      <c r="O1540" s="46" t="n"/>
      <c r="P1540" s="46" t="n"/>
      <c r="Q1540" s="46" t="n"/>
      <c r="R1540" s="46" t="n"/>
      <c r="S1540" s="46" t="n"/>
      <c r="T1540" s="46" t="n"/>
      <c r="U1540" s="46" t="n"/>
      <c r="V1540" s="46" t="n"/>
      <c r="W1540" s="46" t="n"/>
      <c r="X1540" s="46" t="n"/>
      <c r="Y1540" s="46" t="n"/>
      <c r="Z1540" s="46" t="n"/>
      <c r="AA1540" s="46" t="n"/>
      <c r="AB1540" s="46" t="n"/>
      <c r="AC1540" s="46" t="n"/>
      <c r="AD1540" s="46" t="n"/>
      <c r="AE1540" s="46" t="n"/>
      <c r="AF1540" s="46" t="n"/>
      <c r="AG1540" s="46" t="n"/>
      <c r="AH1540" s="46" t="n"/>
      <c r="AI1540" s="46" t="n"/>
      <c r="AJ1540" s="46" t="n"/>
      <c r="AK1540" s="46" t="n"/>
      <c r="AL1540" s="46" t="n"/>
      <c r="AM1540" s="46" t="n"/>
      <c r="AN1540" s="46" t="n"/>
      <c r="AO1540" s="46" t="n"/>
      <c r="AP1540" s="46" t="n"/>
      <c r="AQ1540" s="46" t="n"/>
      <c r="AR1540" s="46" t="n"/>
      <c r="AS1540" s="46" t="n"/>
      <c r="AV1540" s="36">
        <f>IF($C1540="","",EMPLOYES!M25)</f>
        <v/>
      </c>
      <c r="AW1540" s="36">
        <f>IF($C1540="",0,SUMPRODUCT(--(O1540:AS1540="C")))</f>
        <v/>
      </c>
      <c r="AX1540" s="36">
        <f>IF($C1540="",0,SUMPRODUCT(--(O1540:AS1540="R")))</f>
        <v/>
      </c>
      <c r="AY1540" s="44" t="n"/>
    </row>
    <row r="1541" hidden="1" outlineLevel="1" ht="15" customHeight="1" s="15">
      <c r="B1541" s="41" t="n">
        <v>7</v>
      </c>
      <c r="C1541" s="42">
        <f>IF(EMPLOYES!C26="","",EMPLOYES!C26)</f>
        <v/>
      </c>
      <c r="D1541" s="43">
        <f>IF(EMPLOYES!C26="","",EMPLOYES!D26)</f>
        <v/>
      </c>
      <c r="E1541" s="44" t="n"/>
      <c r="F1541" s="42" t="n"/>
      <c r="G1541" s="41">
        <f>IF($C1541="",0,MAX(0,$M1541-$N1541))</f>
        <v/>
      </c>
      <c r="H1541" s="45" t="n"/>
      <c r="I1541" s="41">
        <f>IF($C1541="","",IF(H1541="","OK",IF(H1541&gt;EMPLOYES!P26,"⚠ Avance &gt; salaire",IF(H1541&gt;EMPLOYES!P26*PARAMETRES!$C$218,"⚠ Avance élevée","OK"))))</f>
        <v/>
      </c>
      <c r="J1541" s="45" t="n"/>
      <c r="K1541" s="46" t="n"/>
      <c r="L1541" s="46" t="n"/>
      <c r="M1541" s="41">
        <f>IF($C1541="","",SUMPRODUCT((PARAMETRES!$B$38:$B$157=PARAMETRES!$C$29)*(PARAMETRES!$C$38:$C$157=7)*(IF(EMPLOYES!M26="5j",PARAMETRES!$I$38:$I$157,PARAMETRES!$H$38:$H$157))))</f>
        <v/>
      </c>
      <c r="N1541" s="41">
        <f>IF($C1541="","",SUMPRODUCT((O1541:AS1541="P")+(O1541:AS1541="F")+(O1541:AS1541="C")+0.5*(O1541:AS1541="D"),(1-((O1527:AS1527=6)*(EMPLOYES!M26="5j")))))</f>
        <v/>
      </c>
      <c r="O1541" s="46" t="n"/>
      <c r="P1541" s="46" t="n"/>
      <c r="Q1541" s="46" t="n"/>
      <c r="R1541" s="46" t="n"/>
      <c r="S1541" s="46" t="n"/>
      <c r="T1541" s="46" t="n"/>
      <c r="U1541" s="46" t="n"/>
      <c r="V1541" s="46" t="n"/>
      <c r="W1541" s="46" t="n"/>
      <c r="X1541" s="46" t="n"/>
      <c r="Y1541" s="46" t="n"/>
      <c r="Z1541" s="46" t="n"/>
      <c r="AA1541" s="46" t="n"/>
      <c r="AB1541" s="46" t="n"/>
      <c r="AC1541" s="46" t="n"/>
      <c r="AD1541" s="46" t="n"/>
      <c r="AE1541" s="46" t="n"/>
      <c r="AF1541" s="46" t="n"/>
      <c r="AG1541" s="46" t="n"/>
      <c r="AH1541" s="46" t="n"/>
      <c r="AI1541" s="46" t="n"/>
      <c r="AJ1541" s="46" t="n"/>
      <c r="AK1541" s="46" t="n"/>
      <c r="AL1541" s="46" t="n"/>
      <c r="AM1541" s="46" t="n"/>
      <c r="AN1541" s="46" t="n"/>
      <c r="AO1541" s="46" t="n"/>
      <c r="AP1541" s="46" t="n"/>
      <c r="AQ1541" s="46" t="n"/>
      <c r="AR1541" s="46" t="n"/>
      <c r="AS1541" s="46" t="n"/>
      <c r="AV1541" s="36">
        <f>IF($C1541="","",EMPLOYES!M26)</f>
        <v/>
      </c>
      <c r="AW1541" s="36">
        <f>IF($C1541="",0,SUMPRODUCT(--(O1541:AS1541="C")))</f>
        <v/>
      </c>
      <c r="AX1541" s="36">
        <f>IF($C1541="",0,SUMPRODUCT(--(O1541:AS1541="R")))</f>
        <v/>
      </c>
      <c r="AY1541" s="44" t="n"/>
    </row>
    <row r="1542" hidden="1" outlineLevel="1" ht="15" customHeight="1" s="15">
      <c r="B1542" s="41" t="n">
        <v>7</v>
      </c>
      <c r="C1542" s="42">
        <f>IF(EMPLOYES!C27="","",EMPLOYES!C27)</f>
        <v/>
      </c>
      <c r="D1542" s="43">
        <f>IF(EMPLOYES!C27="","",EMPLOYES!D27)</f>
        <v/>
      </c>
      <c r="E1542" s="44" t="n"/>
      <c r="F1542" s="42" t="n"/>
      <c r="G1542" s="41">
        <f>IF($C1542="",0,MAX(0,$M1542-$N1542))</f>
        <v/>
      </c>
      <c r="H1542" s="45" t="n"/>
      <c r="I1542" s="41">
        <f>IF($C1542="","",IF(H1542="","OK",IF(H1542&gt;EMPLOYES!P27,"⚠ Avance &gt; salaire",IF(H1542&gt;EMPLOYES!P27*PARAMETRES!$C$218,"⚠ Avance élevée","OK"))))</f>
        <v/>
      </c>
      <c r="J1542" s="45" t="n"/>
      <c r="K1542" s="46" t="n"/>
      <c r="L1542" s="46" t="n"/>
      <c r="M1542" s="41">
        <f>IF($C1542="","",SUMPRODUCT((PARAMETRES!$B$38:$B$157=PARAMETRES!$C$29)*(PARAMETRES!$C$38:$C$157=7)*(IF(EMPLOYES!M27="5j",PARAMETRES!$I$38:$I$157,PARAMETRES!$H$38:$H$157))))</f>
        <v/>
      </c>
      <c r="N1542" s="41">
        <f>IF($C1542="","",SUMPRODUCT((O1542:AS1542="P")+(O1542:AS1542="F")+(O1542:AS1542="C")+0.5*(O1542:AS1542="D"),(1-((O1527:AS1527=6)*(EMPLOYES!M27="5j")))))</f>
        <v/>
      </c>
      <c r="O1542" s="46" t="n"/>
      <c r="P1542" s="46" t="n"/>
      <c r="Q1542" s="46" t="n"/>
      <c r="R1542" s="46" t="n"/>
      <c r="S1542" s="46" t="n"/>
      <c r="T1542" s="46" t="n"/>
      <c r="U1542" s="46" t="n"/>
      <c r="V1542" s="46" t="n"/>
      <c r="W1542" s="46" t="n"/>
      <c r="X1542" s="46" t="n"/>
      <c r="Y1542" s="46" t="n"/>
      <c r="Z1542" s="46" t="n"/>
      <c r="AA1542" s="46" t="n"/>
      <c r="AB1542" s="46" t="n"/>
      <c r="AC1542" s="46" t="n"/>
      <c r="AD1542" s="46" t="n"/>
      <c r="AE1542" s="46" t="n"/>
      <c r="AF1542" s="46" t="n"/>
      <c r="AG1542" s="46" t="n"/>
      <c r="AH1542" s="46" t="n"/>
      <c r="AI1542" s="46" t="n"/>
      <c r="AJ1542" s="46" t="n"/>
      <c r="AK1542" s="46" t="n"/>
      <c r="AL1542" s="46" t="n"/>
      <c r="AM1542" s="46" t="n"/>
      <c r="AN1542" s="46" t="n"/>
      <c r="AO1542" s="46" t="n"/>
      <c r="AP1542" s="46" t="n"/>
      <c r="AQ1542" s="46" t="n"/>
      <c r="AR1542" s="46" t="n"/>
      <c r="AS1542" s="46" t="n"/>
      <c r="AV1542" s="36">
        <f>IF($C1542="","",EMPLOYES!M27)</f>
        <v/>
      </c>
      <c r="AW1542" s="36">
        <f>IF($C1542="",0,SUMPRODUCT(--(O1542:AS1542="C")))</f>
        <v/>
      </c>
      <c r="AX1542" s="36">
        <f>IF($C1542="",0,SUMPRODUCT(--(O1542:AS1542="R")))</f>
        <v/>
      </c>
      <c r="AY1542" s="44" t="n"/>
    </row>
    <row r="1543" hidden="1" outlineLevel="1" ht="15" customHeight="1" s="15">
      <c r="B1543" s="41" t="n">
        <v>7</v>
      </c>
      <c r="C1543" s="42">
        <f>IF(EMPLOYES!C28="","",EMPLOYES!C28)</f>
        <v/>
      </c>
      <c r="D1543" s="43">
        <f>IF(EMPLOYES!C28="","",EMPLOYES!D28)</f>
        <v/>
      </c>
      <c r="E1543" s="44" t="n"/>
      <c r="F1543" s="42" t="n"/>
      <c r="G1543" s="41">
        <f>IF($C1543="",0,MAX(0,$M1543-$N1543))</f>
        <v/>
      </c>
      <c r="H1543" s="45" t="n"/>
      <c r="I1543" s="41">
        <f>IF($C1543="","",IF(H1543="","OK",IF(H1543&gt;EMPLOYES!P28,"⚠ Avance &gt; salaire",IF(H1543&gt;EMPLOYES!P28*PARAMETRES!$C$218,"⚠ Avance élevée","OK"))))</f>
        <v/>
      </c>
      <c r="J1543" s="45" t="n"/>
      <c r="K1543" s="46" t="n"/>
      <c r="L1543" s="46" t="n"/>
      <c r="M1543" s="41">
        <f>IF($C1543="","",SUMPRODUCT((PARAMETRES!$B$38:$B$157=PARAMETRES!$C$29)*(PARAMETRES!$C$38:$C$157=7)*(IF(EMPLOYES!M28="5j",PARAMETRES!$I$38:$I$157,PARAMETRES!$H$38:$H$157))))</f>
        <v/>
      </c>
      <c r="N1543" s="41">
        <f>IF($C1543="","",SUMPRODUCT((O1543:AS1543="P")+(O1543:AS1543="F")+(O1543:AS1543="C")+0.5*(O1543:AS1543="D"),(1-((O1527:AS1527=6)*(EMPLOYES!M28="5j")))))</f>
        <v/>
      </c>
      <c r="O1543" s="46" t="n"/>
      <c r="P1543" s="46" t="n"/>
      <c r="Q1543" s="46" t="n"/>
      <c r="R1543" s="46" t="n"/>
      <c r="S1543" s="46" t="n"/>
      <c r="T1543" s="46" t="n"/>
      <c r="U1543" s="46" t="n"/>
      <c r="V1543" s="46" t="n"/>
      <c r="W1543" s="46" t="n"/>
      <c r="X1543" s="46" t="n"/>
      <c r="Y1543" s="46" t="n"/>
      <c r="Z1543" s="46" t="n"/>
      <c r="AA1543" s="46" t="n"/>
      <c r="AB1543" s="46" t="n"/>
      <c r="AC1543" s="46" t="n"/>
      <c r="AD1543" s="46" t="n"/>
      <c r="AE1543" s="46" t="n"/>
      <c r="AF1543" s="46" t="n"/>
      <c r="AG1543" s="46" t="n"/>
      <c r="AH1543" s="46" t="n"/>
      <c r="AI1543" s="46" t="n"/>
      <c r="AJ1543" s="46" t="n"/>
      <c r="AK1543" s="46" t="n"/>
      <c r="AL1543" s="46" t="n"/>
      <c r="AM1543" s="46" t="n"/>
      <c r="AN1543" s="46" t="n"/>
      <c r="AO1543" s="46" t="n"/>
      <c r="AP1543" s="46" t="n"/>
      <c r="AQ1543" s="46" t="n"/>
      <c r="AR1543" s="46" t="n"/>
      <c r="AS1543" s="46" t="n"/>
      <c r="AV1543" s="36">
        <f>IF($C1543="","",EMPLOYES!M28)</f>
        <v/>
      </c>
      <c r="AW1543" s="36">
        <f>IF($C1543="",0,SUMPRODUCT(--(O1543:AS1543="C")))</f>
        <v/>
      </c>
      <c r="AX1543" s="36">
        <f>IF($C1543="",0,SUMPRODUCT(--(O1543:AS1543="R")))</f>
        <v/>
      </c>
      <c r="AY1543" s="44" t="n"/>
    </row>
    <row r="1544" hidden="1" outlineLevel="1" ht="15" customHeight="1" s="15">
      <c r="B1544" s="41" t="n">
        <v>7</v>
      </c>
      <c r="C1544" s="42">
        <f>IF(EMPLOYES!C29="","",EMPLOYES!C29)</f>
        <v/>
      </c>
      <c r="D1544" s="43">
        <f>IF(EMPLOYES!C29="","",EMPLOYES!D29)</f>
        <v/>
      </c>
      <c r="E1544" s="44" t="n"/>
      <c r="F1544" s="42" t="n"/>
      <c r="G1544" s="41">
        <f>IF($C1544="",0,MAX(0,$M1544-$N1544))</f>
        <v/>
      </c>
      <c r="H1544" s="45" t="n"/>
      <c r="I1544" s="41">
        <f>IF($C1544="","",IF(H1544="","OK",IF(H1544&gt;EMPLOYES!P29,"⚠ Avance &gt; salaire",IF(H1544&gt;EMPLOYES!P29*PARAMETRES!$C$218,"⚠ Avance élevée","OK"))))</f>
        <v/>
      </c>
      <c r="J1544" s="45" t="n"/>
      <c r="K1544" s="46" t="n"/>
      <c r="L1544" s="46" t="n"/>
      <c r="M1544" s="41">
        <f>IF($C1544="","",SUMPRODUCT((PARAMETRES!$B$38:$B$157=PARAMETRES!$C$29)*(PARAMETRES!$C$38:$C$157=7)*(IF(EMPLOYES!M29="5j",PARAMETRES!$I$38:$I$157,PARAMETRES!$H$38:$H$157))))</f>
        <v/>
      </c>
      <c r="N1544" s="41">
        <f>IF($C1544="","",SUMPRODUCT((O1544:AS1544="P")+(O1544:AS1544="F")+(O1544:AS1544="C")+0.5*(O1544:AS1544="D"),(1-((O1527:AS1527=6)*(EMPLOYES!M29="5j")))))</f>
        <v/>
      </c>
      <c r="O1544" s="46" t="n"/>
      <c r="P1544" s="46" t="n"/>
      <c r="Q1544" s="46" t="n"/>
      <c r="R1544" s="46" t="n"/>
      <c r="S1544" s="46" t="n"/>
      <c r="T1544" s="46" t="n"/>
      <c r="U1544" s="46" t="n"/>
      <c r="V1544" s="46" t="n"/>
      <c r="W1544" s="46" t="n"/>
      <c r="X1544" s="46" t="n"/>
      <c r="Y1544" s="46" t="n"/>
      <c r="Z1544" s="46" t="n"/>
      <c r="AA1544" s="46" t="n"/>
      <c r="AB1544" s="46" t="n"/>
      <c r="AC1544" s="46" t="n"/>
      <c r="AD1544" s="46" t="n"/>
      <c r="AE1544" s="46" t="n"/>
      <c r="AF1544" s="46" t="n"/>
      <c r="AG1544" s="46" t="n"/>
      <c r="AH1544" s="46" t="n"/>
      <c r="AI1544" s="46" t="n"/>
      <c r="AJ1544" s="46" t="n"/>
      <c r="AK1544" s="46" t="n"/>
      <c r="AL1544" s="46" t="n"/>
      <c r="AM1544" s="46" t="n"/>
      <c r="AN1544" s="46" t="n"/>
      <c r="AO1544" s="46" t="n"/>
      <c r="AP1544" s="46" t="n"/>
      <c r="AQ1544" s="46" t="n"/>
      <c r="AR1544" s="46" t="n"/>
      <c r="AS1544" s="46" t="n"/>
      <c r="AV1544" s="36">
        <f>IF($C1544="","",EMPLOYES!M29)</f>
        <v/>
      </c>
      <c r="AW1544" s="36">
        <f>IF($C1544="",0,SUMPRODUCT(--(O1544:AS1544="C")))</f>
        <v/>
      </c>
      <c r="AX1544" s="36">
        <f>IF($C1544="",0,SUMPRODUCT(--(O1544:AS1544="R")))</f>
        <v/>
      </c>
      <c r="AY1544" s="44" t="n"/>
    </row>
    <row r="1545" hidden="1" outlineLevel="1" ht="15" customHeight="1" s="15">
      <c r="B1545" s="41" t="n">
        <v>7</v>
      </c>
      <c r="C1545" s="42">
        <f>IF(EMPLOYES!C30="","",EMPLOYES!C30)</f>
        <v/>
      </c>
      <c r="D1545" s="43">
        <f>IF(EMPLOYES!C30="","",EMPLOYES!D30)</f>
        <v/>
      </c>
      <c r="E1545" s="44" t="n"/>
      <c r="F1545" s="42" t="n"/>
      <c r="G1545" s="41">
        <f>IF($C1545="",0,MAX(0,$M1545-$N1545))</f>
        <v/>
      </c>
      <c r="H1545" s="45" t="n"/>
      <c r="I1545" s="41">
        <f>IF($C1545="","",IF(H1545="","OK",IF(H1545&gt;EMPLOYES!P30,"⚠ Avance &gt; salaire",IF(H1545&gt;EMPLOYES!P30*PARAMETRES!$C$218,"⚠ Avance élevée","OK"))))</f>
        <v/>
      </c>
      <c r="J1545" s="45" t="n"/>
      <c r="K1545" s="46" t="n"/>
      <c r="L1545" s="46" t="n"/>
      <c r="M1545" s="41">
        <f>IF($C1545="","",SUMPRODUCT((PARAMETRES!$B$38:$B$157=PARAMETRES!$C$29)*(PARAMETRES!$C$38:$C$157=7)*(IF(EMPLOYES!M30="5j",PARAMETRES!$I$38:$I$157,PARAMETRES!$H$38:$H$157))))</f>
        <v/>
      </c>
      <c r="N1545" s="41">
        <f>IF($C1545="","",SUMPRODUCT((O1545:AS1545="P")+(O1545:AS1545="F")+(O1545:AS1545="C")+0.5*(O1545:AS1545="D"),(1-((O1527:AS1527=6)*(EMPLOYES!M30="5j")))))</f>
        <v/>
      </c>
      <c r="O1545" s="46" t="n"/>
      <c r="P1545" s="46" t="n"/>
      <c r="Q1545" s="46" t="n"/>
      <c r="R1545" s="46" t="n"/>
      <c r="S1545" s="46" t="n"/>
      <c r="T1545" s="46" t="n"/>
      <c r="U1545" s="46" t="n"/>
      <c r="V1545" s="46" t="n"/>
      <c r="W1545" s="46" t="n"/>
      <c r="X1545" s="46" t="n"/>
      <c r="Y1545" s="46" t="n"/>
      <c r="Z1545" s="46" t="n"/>
      <c r="AA1545" s="46" t="n"/>
      <c r="AB1545" s="46" t="n"/>
      <c r="AC1545" s="46" t="n"/>
      <c r="AD1545" s="46" t="n"/>
      <c r="AE1545" s="46" t="n"/>
      <c r="AF1545" s="46" t="n"/>
      <c r="AG1545" s="46" t="n"/>
      <c r="AH1545" s="46" t="n"/>
      <c r="AI1545" s="46" t="n"/>
      <c r="AJ1545" s="46" t="n"/>
      <c r="AK1545" s="46" t="n"/>
      <c r="AL1545" s="46" t="n"/>
      <c r="AM1545" s="46" t="n"/>
      <c r="AN1545" s="46" t="n"/>
      <c r="AO1545" s="46" t="n"/>
      <c r="AP1545" s="46" t="n"/>
      <c r="AQ1545" s="46" t="n"/>
      <c r="AR1545" s="46" t="n"/>
      <c r="AS1545" s="46" t="n"/>
      <c r="AV1545" s="36">
        <f>IF($C1545="","",EMPLOYES!M30)</f>
        <v/>
      </c>
      <c r="AW1545" s="36">
        <f>IF($C1545="",0,SUMPRODUCT(--(O1545:AS1545="C")))</f>
        <v/>
      </c>
      <c r="AX1545" s="36">
        <f>IF($C1545="",0,SUMPRODUCT(--(O1545:AS1545="R")))</f>
        <v/>
      </c>
      <c r="AY1545" s="44" t="n"/>
    </row>
    <row r="1546" hidden="1" outlineLevel="1" ht="15" customHeight="1" s="15">
      <c r="B1546" s="41" t="n">
        <v>7</v>
      </c>
      <c r="C1546" s="42">
        <f>IF(EMPLOYES!C31="","",EMPLOYES!C31)</f>
        <v/>
      </c>
      <c r="D1546" s="43">
        <f>IF(EMPLOYES!C31="","",EMPLOYES!D31)</f>
        <v/>
      </c>
      <c r="E1546" s="44" t="n"/>
      <c r="F1546" s="42" t="n"/>
      <c r="G1546" s="41">
        <f>IF($C1546="",0,MAX(0,$M1546-$N1546))</f>
        <v/>
      </c>
      <c r="H1546" s="45" t="n"/>
      <c r="I1546" s="41">
        <f>IF($C1546="","",IF(H1546="","OK",IF(H1546&gt;EMPLOYES!P31,"⚠ Avance &gt; salaire",IF(H1546&gt;EMPLOYES!P31*PARAMETRES!$C$218,"⚠ Avance élevée","OK"))))</f>
        <v/>
      </c>
      <c r="J1546" s="45" t="n"/>
      <c r="K1546" s="46" t="n"/>
      <c r="L1546" s="46" t="n"/>
      <c r="M1546" s="41">
        <f>IF($C1546="","",SUMPRODUCT((PARAMETRES!$B$38:$B$157=PARAMETRES!$C$29)*(PARAMETRES!$C$38:$C$157=7)*(IF(EMPLOYES!M31="5j",PARAMETRES!$I$38:$I$157,PARAMETRES!$H$38:$H$157))))</f>
        <v/>
      </c>
      <c r="N1546" s="41">
        <f>IF($C1546="","",SUMPRODUCT((O1546:AS1546="P")+(O1546:AS1546="F")+(O1546:AS1546="C")+0.5*(O1546:AS1546="D"),(1-((O1527:AS1527=6)*(EMPLOYES!M31="5j")))))</f>
        <v/>
      </c>
      <c r="O1546" s="46" t="n"/>
      <c r="P1546" s="46" t="n"/>
      <c r="Q1546" s="46" t="n"/>
      <c r="R1546" s="46" t="n"/>
      <c r="S1546" s="46" t="n"/>
      <c r="T1546" s="46" t="n"/>
      <c r="U1546" s="46" t="n"/>
      <c r="V1546" s="46" t="n"/>
      <c r="W1546" s="46" t="n"/>
      <c r="X1546" s="46" t="n"/>
      <c r="Y1546" s="46" t="n"/>
      <c r="Z1546" s="46" t="n"/>
      <c r="AA1546" s="46" t="n"/>
      <c r="AB1546" s="46" t="n"/>
      <c r="AC1546" s="46" t="n"/>
      <c r="AD1546" s="46" t="n"/>
      <c r="AE1546" s="46" t="n"/>
      <c r="AF1546" s="46" t="n"/>
      <c r="AG1546" s="46" t="n"/>
      <c r="AH1546" s="46" t="n"/>
      <c r="AI1546" s="46" t="n"/>
      <c r="AJ1546" s="46" t="n"/>
      <c r="AK1546" s="46" t="n"/>
      <c r="AL1546" s="46" t="n"/>
      <c r="AM1546" s="46" t="n"/>
      <c r="AN1546" s="46" t="n"/>
      <c r="AO1546" s="46" t="n"/>
      <c r="AP1546" s="46" t="n"/>
      <c r="AQ1546" s="46" t="n"/>
      <c r="AR1546" s="46" t="n"/>
      <c r="AS1546" s="46" t="n"/>
      <c r="AV1546" s="36">
        <f>IF($C1546="","",EMPLOYES!M31)</f>
        <v/>
      </c>
      <c r="AW1546" s="36">
        <f>IF($C1546="",0,SUMPRODUCT(--(O1546:AS1546="C")))</f>
        <v/>
      </c>
      <c r="AX1546" s="36">
        <f>IF($C1546="",0,SUMPRODUCT(--(O1546:AS1546="R")))</f>
        <v/>
      </c>
      <c r="AY1546" s="44" t="n"/>
    </row>
    <row r="1547" hidden="1" outlineLevel="1" ht="15" customHeight="1" s="15">
      <c r="B1547" s="41" t="n">
        <v>7</v>
      </c>
      <c r="C1547" s="42">
        <f>IF(EMPLOYES!C32="","",EMPLOYES!C32)</f>
        <v/>
      </c>
      <c r="D1547" s="43">
        <f>IF(EMPLOYES!C32="","",EMPLOYES!D32)</f>
        <v/>
      </c>
      <c r="E1547" s="44" t="n"/>
      <c r="F1547" s="42" t="n"/>
      <c r="G1547" s="41">
        <f>IF($C1547="",0,MAX(0,$M1547-$N1547))</f>
        <v/>
      </c>
      <c r="H1547" s="45" t="n"/>
      <c r="I1547" s="41">
        <f>IF($C1547="","",IF(H1547="","OK",IF(H1547&gt;EMPLOYES!P32,"⚠ Avance &gt; salaire",IF(H1547&gt;EMPLOYES!P32*PARAMETRES!$C$218,"⚠ Avance élevée","OK"))))</f>
        <v/>
      </c>
      <c r="J1547" s="45" t="n"/>
      <c r="K1547" s="46" t="n"/>
      <c r="L1547" s="46" t="n"/>
      <c r="M1547" s="41">
        <f>IF($C1547="","",SUMPRODUCT((PARAMETRES!$B$38:$B$157=PARAMETRES!$C$29)*(PARAMETRES!$C$38:$C$157=7)*(IF(EMPLOYES!M32="5j",PARAMETRES!$I$38:$I$157,PARAMETRES!$H$38:$H$157))))</f>
        <v/>
      </c>
      <c r="N1547" s="41">
        <f>IF($C1547="","",SUMPRODUCT((O1547:AS1547="P")+(O1547:AS1547="F")+(O1547:AS1547="C")+0.5*(O1547:AS1547="D"),(1-((O1527:AS1527=6)*(EMPLOYES!M32="5j")))))</f>
        <v/>
      </c>
      <c r="O1547" s="46" t="n"/>
      <c r="P1547" s="46" t="n"/>
      <c r="Q1547" s="46" t="n"/>
      <c r="R1547" s="46" t="n"/>
      <c r="S1547" s="46" t="n"/>
      <c r="T1547" s="46" t="n"/>
      <c r="U1547" s="46" t="n"/>
      <c r="V1547" s="46" t="n"/>
      <c r="W1547" s="46" t="n"/>
      <c r="X1547" s="46" t="n"/>
      <c r="Y1547" s="46" t="n"/>
      <c r="Z1547" s="46" t="n"/>
      <c r="AA1547" s="46" t="n"/>
      <c r="AB1547" s="46" t="n"/>
      <c r="AC1547" s="46" t="n"/>
      <c r="AD1547" s="46" t="n"/>
      <c r="AE1547" s="46" t="n"/>
      <c r="AF1547" s="46" t="n"/>
      <c r="AG1547" s="46" t="n"/>
      <c r="AH1547" s="46" t="n"/>
      <c r="AI1547" s="46" t="n"/>
      <c r="AJ1547" s="46" t="n"/>
      <c r="AK1547" s="46" t="n"/>
      <c r="AL1547" s="46" t="n"/>
      <c r="AM1547" s="46" t="n"/>
      <c r="AN1547" s="46" t="n"/>
      <c r="AO1547" s="46" t="n"/>
      <c r="AP1547" s="46" t="n"/>
      <c r="AQ1547" s="46" t="n"/>
      <c r="AR1547" s="46" t="n"/>
      <c r="AS1547" s="46" t="n"/>
      <c r="AV1547" s="36">
        <f>IF($C1547="","",EMPLOYES!M32)</f>
        <v/>
      </c>
      <c r="AW1547" s="36">
        <f>IF($C1547="",0,SUMPRODUCT(--(O1547:AS1547="C")))</f>
        <v/>
      </c>
      <c r="AX1547" s="36">
        <f>IF($C1547="",0,SUMPRODUCT(--(O1547:AS1547="R")))</f>
        <v/>
      </c>
      <c r="AY1547" s="44" t="n"/>
    </row>
    <row r="1548" hidden="1" outlineLevel="1" ht="15" customHeight="1" s="15">
      <c r="B1548" s="41" t="n">
        <v>7</v>
      </c>
      <c r="C1548" s="42">
        <f>IF(EMPLOYES!C33="","",EMPLOYES!C33)</f>
        <v/>
      </c>
      <c r="D1548" s="43">
        <f>IF(EMPLOYES!C33="","",EMPLOYES!D33)</f>
        <v/>
      </c>
      <c r="E1548" s="44" t="n"/>
      <c r="F1548" s="42" t="n"/>
      <c r="G1548" s="41">
        <f>IF($C1548="",0,MAX(0,$M1548-$N1548))</f>
        <v/>
      </c>
      <c r="H1548" s="45" t="n"/>
      <c r="I1548" s="41">
        <f>IF($C1548="","",IF(H1548="","OK",IF(H1548&gt;EMPLOYES!P33,"⚠ Avance &gt; salaire",IF(H1548&gt;EMPLOYES!P33*PARAMETRES!$C$218,"⚠ Avance élevée","OK"))))</f>
        <v/>
      </c>
      <c r="J1548" s="45" t="n"/>
      <c r="K1548" s="46" t="n"/>
      <c r="L1548" s="46" t="n"/>
      <c r="M1548" s="41">
        <f>IF($C1548="","",SUMPRODUCT((PARAMETRES!$B$38:$B$157=PARAMETRES!$C$29)*(PARAMETRES!$C$38:$C$157=7)*(IF(EMPLOYES!M33="5j",PARAMETRES!$I$38:$I$157,PARAMETRES!$H$38:$H$157))))</f>
        <v/>
      </c>
      <c r="N1548" s="41">
        <f>IF($C1548="","",SUMPRODUCT((O1548:AS1548="P")+(O1548:AS1548="F")+(O1548:AS1548="C")+0.5*(O1548:AS1548="D"),(1-((O1527:AS1527=6)*(EMPLOYES!M33="5j")))))</f>
        <v/>
      </c>
      <c r="O1548" s="46" t="n"/>
      <c r="P1548" s="46" t="n"/>
      <c r="Q1548" s="46" t="n"/>
      <c r="R1548" s="46" t="n"/>
      <c r="S1548" s="46" t="n"/>
      <c r="T1548" s="46" t="n"/>
      <c r="U1548" s="46" t="n"/>
      <c r="V1548" s="46" t="n"/>
      <c r="W1548" s="46" t="n"/>
      <c r="X1548" s="46" t="n"/>
      <c r="Y1548" s="46" t="n"/>
      <c r="Z1548" s="46" t="n"/>
      <c r="AA1548" s="46" t="n"/>
      <c r="AB1548" s="46" t="n"/>
      <c r="AC1548" s="46" t="n"/>
      <c r="AD1548" s="46" t="n"/>
      <c r="AE1548" s="46" t="n"/>
      <c r="AF1548" s="46" t="n"/>
      <c r="AG1548" s="46" t="n"/>
      <c r="AH1548" s="46" t="n"/>
      <c r="AI1548" s="46" t="n"/>
      <c r="AJ1548" s="46" t="n"/>
      <c r="AK1548" s="46" t="n"/>
      <c r="AL1548" s="46" t="n"/>
      <c r="AM1548" s="46" t="n"/>
      <c r="AN1548" s="46" t="n"/>
      <c r="AO1548" s="46" t="n"/>
      <c r="AP1548" s="46" t="n"/>
      <c r="AQ1548" s="46" t="n"/>
      <c r="AR1548" s="46" t="n"/>
      <c r="AS1548" s="46" t="n"/>
      <c r="AV1548" s="36">
        <f>IF($C1548="","",EMPLOYES!M33)</f>
        <v/>
      </c>
      <c r="AW1548" s="36">
        <f>IF($C1548="",0,SUMPRODUCT(--(O1548:AS1548="C")))</f>
        <v/>
      </c>
      <c r="AX1548" s="36">
        <f>IF($C1548="",0,SUMPRODUCT(--(O1548:AS1548="R")))</f>
        <v/>
      </c>
      <c r="AY1548" s="44" t="n"/>
    </row>
    <row r="1549" hidden="1" outlineLevel="1" ht="15" customHeight="1" s="15">
      <c r="B1549" s="41" t="n">
        <v>7</v>
      </c>
      <c r="C1549" s="42">
        <f>IF(EMPLOYES!C34="","",EMPLOYES!C34)</f>
        <v/>
      </c>
      <c r="D1549" s="43">
        <f>IF(EMPLOYES!C34="","",EMPLOYES!D34)</f>
        <v/>
      </c>
      <c r="E1549" s="44" t="n"/>
      <c r="F1549" s="42" t="n"/>
      <c r="G1549" s="41">
        <f>IF($C1549="",0,MAX(0,$M1549-$N1549))</f>
        <v/>
      </c>
      <c r="H1549" s="45" t="n"/>
      <c r="I1549" s="41">
        <f>IF($C1549="","",IF(H1549="","OK",IF(H1549&gt;EMPLOYES!P34,"⚠ Avance &gt; salaire",IF(H1549&gt;EMPLOYES!P34*PARAMETRES!$C$218,"⚠ Avance élevée","OK"))))</f>
        <v/>
      </c>
      <c r="J1549" s="45" t="n"/>
      <c r="K1549" s="46" t="n"/>
      <c r="L1549" s="46" t="n"/>
      <c r="M1549" s="41">
        <f>IF($C1549="","",SUMPRODUCT((PARAMETRES!$B$38:$B$157=PARAMETRES!$C$29)*(PARAMETRES!$C$38:$C$157=7)*(IF(EMPLOYES!M34="5j",PARAMETRES!$I$38:$I$157,PARAMETRES!$H$38:$H$157))))</f>
        <v/>
      </c>
      <c r="N1549" s="41">
        <f>IF($C1549="","",SUMPRODUCT((O1549:AS1549="P")+(O1549:AS1549="F")+(O1549:AS1549="C")+0.5*(O1549:AS1549="D"),(1-((O1527:AS1527=6)*(EMPLOYES!M34="5j")))))</f>
        <v/>
      </c>
      <c r="O1549" s="46" t="n"/>
      <c r="P1549" s="46" t="n"/>
      <c r="Q1549" s="46" t="n"/>
      <c r="R1549" s="46" t="n"/>
      <c r="S1549" s="46" t="n"/>
      <c r="T1549" s="46" t="n"/>
      <c r="U1549" s="46" t="n"/>
      <c r="V1549" s="46" t="n"/>
      <c r="W1549" s="46" t="n"/>
      <c r="X1549" s="46" t="n"/>
      <c r="Y1549" s="46" t="n"/>
      <c r="Z1549" s="46" t="n"/>
      <c r="AA1549" s="46" t="n"/>
      <c r="AB1549" s="46" t="n"/>
      <c r="AC1549" s="46" t="n"/>
      <c r="AD1549" s="46" t="n"/>
      <c r="AE1549" s="46" t="n"/>
      <c r="AF1549" s="46" t="n"/>
      <c r="AG1549" s="46" t="n"/>
      <c r="AH1549" s="46" t="n"/>
      <c r="AI1549" s="46" t="n"/>
      <c r="AJ1549" s="46" t="n"/>
      <c r="AK1549" s="46" t="n"/>
      <c r="AL1549" s="46" t="n"/>
      <c r="AM1549" s="46" t="n"/>
      <c r="AN1549" s="46" t="n"/>
      <c r="AO1549" s="46" t="n"/>
      <c r="AP1549" s="46" t="n"/>
      <c r="AQ1549" s="46" t="n"/>
      <c r="AR1549" s="46" t="n"/>
      <c r="AS1549" s="46" t="n"/>
      <c r="AV1549" s="36">
        <f>IF($C1549="","",EMPLOYES!M34)</f>
        <v/>
      </c>
      <c r="AW1549" s="36">
        <f>IF($C1549="",0,SUMPRODUCT(--(O1549:AS1549="C")))</f>
        <v/>
      </c>
      <c r="AX1549" s="36">
        <f>IF($C1549="",0,SUMPRODUCT(--(O1549:AS1549="R")))</f>
        <v/>
      </c>
      <c r="AY1549" s="44" t="n"/>
    </row>
    <row r="1550" hidden="1" outlineLevel="1" ht="15" customHeight="1" s="15">
      <c r="B1550" s="41" t="n">
        <v>7</v>
      </c>
      <c r="C1550" s="42">
        <f>IF(EMPLOYES!C35="","",EMPLOYES!C35)</f>
        <v/>
      </c>
      <c r="D1550" s="43">
        <f>IF(EMPLOYES!C35="","",EMPLOYES!D35)</f>
        <v/>
      </c>
      <c r="E1550" s="44" t="n"/>
      <c r="F1550" s="42" t="n"/>
      <c r="G1550" s="41">
        <f>IF($C1550="",0,MAX(0,$M1550-$N1550))</f>
        <v/>
      </c>
      <c r="H1550" s="45" t="n"/>
      <c r="I1550" s="41">
        <f>IF($C1550="","",IF(H1550="","OK",IF(H1550&gt;EMPLOYES!P35,"⚠ Avance &gt; salaire",IF(H1550&gt;EMPLOYES!P35*PARAMETRES!$C$218,"⚠ Avance élevée","OK"))))</f>
        <v/>
      </c>
      <c r="J1550" s="45" t="n"/>
      <c r="K1550" s="46" t="n"/>
      <c r="L1550" s="46" t="n"/>
      <c r="M1550" s="41">
        <f>IF($C1550="","",SUMPRODUCT((PARAMETRES!$B$38:$B$157=PARAMETRES!$C$29)*(PARAMETRES!$C$38:$C$157=7)*(IF(EMPLOYES!M35="5j",PARAMETRES!$I$38:$I$157,PARAMETRES!$H$38:$H$157))))</f>
        <v/>
      </c>
      <c r="N1550" s="41">
        <f>IF($C1550="","",SUMPRODUCT((O1550:AS1550="P")+(O1550:AS1550="F")+(O1550:AS1550="C")+0.5*(O1550:AS1550="D"),(1-((O1527:AS1527=6)*(EMPLOYES!M35="5j")))))</f>
        <v/>
      </c>
      <c r="O1550" s="46" t="n"/>
      <c r="P1550" s="46" t="n"/>
      <c r="Q1550" s="46" t="n"/>
      <c r="R1550" s="46" t="n"/>
      <c r="S1550" s="46" t="n"/>
      <c r="T1550" s="46" t="n"/>
      <c r="U1550" s="46" t="n"/>
      <c r="V1550" s="46" t="n"/>
      <c r="W1550" s="46" t="n"/>
      <c r="X1550" s="46" t="n"/>
      <c r="Y1550" s="46" t="n"/>
      <c r="Z1550" s="46" t="n"/>
      <c r="AA1550" s="46" t="n"/>
      <c r="AB1550" s="46" t="n"/>
      <c r="AC1550" s="46" t="n"/>
      <c r="AD1550" s="46" t="n"/>
      <c r="AE1550" s="46" t="n"/>
      <c r="AF1550" s="46" t="n"/>
      <c r="AG1550" s="46" t="n"/>
      <c r="AH1550" s="46" t="n"/>
      <c r="AI1550" s="46" t="n"/>
      <c r="AJ1550" s="46" t="n"/>
      <c r="AK1550" s="46" t="n"/>
      <c r="AL1550" s="46" t="n"/>
      <c r="AM1550" s="46" t="n"/>
      <c r="AN1550" s="46" t="n"/>
      <c r="AO1550" s="46" t="n"/>
      <c r="AP1550" s="46" t="n"/>
      <c r="AQ1550" s="46" t="n"/>
      <c r="AR1550" s="46" t="n"/>
      <c r="AS1550" s="46" t="n"/>
      <c r="AV1550" s="36">
        <f>IF($C1550="","",EMPLOYES!M35)</f>
        <v/>
      </c>
      <c r="AW1550" s="36">
        <f>IF($C1550="",0,SUMPRODUCT(--(O1550:AS1550="C")))</f>
        <v/>
      </c>
      <c r="AX1550" s="36">
        <f>IF($C1550="",0,SUMPRODUCT(--(O1550:AS1550="R")))</f>
        <v/>
      </c>
      <c r="AY1550" s="44" t="n"/>
    </row>
    <row r="1551" hidden="1" outlineLevel="1" ht="15" customHeight="1" s="15">
      <c r="B1551" s="41" t="n">
        <v>7</v>
      </c>
      <c r="C1551" s="42">
        <f>IF(EMPLOYES!C36="","",EMPLOYES!C36)</f>
        <v/>
      </c>
      <c r="D1551" s="43">
        <f>IF(EMPLOYES!C36="","",EMPLOYES!D36)</f>
        <v/>
      </c>
      <c r="E1551" s="44" t="n"/>
      <c r="F1551" s="42" t="n"/>
      <c r="G1551" s="41">
        <f>IF($C1551="",0,MAX(0,$M1551-$N1551))</f>
        <v/>
      </c>
      <c r="H1551" s="45" t="n"/>
      <c r="I1551" s="41">
        <f>IF($C1551="","",IF(H1551="","OK",IF(H1551&gt;EMPLOYES!P36,"⚠ Avance &gt; salaire",IF(H1551&gt;EMPLOYES!P36*PARAMETRES!$C$218,"⚠ Avance élevée","OK"))))</f>
        <v/>
      </c>
      <c r="J1551" s="45" t="n"/>
      <c r="K1551" s="46" t="n"/>
      <c r="L1551" s="46" t="n"/>
      <c r="M1551" s="41">
        <f>IF($C1551="","",SUMPRODUCT((PARAMETRES!$B$38:$B$157=PARAMETRES!$C$29)*(PARAMETRES!$C$38:$C$157=7)*(IF(EMPLOYES!M36="5j",PARAMETRES!$I$38:$I$157,PARAMETRES!$H$38:$H$157))))</f>
        <v/>
      </c>
      <c r="N1551" s="41">
        <f>IF($C1551="","",SUMPRODUCT((O1551:AS1551="P")+(O1551:AS1551="F")+(O1551:AS1551="C")+0.5*(O1551:AS1551="D"),(1-((O1527:AS1527=6)*(EMPLOYES!M36="5j")))))</f>
        <v/>
      </c>
      <c r="O1551" s="46" t="n"/>
      <c r="P1551" s="46" t="n"/>
      <c r="Q1551" s="46" t="n"/>
      <c r="R1551" s="46" t="n"/>
      <c r="S1551" s="46" t="n"/>
      <c r="T1551" s="46" t="n"/>
      <c r="U1551" s="46" t="n"/>
      <c r="V1551" s="46" t="n"/>
      <c r="W1551" s="46" t="n"/>
      <c r="X1551" s="46" t="n"/>
      <c r="Y1551" s="46" t="n"/>
      <c r="Z1551" s="46" t="n"/>
      <c r="AA1551" s="46" t="n"/>
      <c r="AB1551" s="46" t="n"/>
      <c r="AC1551" s="46" t="n"/>
      <c r="AD1551" s="46" t="n"/>
      <c r="AE1551" s="46" t="n"/>
      <c r="AF1551" s="46" t="n"/>
      <c r="AG1551" s="46" t="n"/>
      <c r="AH1551" s="46" t="n"/>
      <c r="AI1551" s="46" t="n"/>
      <c r="AJ1551" s="46" t="n"/>
      <c r="AK1551" s="46" t="n"/>
      <c r="AL1551" s="46" t="n"/>
      <c r="AM1551" s="46" t="n"/>
      <c r="AN1551" s="46" t="n"/>
      <c r="AO1551" s="46" t="n"/>
      <c r="AP1551" s="46" t="n"/>
      <c r="AQ1551" s="46" t="n"/>
      <c r="AR1551" s="46" t="n"/>
      <c r="AS1551" s="46" t="n"/>
      <c r="AV1551" s="36">
        <f>IF($C1551="","",EMPLOYES!M36)</f>
        <v/>
      </c>
      <c r="AW1551" s="36">
        <f>IF($C1551="",0,SUMPRODUCT(--(O1551:AS1551="C")))</f>
        <v/>
      </c>
      <c r="AX1551" s="36">
        <f>IF($C1551="",0,SUMPRODUCT(--(O1551:AS1551="R")))</f>
        <v/>
      </c>
      <c r="AY1551" s="44" t="n"/>
    </row>
    <row r="1552" hidden="1" outlineLevel="1" ht="15" customHeight="1" s="15">
      <c r="B1552" s="41" t="n">
        <v>7</v>
      </c>
      <c r="C1552" s="42">
        <f>IF(EMPLOYES!C37="","",EMPLOYES!C37)</f>
        <v/>
      </c>
      <c r="D1552" s="43">
        <f>IF(EMPLOYES!C37="","",EMPLOYES!D37)</f>
        <v/>
      </c>
      <c r="E1552" s="44" t="n"/>
      <c r="F1552" s="42" t="n"/>
      <c r="G1552" s="41">
        <f>IF($C1552="",0,MAX(0,$M1552-$N1552))</f>
        <v/>
      </c>
      <c r="H1552" s="45" t="n"/>
      <c r="I1552" s="41">
        <f>IF($C1552="","",IF(H1552="","OK",IF(H1552&gt;EMPLOYES!P37,"⚠ Avance &gt; salaire",IF(H1552&gt;EMPLOYES!P37*PARAMETRES!$C$218,"⚠ Avance élevée","OK"))))</f>
        <v/>
      </c>
      <c r="J1552" s="45" t="n"/>
      <c r="K1552" s="46" t="n"/>
      <c r="L1552" s="46" t="n"/>
      <c r="M1552" s="41">
        <f>IF($C1552="","",SUMPRODUCT((PARAMETRES!$B$38:$B$157=PARAMETRES!$C$29)*(PARAMETRES!$C$38:$C$157=7)*(IF(EMPLOYES!M37="5j",PARAMETRES!$I$38:$I$157,PARAMETRES!$H$38:$H$157))))</f>
        <v/>
      </c>
      <c r="N1552" s="41">
        <f>IF($C1552="","",SUMPRODUCT((O1552:AS1552="P")+(O1552:AS1552="F")+(O1552:AS1552="C")+0.5*(O1552:AS1552="D"),(1-((O1527:AS1527=6)*(EMPLOYES!M37="5j")))))</f>
        <v/>
      </c>
      <c r="O1552" s="46" t="n"/>
      <c r="P1552" s="46" t="n"/>
      <c r="Q1552" s="46" t="n"/>
      <c r="R1552" s="46" t="n"/>
      <c r="S1552" s="46" t="n"/>
      <c r="T1552" s="46" t="n"/>
      <c r="U1552" s="46" t="n"/>
      <c r="V1552" s="46" t="n"/>
      <c r="W1552" s="46" t="n"/>
      <c r="X1552" s="46" t="n"/>
      <c r="Y1552" s="46" t="n"/>
      <c r="Z1552" s="46" t="n"/>
      <c r="AA1552" s="46" t="n"/>
      <c r="AB1552" s="46" t="n"/>
      <c r="AC1552" s="46" t="n"/>
      <c r="AD1552" s="46" t="n"/>
      <c r="AE1552" s="46" t="n"/>
      <c r="AF1552" s="46" t="n"/>
      <c r="AG1552" s="46" t="n"/>
      <c r="AH1552" s="46" t="n"/>
      <c r="AI1552" s="46" t="n"/>
      <c r="AJ1552" s="46" t="n"/>
      <c r="AK1552" s="46" t="n"/>
      <c r="AL1552" s="46" t="n"/>
      <c r="AM1552" s="46" t="n"/>
      <c r="AN1552" s="46" t="n"/>
      <c r="AO1552" s="46" t="n"/>
      <c r="AP1552" s="46" t="n"/>
      <c r="AQ1552" s="46" t="n"/>
      <c r="AR1552" s="46" t="n"/>
      <c r="AS1552" s="46" t="n"/>
      <c r="AV1552" s="36">
        <f>IF($C1552="","",EMPLOYES!M37)</f>
        <v/>
      </c>
      <c r="AW1552" s="36">
        <f>IF($C1552="",0,SUMPRODUCT(--(O1552:AS1552="C")))</f>
        <v/>
      </c>
      <c r="AX1552" s="36">
        <f>IF($C1552="",0,SUMPRODUCT(--(O1552:AS1552="R")))</f>
        <v/>
      </c>
      <c r="AY1552" s="44" t="n"/>
    </row>
    <row r="1553" hidden="1" outlineLevel="1" ht="15" customHeight="1" s="15">
      <c r="B1553" s="41" t="n">
        <v>7</v>
      </c>
      <c r="C1553" s="42">
        <f>IF(EMPLOYES!C38="","",EMPLOYES!C38)</f>
        <v/>
      </c>
      <c r="D1553" s="43">
        <f>IF(EMPLOYES!C38="","",EMPLOYES!D38)</f>
        <v/>
      </c>
      <c r="E1553" s="44" t="n"/>
      <c r="F1553" s="42" t="n"/>
      <c r="G1553" s="41">
        <f>IF($C1553="",0,MAX(0,$M1553-$N1553))</f>
        <v/>
      </c>
      <c r="H1553" s="45" t="n"/>
      <c r="I1553" s="41">
        <f>IF($C1553="","",IF(H1553="","OK",IF(H1553&gt;EMPLOYES!P38,"⚠ Avance &gt; salaire",IF(H1553&gt;EMPLOYES!P38*PARAMETRES!$C$218,"⚠ Avance élevée","OK"))))</f>
        <v/>
      </c>
      <c r="J1553" s="45" t="n"/>
      <c r="K1553" s="46" t="n"/>
      <c r="L1553" s="46" t="n"/>
      <c r="M1553" s="41">
        <f>IF($C1553="","",SUMPRODUCT((PARAMETRES!$B$38:$B$157=PARAMETRES!$C$29)*(PARAMETRES!$C$38:$C$157=7)*(IF(EMPLOYES!M38="5j",PARAMETRES!$I$38:$I$157,PARAMETRES!$H$38:$H$157))))</f>
        <v/>
      </c>
      <c r="N1553" s="41">
        <f>IF($C1553="","",SUMPRODUCT((O1553:AS1553="P")+(O1553:AS1553="F")+(O1553:AS1553="C")+0.5*(O1553:AS1553="D"),(1-((O1527:AS1527=6)*(EMPLOYES!M38="5j")))))</f>
        <v/>
      </c>
      <c r="O1553" s="46" t="n"/>
      <c r="P1553" s="46" t="n"/>
      <c r="Q1553" s="46" t="n"/>
      <c r="R1553" s="46" t="n"/>
      <c r="S1553" s="46" t="n"/>
      <c r="T1553" s="46" t="n"/>
      <c r="U1553" s="46" t="n"/>
      <c r="V1553" s="46" t="n"/>
      <c r="W1553" s="46" t="n"/>
      <c r="X1553" s="46" t="n"/>
      <c r="Y1553" s="46" t="n"/>
      <c r="Z1553" s="46" t="n"/>
      <c r="AA1553" s="46" t="n"/>
      <c r="AB1553" s="46" t="n"/>
      <c r="AC1553" s="46" t="n"/>
      <c r="AD1553" s="46" t="n"/>
      <c r="AE1553" s="46" t="n"/>
      <c r="AF1553" s="46" t="n"/>
      <c r="AG1553" s="46" t="n"/>
      <c r="AH1553" s="46" t="n"/>
      <c r="AI1553" s="46" t="n"/>
      <c r="AJ1553" s="46" t="n"/>
      <c r="AK1553" s="46" t="n"/>
      <c r="AL1553" s="46" t="n"/>
      <c r="AM1553" s="46" t="n"/>
      <c r="AN1553" s="46" t="n"/>
      <c r="AO1553" s="46" t="n"/>
      <c r="AP1553" s="46" t="n"/>
      <c r="AQ1553" s="46" t="n"/>
      <c r="AR1553" s="46" t="n"/>
      <c r="AS1553" s="46" t="n"/>
      <c r="AV1553" s="36">
        <f>IF($C1553="","",EMPLOYES!M38)</f>
        <v/>
      </c>
      <c r="AW1553" s="36">
        <f>IF($C1553="",0,SUMPRODUCT(--(O1553:AS1553="C")))</f>
        <v/>
      </c>
      <c r="AX1553" s="36">
        <f>IF($C1553="",0,SUMPRODUCT(--(O1553:AS1553="R")))</f>
        <v/>
      </c>
      <c r="AY1553" s="44" t="n"/>
    </row>
    <row r="1554" hidden="1" outlineLevel="1" ht="15" customHeight="1" s="15">
      <c r="B1554" s="41" t="n">
        <v>7</v>
      </c>
      <c r="C1554" s="42">
        <f>IF(EMPLOYES!C39="","",EMPLOYES!C39)</f>
        <v/>
      </c>
      <c r="D1554" s="43">
        <f>IF(EMPLOYES!C39="","",EMPLOYES!D39)</f>
        <v/>
      </c>
      <c r="E1554" s="44" t="n"/>
      <c r="F1554" s="42" t="n"/>
      <c r="G1554" s="41">
        <f>IF($C1554="",0,MAX(0,$M1554-$N1554))</f>
        <v/>
      </c>
      <c r="H1554" s="45" t="n"/>
      <c r="I1554" s="41">
        <f>IF($C1554="","",IF(H1554="","OK",IF(H1554&gt;EMPLOYES!P39,"⚠ Avance &gt; salaire",IF(H1554&gt;EMPLOYES!P39*PARAMETRES!$C$218,"⚠ Avance élevée","OK"))))</f>
        <v/>
      </c>
      <c r="J1554" s="45" t="n"/>
      <c r="K1554" s="46" t="n"/>
      <c r="L1554" s="46" t="n"/>
      <c r="M1554" s="41">
        <f>IF($C1554="","",SUMPRODUCT((PARAMETRES!$B$38:$B$157=PARAMETRES!$C$29)*(PARAMETRES!$C$38:$C$157=7)*(IF(EMPLOYES!M39="5j",PARAMETRES!$I$38:$I$157,PARAMETRES!$H$38:$H$157))))</f>
        <v/>
      </c>
      <c r="N1554" s="41">
        <f>IF($C1554="","",SUMPRODUCT((O1554:AS1554="P")+(O1554:AS1554="F")+(O1554:AS1554="C")+0.5*(O1554:AS1554="D"),(1-((O1527:AS1527=6)*(EMPLOYES!M39="5j")))))</f>
        <v/>
      </c>
      <c r="O1554" s="46" t="n"/>
      <c r="P1554" s="46" t="n"/>
      <c r="Q1554" s="46" t="n"/>
      <c r="R1554" s="46" t="n"/>
      <c r="S1554" s="46" t="n"/>
      <c r="T1554" s="46" t="n"/>
      <c r="U1554" s="46" t="n"/>
      <c r="V1554" s="46" t="n"/>
      <c r="W1554" s="46" t="n"/>
      <c r="X1554" s="46" t="n"/>
      <c r="Y1554" s="46" t="n"/>
      <c r="Z1554" s="46" t="n"/>
      <c r="AA1554" s="46" t="n"/>
      <c r="AB1554" s="46" t="n"/>
      <c r="AC1554" s="46" t="n"/>
      <c r="AD1554" s="46" t="n"/>
      <c r="AE1554" s="46" t="n"/>
      <c r="AF1554" s="46" t="n"/>
      <c r="AG1554" s="46" t="n"/>
      <c r="AH1554" s="46" t="n"/>
      <c r="AI1554" s="46" t="n"/>
      <c r="AJ1554" s="46" t="n"/>
      <c r="AK1554" s="46" t="n"/>
      <c r="AL1554" s="46" t="n"/>
      <c r="AM1554" s="46" t="n"/>
      <c r="AN1554" s="46" t="n"/>
      <c r="AO1554" s="46" t="n"/>
      <c r="AP1554" s="46" t="n"/>
      <c r="AQ1554" s="46" t="n"/>
      <c r="AR1554" s="46" t="n"/>
      <c r="AS1554" s="46" t="n"/>
      <c r="AV1554" s="36">
        <f>IF($C1554="","",EMPLOYES!M39)</f>
        <v/>
      </c>
      <c r="AW1554" s="36">
        <f>IF($C1554="",0,SUMPRODUCT(--(O1554:AS1554="C")))</f>
        <v/>
      </c>
      <c r="AX1554" s="36">
        <f>IF($C1554="",0,SUMPRODUCT(--(O1554:AS1554="R")))</f>
        <v/>
      </c>
      <c r="AY1554" s="44" t="n"/>
    </row>
    <row r="1555" hidden="1" outlineLevel="1" ht="15" customHeight="1" s="15">
      <c r="B1555" s="41" t="n">
        <v>7</v>
      </c>
      <c r="C1555" s="42">
        <f>IF(EMPLOYES!C40="","",EMPLOYES!C40)</f>
        <v/>
      </c>
      <c r="D1555" s="43">
        <f>IF(EMPLOYES!C40="","",EMPLOYES!D40)</f>
        <v/>
      </c>
      <c r="E1555" s="44" t="n"/>
      <c r="F1555" s="42" t="n"/>
      <c r="G1555" s="41">
        <f>IF($C1555="",0,MAX(0,$M1555-$N1555))</f>
        <v/>
      </c>
      <c r="H1555" s="45" t="n"/>
      <c r="I1555" s="41">
        <f>IF($C1555="","",IF(H1555="","OK",IF(H1555&gt;EMPLOYES!P40,"⚠ Avance &gt; salaire",IF(H1555&gt;EMPLOYES!P40*PARAMETRES!$C$218,"⚠ Avance élevée","OK"))))</f>
        <v/>
      </c>
      <c r="J1555" s="45" t="n"/>
      <c r="K1555" s="46" t="n"/>
      <c r="L1555" s="46" t="n"/>
      <c r="M1555" s="41">
        <f>IF($C1555="","",SUMPRODUCT((PARAMETRES!$B$38:$B$157=PARAMETRES!$C$29)*(PARAMETRES!$C$38:$C$157=7)*(IF(EMPLOYES!M40="5j",PARAMETRES!$I$38:$I$157,PARAMETRES!$H$38:$H$157))))</f>
        <v/>
      </c>
      <c r="N1555" s="41">
        <f>IF($C1555="","",SUMPRODUCT((O1555:AS1555="P")+(O1555:AS1555="F")+(O1555:AS1555="C")+0.5*(O1555:AS1555="D"),(1-((O1527:AS1527=6)*(EMPLOYES!M40="5j")))))</f>
        <v/>
      </c>
      <c r="O1555" s="46" t="n"/>
      <c r="P1555" s="46" t="n"/>
      <c r="Q1555" s="46" t="n"/>
      <c r="R1555" s="46" t="n"/>
      <c r="S1555" s="46" t="n"/>
      <c r="T1555" s="46" t="n"/>
      <c r="U1555" s="46" t="n"/>
      <c r="V1555" s="46" t="n"/>
      <c r="W1555" s="46" t="n"/>
      <c r="X1555" s="46" t="n"/>
      <c r="Y1555" s="46" t="n"/>
      <c r="Z1555" s="46" t="n"/>
      <c r="AA1555" s="46" t="n"/>
      <c r="AB1555" s="46" t="n"/>
      <c r="AC1555" s="46" t="n"/>
      <c r="AD1555" s="46" t="n"/>
      <c r="AE1555" s="46" t="n"/>
      <c r="AF1555" s="46" t="n"/>
      <c r="AG1555" s="46" t="n"/>
      <c r="AH1555" s="46" t="n"/>
      <c r="AI1555" s="46" t="n"/>
      <c r="AJ1555" s="46" t="n"/>
      <c r="AK1555" s="46" t="n"/>
      <c r="AL1555" s="46" t="n"/>
      <c r="AM1555" s="46" t="n"/>
      <c r="AN1555" s="46" t="n"/>
      <c r="AO1555" s="46" t="n"/>
      <c r="AP1555" s="46" t="n"/>
      <c r="AQ1555" s="46" t="n"/>
      <c r="AR1555" s="46" t="n"/>
      <c r="AS1555" s="46" t="n"/>
      <c r="AV1555" s="36">
        <f>IF($C1555="","",EMPLOYES!M40)</f>
        <v/>
      </c>
      <c r="AW1555" s="36">
        <f>IF($C1555="",0,SUMPRODUCT(--(O1555:AS1555="C")))</f>
        <v/>
      </c>
      <c r="AX1555" s="36">
        <f>IF($C1555="",0,SUMPRODUCT(--(O1555:AS1555="R")))</f>
        <v/>
      </c>
      <c r="AY1555" s="44" t="n"/>
    </row>
    <row r="1556" hidden="1" outlineLevel="1" ht="15" customHeight="1" s="15">
      <c r="B1556" s="41" t="n">
        <v>7</v>
      </c>
      <c r="C1556" s="42">
        <f>IF(EMPLOYES!C41="","",EMPLOYES!C41)</f>
        <v/>
      </c>
      <c r="D1556" s="43">
        <f>IF(EMPLOYES!C41="","",EMPLOYES!D41)</f>
        <v/>
      </c>
      <c r="E1556" s="44" t="n"/>
      <c r="F1556" s="42" t="n"/>
      <c r="G1556" s="41">
        <f>IF($C1556="",0,MAX(0,$M1556-$N1556))</f>
        <v/>
      </c>
      <c r="H1556" s="45" t="n"/>
      <c r="I1556" s="41">
        <f>IF($C1556="","",IF(H1556="","OK",IF(H1556&gt;EMPLOYES!P41,"⚠ Avance &gt; salaire",IF(H1556&gt;EMPLOYES!P41*PARAMETRES!$C$218,"⚠ Avance élevée","OK"))))</f>
        <v/>
      </c>
      <c r="J1556" s="45" t="n"/>
      <c r="K1556" s="46" t="n"/>
      <c r="L1556" s="46" t="n"/>
      <c r="M1556" s="41">
        <f>IF($C1556="","",SUMPRODUCT((PARAMETRES!$B$38:$B$157=PARAMETRES!$C$29)*(PARAMETRES!$C$38:$C$157=7)*(IF(EMPLOYES!M41="5j",PARAMETRES!$I$38:$I$157,PARAMETRES!$H$38:$H$157))))</f>
        <v/>
      </c>
      <c r="N1556" s="41">
        <f>IF($C1556="","",SUMPRODUCT((O1556:AS1556="P")+(O1556:AS1556="F")+(O1556:AS1556="C")+0.5*(O1556:AS1556="D"),(1-((O1527:AS1527=6)*(EMPLOYES!M41="5j")))))</f>
        <v/>
      </c>
      <c r="O1556" s="46" t="n"/>
      <c r="P1556" s="46" t="n"/>
      <c r="Q1556" s="46" t="n"/>
      <c r="R1556" s="46" t="n"/>
      <c r="S1556" s="46" t="n"/>
      <c r="T1556" s="46" t="n"/>
      <c r="U1556" s="46" t="n"/>
      <c r="V1556" s="46" t="n"/>
      <c r="W1556" s="46" t="n"/>
      <c r="X1556" s="46" t="n"/>
      <c r="Y1556" s="46" t="n"/>
      <c r="Z1556" s="46" t="n"/>
      <c r="AA1556" s="46" t="n"/>
      <c r="AB1556" s="46" t="n"/>
      <c r="AC1556" s="46" t="n"/>
      <c r="AD1556" s="46" t="n"/>
      <c r="AE1556" s="46" t="n"/>
      <c r="AF1556" s="46" t="n"/>
      <c r="AG1556" s="46" t="n"/>
      <c r="AH1556" s="46" t="n"/>
      <c r="AI1556" s="46" t="n"/>
      <c r="AJ1556" s="46" t="n"/>
      <c r="AK1556" s="46" t="n"/>
      <c r="AL1556" s="46" t="n"/>
      <c r="AM1556" s="46" t="n"/>
      <c r="AN1556" s="46" t="n"/>
      <c r="AO1556" s="46" t="n"/>
      <c r="AP1556" s="46" t="n"/>
      <c r="AQ1556" s="46" t="n"/>
      <c r="AR1556" s="46" t="n"/>
      <c r="AS1556" s="46" t="n"/>
      <c r="AV1556" s="36">
        <f>IF($C1556="","",EMPLOYES!M41)</f>
        <v/>
      </c>
      <c r="AW1556" s="36">
        <f>IF($C1556="",0,SUMPRODUCT(--(O1556:AS1556="C")))</f>
        <v/>
      </c>
      <c r="AX1556" s="36">
        <f>IF($C1556="",0,SUMPRODUCT(--(O1556:AS1556="R")))</f>
        <v/>
      </c>
      <c r="AY1556" s="44" t="n"/>
    </row>
    <row r="1557" hidden="1" outlineLevel="1" ht="15" customHeight="1" s="15">
      <c r="B1557" s="41" t="n">
        <v>7</v>
      </c>
      <c r="C1557" s="42">
        <f>IF(EMPLOYES!C42="","",EMPLOYES!C42)</f>
        <v/>
      </c>
      <c r="D1557" s="43">
        <f>IF(EMPLOYES!C42="","",EMPLOYES!D42)</f>
        <v/>
      </c>
      <c r="E1557" s="44" t="n"/>
      <c r="F1557" s="42" t="n"/>
      <c r="G1557" s="41">
        <f>IF($C1557="",0,MAX(0,$M1557-$N1557))</f>
        <v/>
      </c>
      <c r="H1557" s="45" t="n"/>
      <c r="I1557" s="41">
        <f>IF($C1557="","",IF(H1557="","OK",IF(H1557&gt;EMPLOYES!P42,"⚠ Avance &gt; salaire",IF(H1557&gt;EMPLOYES!P42*PARAMETRES!$C$218,"⚠ Avance élevée","OK"))))</f>
        <v/>
      </c>
      <c r="J1557" s="45" t="n"/>
      <c r="K1557" s="46" t="n"/>
      <c r="L1557" s="46" t="n"/>
      <c r="M1557" s="41">
        <f>IF($C1557="","",SUMPRODUCT((PARAMETRES!$B$38:$B$157=PARAMETRES!$C$29)*(PARAMETRES!$C$38:$C$157=7)*(IF(EMPLOYES!M42="5j",PARAMETRES!$I$38:$I$157,PARAMETRES!$H$38:$H$157))))</f>
        <v/>
      </c>
      <c r="N1557" s="41">
        <f>IF($C1557="","",SUMPRODUCT((O1557:AS1557="P")+(O1557:AS1557="F")+(O1557:AS1557="C")+0.5*(O1557:AS1557="D"),(1-((O1527:AS1527=6)*(EMPLOYES!M42="5j")))))</f>
        <v/>
      </c>
      <c r="O1557" s="46" t="n"/>
      <c r="P1557" s="46" t="n"/>
      <c r="Q1557" s="46" t="n"/>
      <c r="R1557" s="46" t="n"/>
      <c r="S1557" s="46" t="n"/>
      <c r="T1557" s="46" t="n"/>
      <c r="U1557" s="46" t="n"/>
      <c r="V1557" s="46" t="n"/>
      <c r="W1557" s="46" t="n"/>
      <c r="X1557" s="46" t="n"/>
      <c r="Y1557" s="46" t="n"/>
      <c r="Z1557" s="46" t="n"/>
      <c r="AA1557" s="46" t="n"/>
      <c r="AB1557" s="46" t="n"/>
      <c r="AC1557" s="46" t="n"/>
      <c r="AD1557" s="46" t="n"/>
      <c r="AE1557" s="46" t="n"/>
      <c r="AF1557" s="46" t="n"/>
      <c r="AG1557" s="46" t="n"/>
      <c r="AH1557" s="46" t="n"/>
      <c r="AI1557" s="46" t="n"/>
      <c r="AJ1557" s="46" t="n"/>
      <c r="AK1557" s="46" t="n"/>
      <c r="AL1557" s="46" t="n"/>
      <c r="AM1557" s="46" t="n"/>
      <c r="AN1557" s="46" t="n"/>
      <c r="AO1557" s="46" t="n"/>
      <c r="AP1557" s="46" t="n"/>
      <c r="AQ1557" s="46" t="n"/>
      <c r="AR1557" s="46" t="n"/>
      <c r="AS1557" s="46" t="n"/>
      <c r="AV1557" s="36">
        <f>IF($C1557="","",EMPLOYES!M42)</f>
        <v/>
      </c>
      <c r="AW1557" s="36">
        <f>IF($C1557="",0,SUMPRODUCT(--(O1557:AS1557="C")))</f>
        <v/>
      </c>
      <c r="AX1557" s="36">
        <f>IF($C1557="",0,SUMPRODUCT(--(O1557:AS1557="R")))</f>
        <v/>
      </c>
      <c r="AY1557" s="44" t="n"/>
    </row>
    <row r="1558" hidden="1" outlineLevel="1" ht="15" customHeight="1" s="15">
      <c r="B1558" s="41" t="n">
        <v>7</v>
      </c>
      <c r="C1558" s="42">
        <f>IF(EMPLOYES!C43="","",EMPLOYES!C43)</f>
        <v/>
      </c>
      <c r="D1558" s="43">
        <f>IF(EMPLOYES!C43="","",EMPLOYES!D43)</f>
        <v/>
      </c>
      <c r="E1558" s="44" t="n"/>
      <c r="F1558" s="42" t="n"/>
      <c r="G1558" s="41">
        <f>IF($C1558="",0,MAX(0,$M1558-$N1558))</f>
        <v/>
      </c>
      <c r="H1558" s="45" t="n"/>
      <c r="I1558" s="41">
        <f>IF($C1558="","",IF(H1558="","OK",IF(H1558&gt;EMPLOYES!P43,"⚠ Avance &gt; salaire",IF(H1558&gt;EMPLOYES!P43*PARAMETRES!$C$218,"⚠ Avance élevée","OK"))))</f>
        <v/>
      </c>
      <c r="J1558" s="45" t="n"/>
      <c r="K1558" s="46" t="n"/>
      <c r="L1558" s="46" t="n"/>
      <c r="M1558" s="41">
        <f>IF($C1558="","",SUMPRODUCT((PARAMETRES!$B$38:$B$157=PARAMETRES!$C$29)*(PARAMETRES!$C$38:$C$157=7)*(IF(EMPLOYES!M43="5j",PARAMETRES!$I$38:$I$157,PARAMETRES!$H$38:$H$157))))</f>
        <v/>
      </c>
      <c r="N1558" s="41">
        <f>IF($C1558="","",SUMPRODUCT((O1558:AS1558="P")+(O1558:AS1558="F")+(O1558:AS1558="C")+0.5*(O1558:AS1558="D"),(1-((O1527:AS1527=6)*(EMPLOYES!M43="5j")))))</f>
        <v/>
      </c>
      <c r="O1558" s="46" t="n"/>
      <c r="P1558" s="46" t="n"/>
      <c r="Q1558" s="46" t="n"/>
      <c r="R1558" s="46" t="n"/>
      <c r="S1558" s="46" t="n"/>
      <c r="T1558" s="46" t="n"/>
      <c r="U1558" s="46" t="n"/>
      <c r="V1558" s="46" t="n"/>
      <c r="W1558" s="46" t="n"/>
      <c r="X1558" s="46" t="n"/>
      <c r="Y1558" s="46" t="n"/>
      <c r="Z1558" s="46" t="n"/>
      <c r="AA1558" s="46" t="n"/>
      <c r="AB1558" s="46" t="n"/>
      <c r="AC1558" s="46" t="n"/>
      <c r="AD1558" s="46" t="n"/>
      <c r="AE1558" s="46" t="n"/>
      <c r="AF1558" s="46" t="n"/>
      <c r="AG1558" s="46" t="n"/>
      <c r="AH1558" s="46" t="n"/>
      <c r="AI1558" s="46" t="n"/>
      <c r="AJ1558" s="46" t="n"/>
      <c r="AK1558" s="46" t="n"/>
      <c r="AL1558" s="46" t="n"/>
      <c r="AM1558" s="46" t="n"/>
      <c r="AN1558" s="46" t="n"/>
      <c r="AO1558" s="46" t="n"/>
      <c r="AP1558" s="46" t="n"/>
      <c r="AQ1558" s="46" t="n"/>
      <c r="AR1558" s="46" t="n"/>
      <c r="AS1558" s="46" t="n"/>
      <c r="AV1558" s="36">
        <f>IF($C1558="","",EMPLOYES!M43)</f>
        <v/>
      </c>
      <c r="AW1558" s="36">
        <f>IF($C1558="",0,SUMPRODUCT(--(O1558:AS1558="C")))</f>
        <v/>
      </c>
      <c r="AX1558" s="36">
        <f>IF($C1558="",0,SUMPRODUCT(--(O1558:AS1558="R")))</f>
        <v/>
      </c>
      <c r="AY1558" s="44" t="n"/>
    </row>
    <row r="1559" hidden="1" outlineLevel="1" ht="15" customHeight="1" s="15">
      <c r="B1559" s="41" t="n">
        <v>7</v>
      </c>
      <c r="C1559" s="42">
        <f>IF(EMPLOYES!C44="","",EMPLOYES!C44)</f>
        <v/>
      </c>
      <c r="D1559" s="43">
        <f>IF(EMPLOYES!C44="","",EMPLOYES!D44)</f>
        <v/>
      </c>
      <c r="E1559" s="44" t="n"/>
      <c r="F1559" s="42" t="n"/>
      <c r="G1559" s="41">
        <f>IF($C1559="",0,MAX(0,$M1559-$N1559))</f>
        <v/>
      </c>
      <c r="H1559" s="45" t="n"/>
      <c r="I1559" s="41">
        <f>IF($C1559="","",IF(H1559="","OK",IF(H1559&gt;EMPLOYES!P44,"⚠ Avance &gt; salaire",IF(H1559&gt;EMPLOYES!P44*PARAMETRES!$C$218,"⚠ Avance élevée","OK"))))</f>
        <v/>
      </c>
      <c r="J1559" s="45" t="n"/>
      <c r="K1559" s="46" t="n"/>
      <c r="L1559" s="46" t="n"/>
      <c r="M1559" s="41">
        <f>IF($C1559="","",SUMPRODUCT((PARAMETRES!$B$38:$B$157=PARAMETRES!$C$29)*(PARAMETRES!$C$38:$C$157=7)*(IF(EMPLOYES!M44="5j",PARAMETRES!$I$38:$I$157,PARAMETRES!$H$38:$H$157))))</f>
        <v/>
      </c>
      <c r="N1559" s="41">
        <f>IF($C1559="","",SUMPRODUCT((O1559:AS1559="P")+(O1559:AS1559="F")+(O1559:AS1559="C")+0.5*(O1559:AS1559="D"),(1-((O1527:AS1527=6)*(EMPLOYES!M44="5j")))))</f>
        <v/>
      </c>
      <c r="O1559" s="46" t="n"/>
      <c r="P1559" s="46" t="n"/>
      <c r="Q1559" s="46" t="n"/>
      <c r="R1559" s="46" t="n"/>
      <c r="S1559" s="46" t="n"/>
      <c r="T1559" s="46" t="n"/>
      <c r="U1559" s="46" t="n"/>
      <c r="V1559" s="46" t="n"/>
      <c r="W1559" s="46" t="n"/>
      <c r="X1559" s="46" t="n"/>
      <c r="Y1559" s="46" t="n"/>
      <c r="Z1559" s="46" t="n"/>
      <c r="AA1559" s="46" t="n"/>
      <c r="AB1559" s="46" t="n"/>
      <c r="AC1559" s="46" t="n"/>
      <c r="AD1559" s="46" t="n"/>
      <c r="AE1559" s="46" t="n"/>
      <c r="AF1559" s="46" t="n"/>
      <c r="AG1559" s="46" t="n"/>
      <c r="AH1559" s="46" t="n"/>
      <c r="AI1559" s="46" t="n"/>
      <c r="AJ1559" s="46" t="n"/>
      <c r="AK1559" s="46" t="n"/>
      <c r="AL1559" s="46" t="n"/>
      <c r="AM1559" s="46" t="n"/>
      <c r="AN1559" s="46" t="n"/>
      <c r="AO1559" s="46" t="n"/>
      <c r="AP1559" s="46" t="n"/>
      <c r="AQ1559" s="46" t="n"/>
      <c r="AR1559" s="46" t="n"/>
      <c r="AS1559" s="46" t="n"/>
      <c r="AV1559" s="36">
        <f>IF($C1559="","",EMPLOYES!M44)</f>
        <v/>
      </c>
      <c r="AW1559" s="36">
        <f>IF($C1559="",0,SUMPRODUCT(--(O1559:AS1559="C")))</f>
        <v/>
      </c>
      <c r="AX1559" s="36">
        <f>IF($C1559="",0,SUMPRODUCT(--(O1559:AS1559="R")))</f>
        <v/>
      </c>
      <c r="AY1559" s="44" t="n"/>
    </row>
    <row r="1560" hidden="1" outlineLevel="1" ht="15" customHeight="1" s="15">
      <c r="B1560" s="41" t="n">
        <v>7</v>
      </c>
      <c r="C1560" s="42">
        <f>IF(EMPLOYES!C45="","",EMPLOYES!C45)</f>
        <v/>
      </c>
      <c r="D1560" s="43">
        <f>IF(EMPLOYES!C45="","",EMPLOYES!D45)</f>
        <v/>
      </c>
      <c r="E1560" s="44" t="n"/>
      <c r="F1560" s="42" t="n"/>
      <c r="G1560" s="41">
        <f>IF($C1560="",0,MAX(0,$M1560-$N1560))</f>
        <v/>
      </c>
      <c r="H1560" s="45" t="n"/>
      <c r="I1560" s="41">
        <f>IF($C1560="","",IF(H1560="","OK",IF(H1560&gt;EMPLOYES!P45,"⚠ Avance &gt; salaire",IF(H1560&gt;EMPLOYES!P45*PARAMETRES!$C$218,"⚠ Avance élevée","OK"))))</f>
        <v/>
      </c>
      <c r="J1560" s="45" t="n"/>
      <c r="K1560" s="46" t="n"/>
      <c r="L1560" s="46" t="n"/>
      <c r="M1560" s="41">
        <f>IF($C1560="","",SUMPRODUCT((PARAMETRES!$B$38:$B$157=PARAMETRES!$C$29)*(PARAMETRES!$C$38:$C$157=7)*(IF(EMPLOYES!M45="5j",PARAMETRES!$I$38:$I$157,PARAMETRES!$H$38:$H$157))))</f>
        <v/>
      </c>
      <c r="N1560" s="41">
        <f>IF($C1560="","",SUMPRODUCT((O1560:AS1560="P")+(O1560:AS1560="F")+(O1560:AS1560="C")+0.5*(O1560:AS1560="D"),(1-((O1527:AS1527=6)*(EMPLOYES!M45="5j")))))</f>
        <v/>
      </c>
      <c r="O1560" s="46" t="n"/>
      <c r="P1560" s="46" t="n"/>
      <c r="Q1560" s="46" t="n"/>
      <c r="R1560" s="46" t="n"/>
      <c r="S1560" s="46" t="n"/>
      <c r="T1560" s="46" t="n"/>
      <c r="U1560" s="46" t="n"/>
      <c r="V1560" s="46" t="n"/>
      <c r="W1560" s="46" t="n"/>
      <c r="X1560" s="46" t="n"/>
      <c r="Y1560" s="46" t="n"/>
      <c r="Z1560" s="46" t="n"/>
      <c r="AA1560" s="46" t="n"/>
      <c r="AB1560" s="46" t="n"/>
      <c r="AC1560" s="46" t="n"/>
      <c r="AD1560" s="46" t="n"/>
      <c r="AE1560" s="46" t="n"/>
      <c r="AF1560" s="46" t="n"/>
      <c r="AG1560" s="46" t="n"/>
      <c r="AH1560" s="46" t="n"/>
      <c r="AI1560" s="46" t="n"/>
      <c r="AJ1560" s="46" t="n"/>
      <c r="AK1560" s="46" t="n"/>
      <c r="AL1560" s="46" t="n"/>
      <c r="AM1560" s="46" t="n"/>
      <c r="AN1560" s="46" t="n"/>
      <c r="AO1560" s="46" t="n"/>
      <c r="AP1560" s="46" t="n"/>
      <c r="AQ1560" s="46" t="n"/>
      <c r="AR1560" s="46" t="n"/>
      <c r="AS1560" s="46" t="n"/>
      <c r="AV1560" s="36">
        <f>IF($C1560="","",EMPLOYES!M45)</f>
        <v/>
      </c>
      <c r="AW1560" s="36">
        <f>IF($C1560="",0,SUMPRODUCT(--(O1560:AS1560="C")))</f>
        <v/>
      </c>
      <c r="AX1560" s="36">
        <f>IF($C1560="",0,SUMPRODUCT(--(O1560:AS1560="R")))</f>
        <v/>
      </c>
      <c r="AY1560" s="44" t="n"/>
    </row>
    <row r="1561" hidden="1" outlineLevel="1" ht="15" customHeight="1" s="15">
      <c r="B1561" s="41" t="n">
        <v>7</v>
      </c>
      <c r="C1561" s="42">
        <f>IF(EMPLOYES!C46="","",EMPLOYES!C46)</f>
        <v/>
      </c>
      <c r="D1561" s="43">
        <f>IF(EMPLOYES!C46="","",EMPLOYES!D46)</f>
        <v/>
      </c>
      <c r="E1561" s="44" t="n"/>
      <c r="F1561" s="42" t="n"/>
      <c r="G1561" s="41">
        <f>IF($C1561="",0,MAX(0,$M1561-$N1561))</f>
        <v/>
      </c>
      <c r="H1561" s="45" t="n"/>
      <c r="I1561" s="41">
        <f>IF($C1561="","",IF(H1561="","OK",IF(H1561&gt;EMPLOYES!P46,"⚠ Avance &gt; salaire",IF(H1561&gt;EMPLOYES!P46*PARAMETRES!$C$218,"⚠ Avance élevée","OK"))))</f>
        <v/>
      </c>
      <c r="J1561" s="45" t="n"/>
      <c r="K1561" s="46" t="n"/>
      <c r="L1561" s="46" t="n"/>
      <c r="M1561" s="41">
        <f>IF($C1561="","",SUMPRODUCT((PARAMETRES!$B$38:$B$157=PARAMETRES!$C$29)*(PARAMETRES!$C$38:$C$157=7)*(IF(EMPLOYES!M46="5j",PARAMETRES!$I$38:$I$157,PARAMETRES!$H$38:$H$157))))</f>
        <v/>
      </c>
      <c r="N1561" s="41">
        <f>IF($C1561="","",SUMPRODUCT((O1561:AS1561="P")+(O1561:AS1561="F")+(O1561:AS1561="C")+0.5*(O1561:AS1561="D"),(1-((O1527:AS1527=6)*(EMPLOYES!M46="5j")))))</f>
        <v/>
      </c>
      <c r="O1561" s="46" t="n"/>
      <c r="P1561" s="46" t="n"/>
      <c r="Q1561" s="46" t="n"/>
      <c r="R1561" s="46" t="n"/>
      <c r="S1561" s="46" t="n"/>
      <c r="T1561" s="46" t="n"/>
      <c r="U1561" s="46" t="n"/>
      <c r="V1561" s="46" t="n"/>
      <c r="W1561" s="46" t="n"/>
      <c r="X1561" s="46" t="n"/>
      <c r="Y1561" s="46" t="n"/>
      <c r="Z1561" s="46" t="n"/>
      <c r="AA1561" s="46" t="n"/>
      <c r="AB1561" s="46" t="n"/>
      <c r="AC1561" s="46" t="n"/>
      <c r="AD1561" s="46" t="n"/>
      <c r="AE1561" s="46" t="n"/>
      <c r="AF1561" s="46" t="n"/>
      <c r="AG1561" s="46" t="n"/>
      <c r="AH1561" s="46" t="n"/>
      <c r="AI1561" s="46" t="n"/>
      <c r="AJ1561" s="46" t="n"/>
      <c r="AK1561" s="46" t="n"/>
      <c r="AL1561" s="46" t="n"/>
      <c r="AM1561" s="46" t="n"/>
      <c r="AN1561" s="46" t="n"/>
      <c r="AO1561" s="46" t="n"/>
      <c r="AP1561" s="46" t="n"/>
      <c r="AQ1561" s="46" t="n"/>
      <c r="AR1561" s="46" t="n"/>
      <c r="AS1561" s="46" t="n"/>
      <c r="AV1561" s="36">
        <f>IF($C1561="","",EMPLOYES!M46)</f>
        <v/>
      </c>
      <c r="AW1561" s="36">
        <f>IF($C1561="",0,SUMPRODUCT(--(O1561:AS1561="C")))</f>
        <v/>
      </c>
      <c r="AX1561" s="36">
        <f>IF($C1561="",0,SUMPRODUCT(--(O1561:AS1561="R")))</f>
        <v/>
      </c>
      <c r="AY1561" s="44" t="n"/>
    </row>
    <row r="1562" hidden="1" outlineLevel="1" ht="15" customHeight="1" s="15">
      <c r="B1562" s="41" t="n">
        <v>7</v>
      </c>
      <c r="C1562" s="42">
        <f>IF(EMPLOYES!C47="","",EMPLOYES!C47)</f>
        <v/>
      </c>
      <c r="D1562" s="43">
        <f>IF(EMPLOYES!C47="","",EMPLOYES!D47)</f>
        <v/>
      </c>
      <c r="E1562" s="44" t="n"/>
      <c r="F1562" s="42" t="n"/>
      <c r="G1562" s="41">
        <f>IF($C1562="",0,MAX(0,$M1562-$N1562))</f>
        <v/>
      </c>
      <c r="H1562" s="45" t="n"/>
      <c r="I1562" s="41">
        <f>IF($C1562="","",IF(H1562="","OK",IF(H1562&gt;EMPLOYES!P47,"⚠ Avance &gt; salaire",IF(H1562&gt;EMPLOYES!P47*PARAMETRES!$C$218,"⚠ Avance élevée","OK"))))</f>
        <v/>
      </c>
      <c r="J1562" s="45" t="n"/>
      <c r="K1562" s="46" t="n"/>
      <c r="L1562" s="46" t="n"/>
      <c r="M1562" s="41">
        <f>IF($C1562="","",SUMPRODUCT((PARAMETRES!$B$38:$B$157=PARAMETRES!$C$29)*(PARAMETRES!$C$38:$C$157=7)*(IF(EMPLOYES!M47="5j",PARAMETRES!$I$38:$I$157,PARAMETRES!$H$38:$H$157))))</f>
        <v/>
      </c>
      <c r="N1562" s="41">
        <f>IF($C1562="","",SUMPRODUCT((O1562:AS1562="P")+(O1562:AS1562="F")+(O1562:AS1562="C")+0.5*(O1562:AS1562="D"),(1-((O1527:AS1527=6)*(EMPLOYES!M47="5j")))))</f>
        <v/>
      </c>
      <c r="O1562" s="46" t="n"/>
      <c r="P1562" s="46" t="n"/>
      <c r="Q1562" s="46" t="n"/>
      <c r="R1562" s="46" t="n"/>
      <c r="S1562" s="46" t="n"/>
      <c r="T1562" s="46" t="n"/>
      <c r="U1562" s="46" t="n"/>
      <c r="V1562" s="46" t="n"/>
      <c r="W1562" s="46" t="n"/>
      <c r="X1562" s="46" t="n"/>
      <c r="Y1562" s="46" t="n"/>
      <c r="Z1562" s="46" t="n"/>
      <c r="AA1562" s="46" t="n"/>
      <c r="AB1562" s="46" t="n"/>
      <c r="AC1562" s="46" t="n"/>
      <c r="AD1562" s="46" t="n"/>
      <c r="AE1562" s="46" t="n"/>
      <c r="AF1562" s="46" t="n"/>
      <c r="AG1562" s="46" t="n"/>
      <c r="AH1562" s="46" t="n"/>
      <c r="AI1562" s="46" t="n"/>
      <c r="AJ1562" s="46" t="n"/>
      <c r="AK1562" s="46" t="n"/>
      <c r="AL1562" s="46" t="n"/>
      <c r="AM1562" s="46" t="n"/>
      <c r="AN1562" s="46" t="n"/>
      <c r="AO1562" s="46" t="n"/>
      <c r="AP1562" s="46" t="n"/>
      <c r="AQ1562" s="46" t="n"/>
      <c r="AR1562" s="46" t="n"/>
      <c r="AS1562" s="46" t="n"/>
      <c r="AV1562" s="36">
        <f>IF($C1562="","",EMPLOYES!M47)</f>
        <v/>
      </c>
      <c r="AW1562" s="36">
        <f>IF($C1562="",0,SUMPRODUCT(--(O1562:AS1562="C")))</f>
        <v/>
      </c>
      <c r="AX1562" s="36">
        <f>IF($C1562="",0,SUMPRODUCT(--(O1562:AS1562="R")))</f>
        <v/>
      </c>
      <c r="AY1562" s="44" t="n"/>
    </row>
    <row r="1563" hidden="1" outlineLevel="1" ht="15" customHeight="1" s="15">
      <c r="B1563" s="41" t="n">
        <v>7</v>
      </c>
      <c r="C1563" s="42">
        <f>IF(EMPLOYES!C48="","",EMPLOYES!C48)</f>
        <v/>
      </c>
      <c r="D1563" s="43">
        <f>IF(EMPLOYES!C48="","",EMPLOYES!D48)</f>
        <v/>
      </c>
      <c r="E1563" s="44" t="n"/>
      <c r="F1563" s="42" t="n"/>
      <c r="G1563" s="41">
        <f>IF($C1563="",0,MAX(0,$M1563-$N1563))</f>
        <v/>
      </c>
      <c r="H1563" s="45" t="n"/>
      <c r="I1563" s="41">
        <f>IF($C1563="","",IF(H1563="","OK",IF(H1563&gt;EMPLOYES!P48,"⚠ Avance &gt; salaire",IF(H1563&gt;EMPLOYES!P48*PARAMETRES!$C$218,"⚠ Avance élevée","OK"))))</f>
        <v/>
      </c>
      <c r="J1563" s="45" t="n"/>
      <c r="K1563" s="46" t="n"/>
      <c r="L1563" s="46" t="n"/>
      <c r="M1563" s="41">
        <f>IF($C1563="","",SUMPRODUCT((PARAMETRES!$B$38:$B$157=PARAMETRES!$C$29)*(PARAMETRES!$C$38:$C$157=7)*(IF(EMPLOYES!M48="5j",PARAMETRES!$I$38:$I$157,PARAMETRES!$H$38:$H$157))))</f>
        <v/>
      </c>
      <c r="N1563" s="41">
        <f>IF($C1563="","",SUMPRODUCT((O1563:AS1563="P")+(O1563:AS1563="F")+(O1563:AS1563="C")+0.5*(O1563:AS1563="D"),(1-((O1527:AS1527=6)*(EMPLOYES!M48="5j")))))</f>
        <v/>
      </c>
      <c r="O1563" s="46" t="n"/>
      <c r="P1563" s="46" t="n"/>
      <c r="Q1563" s="46" t="n"/>
      <c r="R1563" s="46" t="n"/>
      <c r="S1563" s="46" t="n"/>
      <c r="T1563" s="46" t="n"/>
      <c r="U1563" s="46" t="n"/>
      <c r="V1563" s="46" t="n"/>
      <c r="W1563" s="46" t="n"/>
      <c r="X1563" s="46" t="n"/>
      <c r="Y1563" s="46" t="n"/>
      <c r="Z1563" s="46" t="n"/>
      <c r="AA1563" s="46" t="n"/>
      <c r="AB1563" s="46" t="n"/>
      <c r="AC1563" s="46" t="n"/>
      <c r="AD1563" s="46" t="n"/>
      <c r="AE1563" s="46" t="n"/>
      <c r="AF1563" s="46" t="n"/>
      <c r="AG1563" s="46" t="n"/>
      <c r="AH1563" s="46" t="n"/>
      <c r="AI1563" s="46" t="n"/>
      <c r="AJ1563" s="46" t="n"/>
      <c r="AK1563" s="46" t="n"/>
      <c r="AL1563" s="46" t="n"/>
      <c r="AM1563" s="46" t="n"/>
      <c r="AN1563" s="46" t="n"/>
      <c r="AO1563" s="46" t="n"/>
      <c r="AP1563" s="46" t="n"/>
      <c r="AQ1563" s="46" t="n"/>
      <c r="AR1563" s="46" t="n"/>
      <c r="AS1563" s="46" t="n"/>
      <c r="AV1563" s="36">
        <f>IF($C1563="","",EMPLOYES!M48)</f>
        <v/>
      </c>
      <c r="AW1563" s="36">
        <f>IF($C1563="",0,SUMPRODUCT(--(O1563:AS1563="C")))</f>
        <v/>
      </c>
      <c r="AX1563" s="36">
        <f>IF($C1563="",0,SUMPRODUCT(--(O1563:AS1563="R")))</f>
        <v/>
      </c>
      <c r="AY1563" s="44" t="n"/>
    </row>
    <row r="1564" hidden="1" outlineLevel="1" ht="15" customHeight="1" s="15">
      <c r="B1564" s="41" t="n">
        <v>7</v>
      </c>
      <c r="C1564" s="42">
        <f>IF(EMPLOYES!C49="","",EMPLOYES!C49)</f>
        <v/>
      </c>
      <c r="D1564" s="43">
        <f>IF(EMPLOYES!C49="","",EMPLOYES!D49)</f>
        <v/>
      </c>
      <c r="E1564" s="44" t="n"/>
      <c r="F1564" s="42" t="n"/>
      <c r="G1564" s="41">
        <f>IF($C1564="",0,MAX(0,$M1564-$N1564))</f>
        <v/>
      </c>
      <c r="H1564" s="45" t="n"/>
      <c r="I1564" s="41">
        <f>IF($C1564="","",IF(H1564="","OK",IF(H1564&gt;EMPLOYES!P49,"⚠ Avance &gt; salaire",IF(H1564&gt;EMPLOYES!P49*PARAMETRES!$C$218,"⚠ Avance élevée","OK"))))</f>
        <v/>
      </c>
      <c r="J1564" s="45" t="n"/>
      <c r="K1564" s="46" t="n"/>
      <c r="L1564" s="46" t="n"/>
      <c r="M1564" s="41">
        <f>IF($C1564="","",SUMPRODUCT((PARAMETRES!$B$38:$B$157=PARAMETRES!$C$29)*(PARAMETRES!$C$38:$C$157=7)*(IF(EMPLOYES!M49="5j",PARAMETRES!$I$38:$I$157,PARAMETRES!$H$38:$H$157))))</f>
        <v/>
      </c>
      <c r="N1564" s="41">
        <f>IF($C1564="","",SUMPRODUCT((O1564:AS1564="P")+(O1564:AS1564="F")+(O1564:AS1564="C")+0.5*(O1564:AS1564="D"),(1-((O1527:AS1527=6)*(EMPLOYES!M49="5j")))))</f>
        <v/>
      </c>
      <c r="O1564" s="46" t="n"/>
      <c r="P1564" s="46" t="n"/>
      <c r="Q1564" s="46" t="n"/>
      <c r="R1564" s="46" t="n"/>
      <c r="S1564" s="46" t="n"/>
      <c r="T1564" s="46" t="n"/>
      <c r="U1564" s="46" t="n"/>
      <c r="V1564" s="46" t="n"/>
      <c r="W1564" s="46" t="n"/>
      <c r="X1564" s="46" t="n"/>
      <c r="Y1564" s="46" t="n"/>
      <c r="Z1564" s="46" t="n"/>
      <c r="AA1564" s="46" t="n"/>
      <c r="AB1564" s="46" t="n"/>
      <c r="AC1564" s="46" t="n"/>
      <c r="AD1564" s="46" t="n"/>
      <c r="AE1564" s="46" t="n"/>
      <c r="AF1564" s="46" t="n"/>
      <c r="AG1564" s="46" t="n"/>
      <c r="AH1564" s="46" t="n"/>
      <c r="AI1564" s="46" t="n"/>
      <c r="AJ1564" s="46" t="n"/>
      <c r="AK1564" s="46" t="n"/>
      <c r="AL1564" s="46" t="n"/>
      <c r="AM1564" s="46" t="n"/>
      <c r="AN1564" s="46" t="n"/>
      <c r="AO1564" s="46" t="n"/>
      <c r="AP1564" s="46" t="n"/>
      <c r="AQ1564" s="46" t="n"/>
      <c r="AR1564" s="46" t="n"/>
      <c r="AS1564" s="46" t="n"/>
      <c r="AV1564" s="36">
        <f>IF($C1564="","",EMPLOYES!M49)</f>
        <v/>
      </c>
      <c r="AW1564" s="36">
        <f>IF($C1564="",0,SUMPRODUCT(--(O1564:AS1564="C")))</f>
        <v/>
      </c>
      <c r="AX1564" s="36">
        <f>IF($C1564="",0,SUMPRODUCT(--(O1564:AS1564="R")))</f>
        <v/>
      </c>
      <c r="AY1564" s="44" t="n"/>
    </row>
    <row r="1565" hidden="1" outlineLevel="1" ht="15" customHeight="1" s="15">
      <c r="B1565" s="41" t="n">
        <v>7</v>
      </c>
      <c r="C1565" s="42">
        <f>IF(EMPLOYES!C50="","",EMPLOYES!C50)</f>
        <v/>
      </c>
      <c r="D1565" s="43">
        <f>IF(EMPLOYES!C50="","",EMPLOYES!D50)</f>
        <v/>
      </c>
      <c r="E1565" s="44" t="n"/>
      <c r="F1565" s="42" t="n"/>
      <c r="G1565" s="41">
        <f>IF($C1565="",0,MAX(0,$M1565-$N1565))</f>
        <v/>
      </c>
      <c r="H1565" s="45" t="n"/>
      <c r="I1565" s="41">
        <f>IF($C1565="","",IF(H1565="","OK",IF(H1565&gt;EMPLOYES!P50,"⚠ Avance &gt; salaire",IF(H1565&gt;EMPLOYES!P50*PARAMETRES!$C$218,"⚠ Avance élevée","OK"))))</f>
        <v/>
      </c>
      <c r="J1565" s="45" t="n"/>
      <c r="K1565" s="46" t="n"/>
      <c r="L1565" s="46" t="n"/>
      <c r="M1565" s="41">
        <f>IF($C1565="","",SUMPRODUCT((PARAMETRES!$B$38:$B$157=PARAMETRES!$C$29)*(PARAMETRES!$C$38:$C$157=7)*(IF(EMPLOYES!M50="5j",PARAMETRES!$I$38:$I$157,PARAMETRES!$H$38:$H$157))))</f>
        <v/>
      </c>
      <c r="N1565" s="41">
        <f>IF($C1565="","",SUMPRODUCT((O1565:AS1565="P")+(O1565:AS1565="F")+(O1565:AS1565="C")+0.5*(O1565:AS1565="D"),(1-((O1527:AS1527=6)*(EMPLOYES!M50="5j")))))</f>
        <v/>
      </c>
      <c r="O1565" s="46" t="n"/>
      <c r="P1565" s="46" t="n"/>
      <c r="Q1565" s="46" t="n"/>
      <c r="R1565" s="46" t="n"/>
      <c r="S1565" s="46" t="n"/>
      <c r="T1565" s="46" t="n"/>
      <c r="U1565" s="46" t="n"/>
      <c r="V1565" s="46" t="n"/>
      <c r="W1565" s="46" t="n"/>
      <c r="X1565" s="46" t="n"/>
      <c r="Y1565" s="46" t="n"/>
      <c r="Z1565" s="46" t="n"/>
      <c r="AA1565" s="46" t="n"/>
      <c r="AB1565" s="46" t="n"/>
      <c r="AC1565" s="46" t="n"/>
      <c r="AD1565" s="46" t="n"/>
      <c r="AE1565" s="46" t="n"/>
      <c r="AF1565" s="46" t="n"/>
      <c r="AG1565" s="46" t="n"/>
      <c r="AH1565" s="46" t="n"/>
      <c r="AI1565" s="46" t="n"/>
      <c r="AJ1565" s="46" t="n"/>
      <c r="AK1565" s="46" t="n"/>
      <c r="AL1565" s="46" t="n"/>
      <c r="AM1565" s="46" t="n"/>
      <c r="AN1565" s="46" t="n"/>
      <c r="AO1565" s="46" t="n"/>
      <c r="AP1565" s="46" t="n"/>
      <c r="AQ1565" s="46" t="n"/>
      <c r="AR1565" s="46" t="n"/>
      <c r="AS1565" s="46" t="n"/>
      <c r="AV1565" s="36">
        <f>IF($C1565="","",EMPLOYES!M50)</f>
        <v/>
      </c>
      <c r="AW1565" s="36">
        <f>IF($C1565="",0,SUMPRODUCT(--(O1565:AS1565="C")))</f>
        <v/>
      </c>
      <c r="AX1565" s="36">
        <f>IF($C1565="",0,SUMPRODUCT(--(O1565:AS1565="R")))</f>
        <v/>
      </c>
      <c r="AY1565" s="44" t="n"/>
    </row>
    <row r="1566" hidden="1" outlineLevel="1" ht="15" customHeight="1" s="15">
      <c r="B1566" s="41" t="n">
        <v>7</v>
      </c>
      <c r="C1566" s="42">
        <f>IF(EMPLOYES!C51="","",EMPLOYES!C51)</f>
        <v/>
      </c>
      <c r="D1566" s="43">
        <f>IF(EMPLOYES!C51="","",EMPLOYES!D51)</f>
        <v/>
      </c>
      <c r="E1566" s="44" t="n"/>
      <c r="F1566" s="42" t="n"/>
      <c r="G1566" s="41">
        <f>IF($C1566="",0,MAX(0,$M1566-$N1566))</f>
        <v/>
      </c>
      <c r="H1566" s="45" t="n"/>
      <c r="I1566" s="41">
        <f>IF($C1566="","",IF(H1566="","OK",IF(H1566&gt;EMPLOYES!P51,"⚠ Avance &gt; salaire",IF(H1566&gt;EMPLOYES!P51*PARAMETRES!$C$218,"⚠ Avance élevée","OK"))))</f>
        <v/>
      </c>
      <c r="J1566" s="45" t="n"/>
      <c r="K1566" s="46" t="n"/>
      <c r="L1566" s="46" t="n"/>
      <c r="M1566" s="41">
        <f>IF($C1566="","",SUMPRODUCT((PARAMETRES!$B$38:$B$157=PARAMETRES!$C$29)*(PARAMETRES!$C$38:$C$157=7)*(IF(EMPLOYES!M51="5j",PARAMETRES!$I$38:$I$157,PARAMETRES!$H$38:$H$157))))</f>
        <v/>
      </c>
      <c r="N1566" s="41">
        <f>IF($C1566="","",SUMPRODUCT((O1566:AS1566="P")+(O1566:AS1566="F")+(O1566:AS1566="C")+0.5*(O1566:AS1566="D"),(1-((O1527:AS1527=6)*(EMPLOYES!M51="5j")))))</f>
        <v/>
      </c>
      <c r="O1566" s="46" t="n"/>
      <c r="P1566" s="46" t="n"/>
      <c r="Q1566" s="46" t="n"/>
      <c r="R1566" s="46" t="n"/>
      <c r="S1566" s="46" t="n"/>
      <c r="T1566" s="46" t="n"/>
      <c r="U1566" s="46" t="n"/>
      <c r="V1566" s="46" t="n"/>
      <c r="W1566" s="46" t="n"/>
      <c r="X1566" s="46" t="n"/>
      <c r="Y1566" s="46" t="n"/>
      <c r="Z1566" s="46" t="n"/>
      <c r="AA1566" s="46" t="n"/>
      <c r="AB1566" s="46" t="n"/>
      <c r="AC1566" s="46" t="n"/>
      <c r="AD1566" s="46" t="n"/>
      <c r="AE1566" s="46" t="n"/>
      <c r="AF1566" s="46" t="n"/>
      <c r="AG1566" s="46" t="n"/>
      <c r="AH1566" s="46" t="n"/>
      <c r="AI1566" s="46" t="n"/>
      <c r="AJ1566" s="46" t="n"/>
      <c r="AK1566" s="46" t="n"/>
      <c r="AL1566" s="46" t="n"/>
      <c r="AM1566" s="46" t="n"/>
      <c r="AN1566" s="46" t="n"/>
      <c r="AO1566" s="46" t="n"/>
      <c r="AP1566" s="46" t="n"/>
      <c r="AQ1566" s="46" t="n"/>
      <c r="AR1566" s="46" t="n"/>
      <c r="AS1566" s="46" t="n"/>
      <c r="AV1566" s="36">
        <f>IF($C1566="","",EMPLOYES!M51)</f>
        <v/>
      </c>
      <c r="AW1566" s="36">
        <f>IF($C1566="",0,SUMPRODUCT(--(O1566:AS1566="C")))</f>
        <v/>
      </c>
      <c r="AX1566" s="36">
        <f>IF($C1566="",0,SUMPRODUCT(--(O1566:AS1566="R")))</f>
        <v/>
      </c>
      <c r="AY1566" s="44" t="n"/>
    </row>
    <row r="1567" hidden="1" outlineLevel="1" ht="15" customHeight="1" s="15">
      <c r="B1567" s="41" t="n">
        <v>7</v>
      </c>
      <c r="C1567" s="42">
        <f>IF(EMPLOYES!C52="","",EMPLOYES!C52)</f>
        <v/>
      </c>
      <c r="D1567" s="43">
        <f>IF(EMPLOYES!C52="","",EMPLOYES!D52)</f>
        <v/>
      </c>
      <c r="E1567" s="44" t="n"/>
      <c r="F1567" s="42" t="n"/>
      <c r="G1567" s="41">
        <f>IF($C1567="",0,MAX(0,$M1567-$N1567))</f>
        <v/>
      </c>
      <c r="H1567" s="45" t="n"/>
      <c r="I1567" s="41">
        <f>IF($C1567="","",IF(H1567="","OK",IF(H1567&gt;EMPLOYES!P52,"⚠ Avance &gt; salaire",IF(H1567&gt;EMPLOYES!P52*PARAMETRES!$C$218,"⚠ Avance élevée","OK"))))</f>
        <v/>
      </c>
      <c r="J1567" s="45" t="n"/>
      <c r="K1567" s="46" t="n"/>
      <c r="L1567" s="46" t="n"/>
      <c r="M1567" s="41">
        <f>IF($C1567="","",SUMPRODUCT((PARAMETRES!$B$38:$B$157=PARAMETRES!$C$29)*(PARAMETRES!$C$38:$C$157=7)*(IF(EMPLOYES!M52="5j",PARAMETRES!$I$38:$I$157,PARAMETRES!$H$38:$H$157))))</f>
        <v/>
      </c>
      <c r="N1567" s="41">
        <f>IF($C1567="","",SUMPRODUCT((O1567:AS1567="P")+(O1567:AS1567="F")+(O1567:AS1567="C")+0.5*(O1567:AS1567="D"),(1-((O1527:AS1527=6)*(EMPLOYES!M52="5j")))))</f>
        <v/>
      </c>
      <c r="O1567" s="46" t="n"/>
      <c r="P1567" s="46" t="n"/>
      <c r="Q1567" s="46" t="n"/>
      <c r="R1567" s="46" t="n"/>
      <c r="S1567" s="46" t="n"/>
      <c r="T1567" s="46" t="n"/>
      <c r="U1567" s="46" t="n"/>
      <c r="V1567" s="46" t="n"/>
      <c r="W1567" s="46" t="n"/>
      <c r="X1567" s="46" t="n"/>
      <c r="Y1567" s="46" t="n"/>
      <c r="Z1567" s="46" t="n"/>
      <c r="AA1567" s="46" t="n"/>
      <c r="AB1567" s="46" t="n"/>
      <c r="AC1567" s="46" t="n"/>
      <c r="AD1567" s="46" t="n"/>
      <c r="AE1567" s="46" t="n"/>
      <c r="AF1567" s="46" t="n"/>
      <c r="AG1567" s="46" t="n"/>
      <c r="AH1567" s="46" t="n"/>
      <c r="AI1567" s="46" t="n"/>
      <c r="AJ1567" s="46" t="n"/>
      <c r="AK1567" s="46" t="n"/>
      <c r="AL1567" s="46" t="n"/>
      <c r="AM1567" s="46" t="n"/>
      <c r="AN1567" s="46" t="n"/>
      <c r="AO1567" s="46" t="n"/>
      <c r="AP1567" s="46" t="n"/>
      <c r="AQ1567" s="46" t="n"/>
      <c r="AR1567" s="46" t="n"/>
      <c r="AS1567" s="46" t="n"/>
      <c r="AV1567" s="36">
        <f>IF($C1567="","",EMPLOYES!M52)</f>
        <v/>
      </c>
      <c r="AW1567" s="36">
        <f>IF($C1567="",0,SUMPRODUCT(--(O1567:AS1567="C")))</f>
        <v/>
      </c>
      <c r="AX1567" s="36">
        <f>IF($C1567="",0,SUMPRODUCT(--(O1567:AS1567="R")))</f>
        <v/>
      </c>
      <c r="AY1567" s="44" t="n"/>
    </row>
    <row r="1568" hidden="1" outlineLevel="1" ht="15" customHeight="1" s="15">
      <c r="B1568" s="41" t="n">
        <v>7</v>
      </c>
      <c r="C1568" s="42">
        <f>IF(EMPLOYES!C53="","",EMPLOYES!C53)</f>
        <v/>
      </c>
      <c r="D1568" s="43">
        <f>IF(EMPLOYES!C53="","",EMPLOYES!D53)</f>
        <v/>
      </c>
      <c r="E1568" s="44" t="n"/>
      <c r="F1568" s="42" t="n"/>
      <c r="G1568" s="41">
        <f>IF($C1568="",0,MAX(0,$M1568-$N1568))</f>
        <v/>
      </c>
      <c r="H1568" s="45" t="n"/>
      <c r="I1568" s="41">
        <f>IF($C1568="","",IF(H1568="","OK",IF(H1568&gt;EMPLOYES!P53,"⚠ Avance &gt; salaire",IF(H1568&gt;EMPLOYES!P53*PARAMETRES!$C$218,"⚠ Avance élevée","OK"))))</f>
        <v/>
      </c>
      <c r="J1568" s="45" t="n"/>
      <c r="K1568" s="46" t="n"/>
      <c r="L1568" s="46" t="n"/>
      <c r="M1568" s="41">
        <f>IF($C1568="","",SUMPRODUCT((PARAMETRES!$B$38:$B$157=PARAMETRES!$C$29)*(PARAMETRES!$C$38:$C$157=7)*(IF(EMPLOYES!M53="5j",PARAMETRES!$I$38:$I$157,PARAMETRES!$H$38:$H$157))))</f>
        <v/>
      </c>
      <c r="N1568" s="41">
        <f>IF($C1568="","",SUMPRODUCT((O1568:AS1568="P")+(O1568:AS1568="F")+(O1568:AS1568="C")+0.5*(O1568:AS1568="D"),(1-((O1527:AS1527=6)*(EMPLOYES!M53="5j")))))</f>
        <v/>
      </c>
      <c r="O1568" s="46" t="n"/>
      <c r="P1568" s="46" t="n"/>
      <c r="Q1568" s="46" t="n"/>
      <c r="R1568" s="46" t="n"/>
      <c r="S1568" s="46" t="n"/>
      <c r="T1568" s="46" t="n"/>
      <c r="U1568" s="46" t="n"/>
      <c r="V1568" s="46" t="n"/>
      <c r="W1568" s="46" t="n"/>
      <c r="X1568" s="46" t="n"/>
      <c r="Y1568" s="46" t="n"/>
      <c r="Z1568" s="46" t="n"/>
      <c r="AA1568" s="46" t="n"/>
      <c r="AB1568" s="46" t="n"/>
      <c r="AC1568" s="46" t="n"/>
      <c r="AD1568" s="46" t="n"/>
      <c r="AE1568" s="46" t="n"/>
      <c r="AF1568" s="46" t="n"/>
      <c r="AG1568" s="46" t="n"/>
      <c r="AH1568" s="46" t="n"/>
      <c r="AI1568" s="46" t="n"/>
      <c r="AJ1568" s="46" t="n"/>
      <c r="AK1568" s="46" t="n"/>
      <c r="AL1568" s="46" t="n"/>
      <c r="AM1568" s="46" t="n"/>
      <c r="AN1568" s="46" t="n"/>
      <c r="AO1568" s="46" t="n"/>
      <c r="AP1568" s="46" t="n"/>
      <c r="AQ1568" s="46" t="n"/>
      <c r="AR1568" s="46" t="n"/>
      <c r="AS1568" s="46" t="n"/>
      <c r="AV1568" s="36">
        <f>IF($C1568="","",EMPLOYES!M53)</f>
        <v/>
      </c>
      <c r="AW1568" s="36">
        <f>IF($C1568="",0,SUMPRODUCT(--(O1568:AS1568="C")))</f>
        <v/>
      </c>
      <c r="AX1568" s="36">
        <f>IF($C1568="",0,SUMPRODUCT(--(O1568:AS1568="R")))</f>
        <v/>
      </c>
      <c r="AY1568" s="44" t="n"/>
    </row>
    <row r="1569" hidden="1" outlineLevel="1" ht="15" customHeight="1" s="15">
      <c r="B1569" s="41" t="n">
        <v>7</v>
      </c>
      <c r="C1569" s="42">
        <f>IF(EMPLOYES!C54="","",EMPLOYES!C54)</f>
        <v/>
      </c>
      <c r="D1569" s="43">
        <f>IF(EMPLOYES!C54="","",EMPLOYES!D54)</f>
        <v/>
      </c>
      <c r="E1569" s="44" t="n"/>
      <c r="F1569" s="42" t="n"/>
      <c r="G1569" s="41">
        <f>IF($C1569="",0,MAX(0,$M1569-$N1569))</f>
        <v/>
      </c>
      <c r="H1569" s="45" t="n"/>
      <c r="I1569" s="41">
        <f>IF($C1569="","",IF(H1569="","OK",IF(H1569&gt;EMPLOYES!P54,"⚠ Avance &gt; salaire",IF(H1569&gt;EMPLOYES!P54*PARAMETRES!$C$218,"⚠ Avance élevée","OK"))))</f>
        <v/>
      </c>
      <c r="J1569" s="45" t="n"/>
      <c r="K1569" s="46" t="n"/>
      <c r="L1569" s="46" t="n"/>
      <c r="M1569" s="41">
        <f>IF($C1569="","",SUMPRODUCT((PARAMETRES!$B$38:$B$157=PARAMETRES!$C$29)*(PARAMETRES!$C$38:$C$157=7)*(IF(EMPLOYES!M54="5j",PARAMETRES!$I$38:$I$157,PARAMETRES!$H$38:$H$157))))</f>
        <v/>
      </c>
      <c r="N1569" s="41">
        <f>IF($C1569="","",SUMPRODUCT((O1569:AS1569="P")+(O1569:AS1569="F")+(O1569:AS1569="C")+0.5*(O1569:AS1569="D"),(1-((O1527:AS1527=6)*(EMPLOYES!M54="5j")))))</f>
        <v/>
      </c>
      <c r="O1569" s="46" t="n"/>
      <c r="P1569" s="46" t="n"/>
      <c r="Q1569" s="46" t="n"/>
      <c r="R1569" s="46" t="n"/>
      <c r="S1569" s="46" t="n"/>
      <c r="T1569" s="46" t="n"/>
      <c r="U1569" s="46" t="n"/>
      <c r="V1569" s="46" t="n"/>
      <c r="W1569" s="46" t="n"/>
      <c r="X1569" s="46" t="n"/>
      <c r="Y1569" s="46" t="n"/>
      <c r="Z1569" s="46" t="n"/>
      <c r="AA1569" s="46" t="n"/>
      <c r="AB1569" s="46" t="n"/>
      <c r="AC1569" s="46" t="n"/>
      <c r="AD1569" s="46" t="n"/>
      <c r="AE1569" s="46" t="n"/>
      <c r="AF1569" s="46" t="n"/>
      <c r="AG1569" s="46" t="n"/>
      <c r="AH1569" s="46" t="n"/>
      <c r="AI1569" s="46" t="n"/>
      <c r="AJ1569" s="46" t="n"/>
      <c r="AK1569" s="46" t="n"/>
      <c r="AL1569" s="46" t="n"/>
      <c r="AM1569" s="46" t="n"/>
      <c r="AN1569" s="46" t="n"/>
      <c r="AO1569" s="46" t="n"/>
      <c r="AP1569" s="46" t="n"/>
      <c r="AQ1569" s="46" t="n"/>
      <c r="AR1569" s="46" t="n"/>
      <c r="AS1569" s="46" t="n"/>
      <c r="AV1569" s="36">
        <f>IF($C1569="","",EMPLOYES!M54)</f>
        <v/>
      </c>
      <c r="AW1569" s="36">
        <f>IF($C1569="",0,SUMPRODUCT(--(O1569:AS1569="C")))</f>
        <v/>
      </c>
      <c r="AX1569" s="36">
        <f>IF($C1569="",0,SUMPRODUCT(--(O1569:AS1569="R")))</f>
        <v/>
      </c>
      <c r="AY1569" s="44" t="n"/>
    </row>
    <row r="1570" hidden="1" outlineLevel="1" ht="15" customHeight="1" s="15">
      <c r="B1570" s="41" t="n">
        <v>7</v>
      </c>
      <c r="C1570" s="42">
        <f>IF(EMPLOYES!C55="","",EMPLOYES!C55)</f>
        <v/>
      </c>
      <c r="D1570" s="43">
        <f>IF(EMPLOYES!C55="","",EMPLOYES!D55)</f>
        <v/>
      </c>
      <c r="E1570" s="44" t="n"/>
      <c r="F1570" s="42" t="n"/>
      <c r="G1570" s="41">
        <f>IF($C1570="",0,MAX(0,$M1570-$N1570))</f>
        <v/>
      </c>
      <c r="H1570" s="45" t="n"/>
      <c r="I1570" s="41">
        <f>IF($C1570="","",IF(H1570="","OK",IF(H1570&gt;EMPLOYES!P55,"⚠ Avance &gt; salaire",IF(H1570&gt;EMPLOYES!P55*PARAMETRES!$C$218,"⚠ Avance élevée","OK"))))</f>
        <v/>
      </c>
      <c r="J1570" s="45" t="n"/>
      <c r="K1570" s="46" t="n"/>
      <c r="L1570" s="46" t="n"/>
      <c r="M1570" s="41">
        <f>IF($C1570="","",SUMPRODUCT((PARAMETRES!$B$38:$B$157=PARAMETRES!$C$29)*(PARAMETRES!$C$38:$C$157=7)*(IF(EMPLOYES!M55="5j",PARAMETRES!$I$38:$I$157,PARAMETRES!$H$38:$H$157))))</f>
        <v/>
      </c>
      <c r="N1570" s="41">
        <f>IF($C1570="","",SUMPRODUCT((O1570:AS1570="P")+(O1570:AS1570="F")+(O1570:AS1570="C")+0.5*(O1570:AS1570="D"),(1-((O1527:AS1527=6)*(EMPLOYES!M55="5j")))))</f>
        <v/>
      </c>
      <c r="O1570" s="46" t="n"/>
      <c r="P1570" s="46" t="n"/>
      <c r="Q1570" s="46" t="n"/>
      <c r="R1570" s="46" t="n"/>
      <c r="S1570" s="46" t="n"/>
      <c r="T1570" s="46" t="n"/>
      <c r="U1570" s="46" t="n"/>
      <c r="V1570" s="46" t="n"/>
      <c r="W1570" s="46" t="n"/>
      <c r="X1570" s="46" t="n"/>
      <c r="Y1570" s="46" t="n"/>
      <c r="Z1570" s="46" t="n"/>
      <c r="AA1570" s="46" t="n"/>
      <c r="AB1570" s="46" t="n"/>
      <c r="AC1570" s="46" t="n"/>
      <c r="AD1570" s="46" t="n"/>
      <c r="AE1570" s="46" t="n"/>
      <c r="AF1570" s="46" t="n"/>
      <c r="AG1570" s="46" t="n"/>
      <c r="AH1570" s="46" t="n"/>
      <c r="AI1570" s="46" t="n"/>
      <c r="AJ1570" s="46" t="n"/>
      <c r="AK1570" s="46" t="n"/>
      <c r="AL1570" s="46" t="n"/>
      <c r="AM1570" s="46" t="n"/>
      <c r="AN1570" s="46" t="n"/>
      <c r="AO1570" s="46" t="n"/>
      <c r="AP1570" s="46" t="n"/>
      <c r="AQ1570" s="46" t="n"/>
      <c r="AR1570" s="46" t="n"/>
      <c r="AS1570" s="46" t="n"/>
      <c r="AV1570" s="36">
        <f>IF($C1570="","",EMPLOYES!M55)</f>
        <v/>
      </c>
      <c r="AW1570" s="36">
        <f>IF($C1570="",0,SUMPRODUCT(--(O1570:AS1570="C")))</f>
        <v/>
      </c>
      <c r="AX1570" s="36">
        <f>IF($C1570="",0,SUMPRODUCT(--(O1570:AS1570="R")))</f>
        <v/>
      </c>
      <c r="AY1570" s="44" t="n"/>
    </row>
    <row r="1571" hidden="1" outlineLevel="1" ht="15" customHeight="1" s="15">
      <c r="B1571" s="41" t="n">
        <v>7</v>
      </c>
      <c r="C1571" s="42">
        <f>IF(EMPLOYES!C56="","",EMPLOYES!C56)</f>
        <v/>
      </c>
      <c r="D1571" s="43">
        <f>IF(EMPLOYES!C56="","",EMPLOYES!D56)</f>
        <v/>
      </c>
      <c r="E1571" s="44" t="n"/>
      <c r="F1571" s="42" t="n"/>
      <c r="G1571" s="41">
        <f>IF($C1571="",0,MAX(0,$M1571-$N1571))</f>
        <v/>
      </c>
      <c r="H1571" s="45" t="n"/>
      <c r="I1571" s="41">
        <f>IF($C1571="","",IF(H1571="","OK",IF(H1571&gt;EMPLOYES!P56,"⚠ Avance &gt; salaire",IF(H1571&gt;EMPLOYES!P56*PARAMETRES!$C$218,"⚠ Avance élevée","OK"))))</f>
        <v/>
      </c>
      <c r="J1571" s="45" t="n"/>
      <c r="K1571" s="46" t="n"/>
      <c r="L1571" s="46" t="n"/>
      <c r="M1571" s="41">
        <f>IF($C1571="","",SUMPRODUCT((PARAMETRES!$B$38:$B$157=PARAMETRES!$C$29)*(PARAMETRES!$C$38:$C$157=7)*(IF(EMPLOYES!M56="5j",PARAMETRES!$I$38:$I$157,PARAMETRES!$H$38:$H$157))))</f>
        <v/>
      </c>
      <c r="N1571" s="41">
        <f>IF($C1571="","",SUMPRODUCT((O1571:AS1571="P")+(O1571:AS1571="F")+(O1571:AS1571="C")+0.5*(O1571:AS1571="D"),(1-((O1527:AS1527=6)*(EMPLOYES!M56="5j")))))</f>
        <v/>
      </c>
      <c r="O1571" s="46" t="n"/>
      <c r="P1571" s="46" t="n"/>
      <c r="Q1571" s="46" t="n"/>
      <c r="R1571" s="46" t="n"/>
      <c r="S1571" s="46" t="n"/>
      <c r="T1571" s="46" t="n"/>
      <c r="U1571" s="46" t="n"/>
      <c r="V1571" s="46" t="n"/>
      <c r="W1571" s="46" t="n"/>
      <c r="X1571" s="46" t="n"/>
      <c r="Y1571" s="46" t="n"/>
      <c r="Z1571" s="46" t="n"/>
      <c r="AA1571" s="46" t="n"/>
      <c r="AB1571" s="46" t="n"/>
      <c r="AC1571" s="46" t="n"/>
      <c r="AD1571" s="46" t="n"/>
      <c r="AE1571" s="46" t="n"/>
      <c r="AF1571" s="46" t="n"/>
      <c r="AG1571" s="46" t="n"/>
      <c r="AH1571" s="46" t="n"/>
      <c r="AI1571" s="46" t="n"/>
      <c r="AJ1571" s="46" t="n"/>
      <c r="AK1571" s="46" t="n"/>
      <c r="AL1571" s="46" t="n"/>
      <c r="AM1571" s="46" t="n"/>
      <c r="AN1571" s="46" t="n"/>
      <c r="AO1571" s="46" t="n"/>
      <c r="AP1571" s="46" t="n"/>
      <c r="AQ1571" s="46" t="n"/>
      <c r="AR1571" s="46" t="n"/>
      <c r="AS1571" s="46" t="n"/>
      <c r="AV1571" s="36">
        <f>IF($C1571="","",EMPLOYES!M56)</f>
        <v/>
      </c>
      <c r="AW1571" s="36">
        <f>IF($C1571="",0,SUMPRODUCT(--(O1571:AS1571="C")))</f>
        <v/>
      </c>
      <c r="AX1571" s="36">
        <f>IF($C1571="",0,SUMPRODUCT(--(O1571:AS1571="R")))</f>
        <v/>
      </c>
      <c r="AY1571" s="44" t="n"/>
    </row>
    <row r="1572" hidden="1" outlineLevel="1" ht="15" customHeight="1" s="15">
      <c r="B1572" s="41" t="n">
        <v>7</v>
      </c>
      <c r="C1572" s="42">
        <f>IF(EMPLOYES!C57="","",EMPLOYES!C57)</f>
        <v/>
      </c>
      <c r="D1572" s="43">
        <f>IF(EMPLOYES!C57="","",EMPLOYES!D57)</f>
        <v/>
      </c>
      <c r="E1572" s="44" t="n"/>
      <c r="F1572" s="42" t="n"/>
      <c r="G1572" s="41">
        <f>IF($C1572="",0,MAX(0,$M1572-$N1572))</f>
        <v/>
      </c>
      <c r="H1572" s="45" t="n"/>
      <c r="I1572" s="41">
        <f>IF($C1572="","",IF(H1572="","OK",IF(H1572&gt;EMPLOYES!P57,"⚠ Avance &gt; salaire",IF(H1572&gt;EMPLOYES!P57*PARAMETRES!$C$218,"⚠ Avance élevée","OK"))))</f>
        <v/>
      </c>
      <c r="J1572" s="45" t="n"/>
      <c r="K1572" s="46" t="n"/>
      <c r="L1572" s="46" t="n"/>
      <c r="M1572" s="41">
        <f>IF($C1572="","",SUMPRODUCT((PARAMETRES!$B$38:$B$157=PARAMETRES!$C$29)*(PARAMETRES!$C$38:$C$157=7)*(IF(EMPLOYES!M57="5j",PARAMETRES!$I$38:$I$157,PARAMETRES!$H$38:$H$157))))</f>
        <v/>
      </c>
      <c r="N1572" s="41">
        <f>IF($C1572="","",SUMPRODUCT((O1572:AS1572="P")+(O1572:AS1572="F")+(O1572:AS1572="C")+0.5*(O1572:AS1572="D"),(1-((O1527:AS1527=6)*(EMPLOYES!M57="5j")))))</f>
        <v/>
      </c>
      <c r="O1572" s="46" t="n"/>
      <c r="P1572" s="46" t="n"/>
      <c r="Q1572" s="46" t="n"/>
      <c r="R1572" s="46" t="n"/>
      <c r="S1572" s="46" t="n"/>
      <c r="T1572" s="46" t="n"/>
      <c r="U1572" s="46" t="n"/>
      <c r="V1572" s="46" t="n"/>
      <c r="W1572" s="46" t="n"/>
      <c r="X1572" s="46" t="n"/>
      <c r="Y1572" s="46" t="n"/>
      <c r="Z1572" s="46" t="n"/>
      <c r="AA1572" s="46" t="n"/>
      <c r="AB1572" s="46" t="n"/>
      <c r="AC1572" s="46" t="n"/>
      <c r="AD1572" s="46" t="n"/>
      <c r="AE1572" s="46" t="n"/>
      <c r="AF1572" s="46" t="n"/>
      <c r="AG1572" s="46" t="n"/>
      <c r="AH1572" s="46" t="n"/>
      <c r="AI1572" s="46" t="n"/>
      <c r="AJ1572" s="46" t="n"/>
      <c r="AK1572" s="46" t="n"/>
      <c r="AL1572" s="46" t="n"/>
      <c r="AM1572" s="46" t="n"/>
      <c r="AN1572" s="46" t="n"/>
      <c r="AO1572" s="46" t="n"/>
      <c r="AP1572" s="46" t="n"/>
      <c r="AQ1572" s="46" t="n"/>
      <c r="AR1572" s="46" t="n"/>
      <c r="AS1572" s="46" t="n"/>
      <c r="AV1572" s="36">
        <f>IF($C1572="","",EMPLOYES!M57)</f>
        <v/>
      </c>
      <c r="AW1572" s="36">
        <f>IF($C1572="",0,SUMPRODUCT(--(O1572:AS1572="C")))</f>
        <v/>
      </c>
      <c r="AX1572" s="36">
        <f>IF($C1572="",0,SUMPRODUCT(--(O1572:AS1572="R")))</f>
        <v/>
      </c>
      <c r="AY1572" s="44" t="n"/>
    </row>
    <row r="1573" hidden="1" outlineLevel="1" ht="15" customHeight="1" s="15">
      <c r="B1573" s="41" t="n">
        <v>7</v>
      </c>
      <c r="C1573" s="42">
        <f>IF(EMPLOYES!C58="","",EMPLOYES!C58)</f>
        <v/>
      </c>
      <c r="D1573" s="43">
        <f>IF(EMPLOYES!C58="","",EMPLOYES!D58)</f>
        <v/>
      </c>
      <c r="E1573" s="44" t="n"/>
      <c r="F1573" s="42" t="n"/>
      <c r="G1573" s="41">
        <f>IF($C1573="",0,MAX(0,$M1573-$N1573))</f>
        <v/>
      </c>
      <c r="H1573" s="45" t="n"/>
      <c r="I1573" s="41">
        <f>IF($C1573="","",IF(H1573="","OK",IF(H1573&gt;EMPLOYES!P58,"⚠ Avance &gt; salaire",IF(H1573&gt;EMPLOYES!P58*PARAMETRES!$C$218,"⚠ Avance élevée","OK"))))</f>
        <v/>
      </c>
      <c r="J1573" s="45" t="n"/>
      <c r="K1573" s="46" t="n"/>
      <c r="L1573" s="46" t="n"/>
      <c r="M1573" s="41">
        <f>IF($C1573="","",SUMPRODUCT((PARAMETRES!$B$38:$B$157=PARAMETRES!$C$29)*(PARAMETRES!$C$38:$C$157=7)*(IF(EMPLOYES!M58="5j",PARAMETRES!$I$38:$I$157,PARAMETRES!$H$38:$H$157))))</f>
        <v/>
      </c>
      <c r="N1573" s="41">
        <f>IF($C1573="","",SUMPRODUCT((O1573:AS1573="P")+(O1573:AS1573="F")+(O1573:AS1573="C")+0.5*(O1573:AS1573="D"),(1-((O1527:AS1527=6)*(EMPLOYES!M58="5j")))))</f>
        <v/>
      </c>
      <c r="O1573" s="46" t="n"/>
      <c r="P1573" s="46" t="n"/>
      <c r="Q1573" s="46" t="n"/>
      <c r="R1573" s="46" t="n"/>
      <c r="S1573" s="46" t="n"/>
      <c r="T1573" s="46" t="n"/>
      <c r="U1573" s="46" t="n"/>
      <c r="V1573" s="46" t="n"/>
      <c r="W1573" s="46" t="n"/>
      <c r="X1573" s="46" t="n"/>
      <c r="Y1573" s="46" t="n"/>
      <c r="Z1573" s="46" t="n"/>
      <c r="AA1573" s="46" t="n"/>
      <c r="AB1573" s="46" t="n"/>
      <c r="AC1573" s="46" t="n"/>
      <c r="AD1573" s="46" t="n"/>
      <c r="AE1573" s="46" t="n"/>
      <c r="AF1573" s="46" t="n"/>
      <c r="AG1573" s="46" t="n"/>
      <c r="AH1573" s="46" t="n"/>
      <c r="AI1573" s="46" t="n"/>
      <c r="AJ1573" s="46" t="n"/>
      <c r="AK1573" s="46" t="n"/>
      <c r="AL1573" s="46" t="n"/>
      <c r="AM1573" s="46" t="n"/>
      <c r="AN1573" s="46" t="n"/>
      <c r="AO1573" s="46" t="n"/>
      <c r="AP1573" s="46" t="n"/>
      <c r="AQ1573" s="46" t="n"/>
      <c r="AR1573" s="46" t="n"/>
      <c r="AS1573" s="46" t="n"/>
      <c r="AV1573" s="36">
        <f>IF($C1573="","",EMPLOYES!M58)</f>
        <v/>
      </c>
      <c r="AW1573" s="36">
        <f>IF($C1573="",0,SUMPRODUCT(--(O1573:AS1573="C")))</f>
        <v/>
      </c>
      <c r="AX1573" s="36">
        <f>IF($C1573="",0,SUMPRODUCT(--(O1573:AS1573="R")))</f>
        <v/>
      </c>
      <c r="AY1573" s="44" t="n"/>
    </row>
    <row r="1574" hidden="1" outlineLevel="1" ht="15" customHeight="1" s="15">
      <c r="B1574" s="41" t="n">
        <v>7</v>
      </c>
      <c r="C1574" s="42">
        <f>IF(EMPLOYES!C59="","",EMPLOYES!C59)</f>
        <v/>
      </c>
      <c r="D1574" s="43">
        <f>IF(EMPLOYES!C59="","",EMPLOYES!D59)</f>
        <v/>
      </c>
      <c r="E1574" s="44" t="n"/>
      <c r="F1574" s="42" t="n"/>
      <c r="G1574" s="41">
        <f>IF($C1574="",0,MAX(0,$M1574-$N1574))</f>
        <v/>
      </c>
      <c r="H1574" s="45" t="n"/>
      <c r="I1574" s="41">
        <f>IF($C1574="","",IF(H1574="","OK",IF(H1574&gt;EMPLOYES!P59,"⚠ Avance &gt; salaire",IF(H1574&gt;EMPLOYES!P59*PARAMETRES!$C$218,"⚠ Avance élevée","OK"))))</f>
        <v/>
      </c>
      <c r="J1574" s="45" t="n"/>
      <c r="K1574" s="46" t="n"/>
      <c r="L1574" s="46" t="n"/>
      <c r="M1574" s="41">
        <f>IF($C1574="","",SUMPRODUCT((PARAMETRES!$B$38:$B$157=PARAMETRES!$C$29)*(PARAMETRES!$C$38:$C$157=7)*(IF(EMPLOYES!M59="5j",PARAMETRES!$I$38:$I$157,PARAMETRES!$H$38:$H$157))))</f>
        <v/>
      </c>
      <c r="N1574" s="41">
        <f>IF($C1574="","",SUMPRODUCT((O1574:AS1574="P")+(O1574:AS1574="F")+(O1574:AS1574="C")+0.5*(O1574:AS1574="D"),(1-((O1527:AS1527=6)*(EMPLOYES!M59="5j")))))</f>
        <v/>
      </c>
      <c r="O1574" s="46" t="n"/>
      <c r="P1574" s="46" t="n"/>
      <c r="Q1574" s="46" t="n"/>
      <c r="R1574" s="46" t="n"/>
      <c r="S1574" s="46" t="n"/>
      <c r="T1574" s="46" t="n"/>
      <c r="U1574" s="46" t="n"/>
      <c r="V1574" s="46" t="n"/>
      <c r="W1574" s="46" t="n"/>
      <c r="X1574" s="46" t="n"/>
      <c r="Y1574" s="46" t="n"/>
      <c r="Z1574" s="46" t="n"/>
      <c r="AA1574" s="46" t="n"/>
      <c r="AB1574" s="46" t="n"/>
      <c r="AC1574" s="46" t="n"/>
      <c r="AD1574" s="46" t="n"/>
      <c r="AE1574" s="46" t="n"/>
      <c r="AF1574" s="46" t="n"/>
      <c r="AG1574" s="46" t="n"/>
      <c r="AH1574" s="46" t="n"/>
      <c r="AI1574" s="46" t="n"/>
      <c r="AJ1574" s="46" t="n"/>
      <c r="AK1574" s="46" t="n"/>
      <c r="AL1574" s="46" t="n"/>
      <c r="AM1574" s="46" t="n"/>
      <c r="AN1574" s="46" t="n"/>
      <c r="AO1574" s="46" t="n"/>
      <c r="AP1574" s="46" t="n"/>
      <c r="AQ1574" s="46" t="n"/>
      <c r="AR1574" s="46" t="n"/>
      <c r="AS1574" s="46" t="n"/>
      <c r="AV1574" s="36">
        <f>IF($C1574="","",EMPLOYES!M59)</f>
        <v/>
      </c>
      <c r="AW1574" s="36">
        <f>IF($C1574="",0,SUMPRODUCT(--(O1574:AS1574="C")))</f>
        <v/>
      </c>
      <c r="AX1574" s="36">
        <f>IF($C1574="",0,SUMPRODUCT(--(O1574:AS1574="R")))</f>
        <v/>
      </c>
      <c r="AY1574" s="44" t="n"/>
    </row>
    <row r="1575" hidden="1" outlineLevel="1" ht="15" customHeight="1" s="15">
      <c r="B1575" s="41" t="n">
        <v>7</v>
      </c>
      <c r="C1575" s="42">
        <f>IF(EMPLOYES!C60="","",EMPLOYES!C60)</f>
        <v/>
      </c>
      <c r="D1575" s="43">
        <f>IF(EMPLOYES!C60="","",EMPLOYES!D60)</f>
        <v/>
      </c>
      <c r="E1575" s="44" t="n"/>
      <c r="F1575" s="42" t="n"/>
      <c r="G1575" s="41">
        <f>IF($C1575="",0,MAX(0,$M1575-$N1575))</f>
        <v/>
      </c>
      <c r="H1575" s="45" t="n"/>
      <c r="I1575" s="41">
        <f>IF($C1575="","",IF(H1575="","OK",IF(H1575&gt;EMPLOYES!P60,"⚠ Avance &gt; salaire",IF(H1575&gt;EMPLOYES!P60*PARAMETRES!$C$218,"⚠ Avance élevée","OK"))))</f>
        <v/>
      </c>
      <c r="J1575" s="45" t="n"/>
      <c r="K1575" s="46" t="n"/>
      <c r="L1575" s="46" t="n"/>
      <c r="M1575" s="41">
        <f>IF($C1575="","",SUMPRODUCT((PARAMETRES!$B$38:$B$157=PARAMETRES!$C$29)*(PARAMETRES!$C$38:$C$157=7)*(IF(EMPLOYES!M60="5j",PARAMETRES!$I$38:$I$157,PARAMETRES!$H$38:$H$157))))</f>
        <v/>
      </c>
      <c r="N1575" s="41">
        <f>IF($C1575="","",SUMPRODUCT((O1575:AS1575="P")+(O1575:AS1575="F")+(O1575:AS1575="C")+0.5*(O1575:AS1575="D"),(1-((O1527:AS1527=6)*(EMPLOYES!M60="5j")))))</f>
        <v/>
      </c>
      <c r="O1575" s="46" t="n"/>
      <c r="P1575" s="46" t="n"/>
      <c r="Q1575" s="46" t="n"/>
      <c r="R1575" s="46" t="n"/>
      <c r="S1575" s="46" t="n"/>
      <c r="T1575" s="46" t="n"/>
      <c r="U1575" s="46" t="n"/>
      <c r="V1575" s="46" t="n"/>
      <c r="W1575" s="46" t="n"/>
      <c r="X1575" s="46" t="n"/>
      <c r="Y1575" s="46" t="n"/>
      <c r="Z1575" s="46" t="n"/>
      <c r="AA1575" s="46" t="n"/>
      <c r="AB1575" s="46" t="n"/>
      <c r="AC1575" s="46" t="n"/>
      <c r="AD1575" s="46" t="n"/>
      <c r="AE1575" s="46" t="n"/>
      <c r="AF1575" s="46" t="n"/>
      <c r="AG1575" s="46" t="n"/>
      <c r="AH1575" s="46" t="n"/>
      <c r="AI1575" s="46" t="n"/>
      <c r="AJ1575" s="46" t="n"/>
      <c r="AK1575" s="46" t="n"/>
      <c r="AL1575" s="46" t="n"/>
      <c r="AM1575" s="46" t="n"/>
      <c r="AN1575" s="46" t="n"/>
      <c r="AO1575" s="46" t="n"/>
      <c r="AP1575" s="46" t="n"/>
      <c r="AQ1575" s="46" t="n"/>
      <c r="AR1575" s="46" t="n"/>
      <c r="AS1575" s="46" t="n"/>
      <c r="AV1575" s="36">
        <f>IF($C1575="","",EMPLOYES!M60)</f>
        <v/>
      </c>
      <c r="AW1575" s="36">
        <f>IF($C1575="",0,SUMPRODUCT(--(O1575:AS1575="C")))</f>
        <v/>
      </c>
      <c r="AX1575" s="36">
        <f>IF($C1575="",0,SUMPRODUCT(--(O1575:AS1575="R")))</f>
        <v/>
      </c>
      <c r="AY1575" s="44" t="n"/>
    </row>
    <row r="1576" hidden="1" outlineLevel="1" ht="15" customHeight="1" s="15">
      <c r="B1576" s="41" t="n">
        <v>7</v>
      </c>
      <c r="C1576" s="42">
        <f>IF(EMPLOYES!C61="","",EMPLOYES!C61)</f>
        <v/>
      </c>
      <c r="D1576" s="43">
        <f>IF(EMPLOYES!C61="","",EMPLOYES!D61)</f>
        <v/>
      </c>
      <c r="E1576" s="44" t="n"/>
      <c r="F1576" s="42" t="n"/>
      <c r="G1576" s="41">
        <f>IF($C1576="",0,MAX(0,$M1576-$N1576))</f>
        <v/>
      </c>
      <c r="H1576" s="45" t="n"/>
      <c r="I1576" s="41">
        <f>IF($C1576="","",IF(H1576="","OK",IF(H1576&gt;EMPLOYES!P61,"⚠ Avance &gt; salaire",IF(H1576&gt;EMPLOYES!P61*PARAMETRES!$C$218,"⚠ Avance élevée","OK"))))</f>
        <v/>
      </c>
      <c r="J1576" s="45" t="n"/>
      <c r="K1576" s="46" t="n"/>
      <c r="L1576" s="46" t="n"/>
      <c r="M1576" s="41">
        <f>IF($C1576="","",SUMPRODUCT((PARAMETRES!$B$38:$B$157=PARAMETRES!$C$29)*(PARAMETRES!$C$38:$C$157=7)*(IF(EMPLOYES!M61="5j",PARAMETRES!$I$38:$I$157,PARAMETRES!$H$38:$H$157))))</f>
        <v/>
      </c>
      <c r="N1576" s="41">
        <f>IF($C1576="","",SUMPRODUCT((O1576:AS1576="P")+(O1576:AS1576="F")+(O1576:AS1576="C")+0.5*(O1576:AS1576="D"),(1-((O1527:AS1527=6)*(EMPLOYES!M61="5j")))))</f>
        <v/>
      </c>
      <c r="O1576" s="46" t="n"/>
      <c r="P1576" s="46" t="n"/>
      <c r="Q1576" s="46" t="n"/>
      <c r="R1576" s="46" t="n"/>
      <c r="S1576" s="46" t="n"/>
      <c r="T1576" s="46" t="n"/>
      <c r="U1576" s="46" t="n"/>
      <c r="V1576" s="46" t="n"/>
      <c r="W1576" s="46" t="n"/>
      <c r="X1576" s="46" t="n"/>
      <c r="Y1576" s="46" t="n"/>
      <c r="Z1576" s="46" t="n"/>
      <c r="AA1576" s="46" t="n"/>
      <c r="AB1576" s="46" t="n"/>
      <c r="AC1576" s="46" t="n"/>
      <c r="AD1576" s="46" t="n"/>
      <c r="AE1576" s="46" t="n"/>
      <c r="AF1576" s="46" t="n"/>
      <c r="AG1576" s="46" t="n"/>
      <c r="AH1576" s="46" t="n"/>
      <c r="AI1576" s="46" t="n"/>
      <c r="AJ1576" s="46" t="n"/>
      <c r="AK1576" s="46" t="n"/>
      <c r="AL1576" s="46" t="n"/>
      <c r="AM1576" s="46" t="n"/>
      <c r="AN1576" s="46" t="n"/>
      <c r="AO1576" s="46" t="n"/>
      <c r="AP1576" s="46" t="n"/>
      <c r="AQ1576" s="46" t="n"/>
      <c r="AR1576" s="46" t="n"/>
      <c r="AS1576" s="46" t="n"/>
      <c r="AV1576" s="36">
        <f>IF($C1576="","",EMPLOYES!M61)</f>
        <v/>
      </c>
      <c r="AW1576" s="36">
        <f>IF($C1576="",0,SUMPRODUCT(--(O1576:AS1576="C")))</f>
        <v/>
      </c>
      <c r="AX1576" s="36">
        <f>IF($C1576="",0,SUMPRODUCT(--(O1576:AS1576="R")))</f>
        <v/>
      </c>
      <c r="AY1576" s="44" t="n"/>
    </row>
    <row r="1577" hidden="1" outlineLevel="1" ht="15" customHeight="1" s="15">
      <c r="B1577" s="41" t="n">
        <v>7</v>
      </c>
      <c r="C1577" s="42">
        <f>IF(EMPLOYES!C62="","",EMPLOYES!C62)</f>
        <v/>
      </c>
      <c r="D1577" s="43">
        <f>IF(EMPLOYES!C62="","",EMPLOYES!D62)</f>
        <v/>
      </c>
      <c r="E1577" s="44" t="n"/>
      <c r="F1577" s="42" t="n"/>
      <c r="G1577" s="41">
        <f>IF($C1577="",0,MAX(0,$M1577-$N1577))</f>
        <v/>
      </c>
      <c r="H1577" s="45" t="n"/>
      <c r="I1577" s="41">
        <f>IF($C1577="","",IF(H1577="","OK",IF(H1577&gt;EMPLOYES!P62,"⚠ Avance &gt; salaire",IF(H1577&gt;EMPLOYES!P62*PARAMETRES!$C$218,"⚠ Avance élevée","OK"))))</f>
        <v/>
      </c>
      <c r="J1577" s="45" t="n"/>
      <c r="K1577" s="46" t="n"/>
      <c r="L1577" s="46" t="n"/>
      <c r="M1577" s="41">
        <f>IF($C1577="","",SUMPRODUCT((PARAMETRES!$B$38:$B$157=PARAMETRES!$C$29)*(PARAMETRES!$C$38:$C$157=7)*(IF(EMPLOYES!M62="5j",PARAMETRES!$I$38:$I$157,PARAMETRES!$H$38:$H$157))))</f>
        <v/>
      </c>
      <c r="N1577" s="41">
        <f>IF($C1577="","",SUMPRODUCT((O1577:AS1577="P")+(O1577:AS1577="F")+(O1577:AS1577="C")+0.5*(O1577:AS1577="D"),(1-((O1527:AS1527=6)*(EMPLOYES!M62="5j")))))</f>
        <v/>
      </c>
      <c r="O1577" s="46" t="n"/>
      <c r="P1577" s="46" t="n"/>
      <c r="Q1577" s="46" t="n"/>
      <c r="R1577" s="46" t="n"/>
      <c r="S1577" s="46" t="n"/>
      <c r="T1577" s="46" t="n"/>
      <c r="U1577" s="46" t="n"/>
      <c r="V1577" s="46" t="n"/>
      <c r="W1577" s="46" t="n"/>
      <c r="X1577" s="46" t="n"/>
      <c r="Y1577" s="46" t="n"/>
      <c r="Z1577" s="46" t="n"/>
      <c r="AA1577" s="46" t="n"/>
      <c r="AB1577" s="46" t="n"/>
      <c r="AC1577" s="46" t="n"/>
      <c r="AD1577" s="46" t="n"/>
      <c r="AE1577" s="46" t="n"/>
      <c r="AF1577" s="46" t="n"/>
      <c r="AG1577" s="46" t="n"/>
      <c r="AH1577" s="46" t="n"/>
      <c r="AI1577" s="46" t="n"/>
      <c r="AJ1577" s="46" t="n"/>
      <c r="AK1577" s="46" t="n"/>
      <c r="AL1577" s="46" t="n"/>
      <c r="AM1577" s="46" t="n"/>
      <c r="AN1577" s="46" t="n"/>
      <c r="AO1577" s="46" t="n"/>
      <c r="AP1577" s="46" t="n"/>
      <c r="AQ1577" s="46" t="n"/>
      <c r="AR1577" s="46" t="n"/>
      <c r="AS1577" s="46" t="n"/>
      <c r="AV1577" s="36">
        <f>IF($C1577="","",EMPLOYES!M62)</f>
        <v/>
      </c>
      <c r="AW1577" s="36">
        <f>IF($C1577="",0,SUMPRODUCT(--(O1577:AS1577="C")))</f>
        <v/>
      </c>
      <c r="AX1577" s="36">
        <f>IF($C1577="",0,SUMPRODUCT(--(O1577:AS1577="R")))</f>
        <v/>
      </c>
      <c r="AY1577" s="44" t="n"/>
    </row>
    <row r="1578" hidden="1" outlineLevel="1" ht="15" customHeight="1" s="15">
      <c r="B1578" s="41" t="n">
        <v>7</v>
      </c>
      <c r="C1578" s="42">
        <f>IF(EMPLOYES!C63="","",EMPLOYES!C63)</f>
        <v/>
      </c>
      <c r="D1578" s="43">
        <f>IF(EMPLOYES!C63="","",EMPLOYES!D63)</f>
        <v/>
      </c>
      <c r="E1578" s="44" t="n"/>
      <c r="F1578" s="42" t="n"/>
      <c r="G1578" s="41">
        <f>IF($C1578="",0,MAX(0,$M1578-$N1578))</f>
        <v/>
      </c>
      <c r="H1578" s="45" t="n"/>
      <c r="I1578" s="41">
        <f>IF($C1578="","",IF(H1578="","OK",IF(H1578&gt;EMPLOYES!P63,"⚠ Avance &gt; salaire",IF(H1578&gt;EMPLOYES!P63*PARAMETRES!$C$218,"⚠ Avance élevée","OK"))))</f>
        <v/>
      </c>
      <c r="J1578" s="45" t="n"/>
      <c r="K1578" s="46" t="n"/>
      <c r="L1578" s="46" t="n"/>
      <c r="M1578" s="41">
        <f>IF($C1578="","",SUMPRODUCT((PARAMETRES!$B$38:$B$157=PARAMETRES!$C$29)*(PARAMETRES!$C$38:$C$157=7)*(IF(EMPLOYES!M63="5j",PARAMETRES!$I$38:$I$157,PARAMETRES!$H$38:$H$157))))</f>
        <v/>
      </c>
      <c r="N1578" s="41">
        <f>IF($C1578="","",SUMPRODUCT((O1578:AS1578="P")+(O1578:AS1578="F")+(O1578:AS1578="C")+0.5*(O1578:AS1578="D"),(1-((O1527:AS1527=6)*(EMPLOYES!M63="5j")))))</f>
        <v/>
      </c>
      <c r="O1578" s="46" t="n"/>
      <c r="P1578" s="46" t="n"/>
      <c r="Q1578" s="46" t="n"/>
      <c r="R1578" s="46" t="n"/>
      <c r="S1578" s="46" t="n"/>
      <c r="T1578" s="46" t="n"/>
      <c r="U1578" s="46" t="n"/>
      <c r="V1578" s="46" t="n"/>
      <c r="W1578" s="46" t="n"/>
      <c r="X1578" s="46" t="n"/>
      <c r="Y1578" s="46" t="n"/>
      <c r="Z1578" s="46" t="n"/>
      <c r="AA1578" s="46" t="n"/>
      <c r="AB1578" s="46" t="n"/>
      <c r="AC1578" s="46" t="n"/>
      <c r="AD1578" s="46" t="n"/>
      <c r="AE1578" s="46" t="n"/>
      <c r="AF1578" s="46" t="n"/>
      <c r="AG1578" s="46" t="n"/>
      <c r="AH1578" s="46" t="n"/>
      <c r="AI1578" s="46" t="n"/>
      <c r="AJ1578" s="46" t="n"/>
      <c r="AK1578" s="46" t="n"/>
      <c r="AL1578" s="46" t="n"/>
      <c r="AM1578" s="46" t="n"/>
      <c r="AN1578" s="46" t="n"/>
      <c r="AO1578" s="46" t="n"/>
      <c r="AP1578" s="46" t="n"/>
      <c r="AQ1578" s="46" t="n"/>
      <c r="AR1578" s="46" t="n"/>
      <c r="AS1578" s="46" t="n"/>
      <c r="AV1578" s="36">
        <f>IF($C1578="","",EMPLOYES!M63)</f>
        <v/>
      </c>
      <c r="AW1578" s="36">
        <f>IF($C1578="",0,SUMPRODUCT(--(O1578:AS1578="C")))</f>
        <v/>
      </c>
      <c r="AX1578" s="36">
        <f>IF($C1578="",0,SUMPRODUCT(--(O1578:AS1578="R")))</f>
        <v/>
      </c>
      <c r="AY1578" s="44" t="n"/>
    </row>
    <row r="1579" hidden="1" outlineLevel="1" ht="15" customHeight="1" s="15">
      <c r="B1579" s="41" t="n">
        <v>7</v>
      </c>
      <c r="C1579" s="42">
        <f>IF(EMPLOYES!C64="","",EMPLOYES!C64)</f>
        <v/>
      </c>
      <c r="D1579" s="43">
        <f>IF(EMPLOYES!C64="","",EMPLOYES!D64)</f>
        <v/>
      </c>
      <c r="E1579" s="44" t="n"/>
      <c r="F1579" s="42" t="n"/>
      <c r="G1579" s="41">
        <f>IF($C1579="",0,MAX(0,$M1579-$N1579))</f>
        <v/>
      </c>
      <c r="H1579" s="45" t="n"/>
      <c r="I1579" s="41">
        <f>IF($C1579="","",IF(H1579="","OK",IF(H1579&gt;EMPLOYES!P64,"⚠ Avance &gt; salaire",IF(H1579&gt;EMPLOYES!P64*PARAMETRES!$C$218,"⚠ Avance élevée","OK"))))</f>
        <v/>
      </c>
      <c r="J1579" s="45" t="n"/>
      <c r="K1579" s="46" t="n"/>
      <c r="L1579" s="46" t="n"/>
      <c r="M1579" s="41">
        <f>IF($C1579="","",SUMPRODUCT((PARAMETRES!$B$38:$B$157=PARAMETRES!$C$29)*(PARAMETRES!$C$38:$C$157=7)*(IF(EMPLOYES!M64="5j",PARAMETRES!$I$38:$I$157,PARAMETRES!$H$38:$H$157))))</f>
        <v/>
      </c>
      <c r="N1579" s="41">
        <f>IF($C1579="","",SUMPRODUCT((O1579:AS1579="P")+(O1579:AS1579="F")+(O1579:AS1579="C")+0.5*(O1579:AS1579="D"),(1-((O1527:AS1527=6)*(EMPLOYES!M64="5j")))))</f>
        <v/>
      </c>
      <c r="O1579" s="46" t="n"/>
      <c r="P1579" s="46" t="n"/>
      <c r="Q1579" s="46" t="n"/>
      <c r="R1579" s="46" t="n"/>
      <c r="S1579" s="46" t="n"/>
      <c r="T1579" s="46" t="n"/>
      <c r="U1579" s="46" t="n"/>
      <c r="V1579" s="46" t="n"/>
      <c r="W1579" s="46" t="n"/>
      <c r="X1579" s="46" t="n"/>
      <c r="Y1579" s="46" t="n"/>
      <c r="Z1579" s="46" t="n"/>
      <c r="AA1579" s="46" t="n"/>
      <c r="AB1579" s="46" t="n"/>
      <c r="AC1579" s="46" t="n"/>
      <c r="AD1579" s="46" t="n"/>
      <c r="AE1579" s="46" t="n"/>
      <c r="AF1579" s="46" t="n"/>
      <c r="AG1579" s="46" t="n"/>
      <c r="AH1579" s="46" t="n"/>
      <c r="AI1579" s="46" t="n"/>
      <c r="AJ1579" s="46" t="n"/>
      <c r="AK1579" s="46" t="n"/>
      <c r="AL1579" s="46" t="n"/>
      <c r="AM1579" s="46" t="n"/>
      <c r="AN1579" s="46" t="n"/>
      <c r="AO1579" s="46" t="n"/>
      <c r="AP1579" s="46" t="n"/>
      <c r="AQ1579" s="46" t="n"/>
      <c r="AR1579" s="46" t="n"/>
      <c r="AS1579" s="46" t="n"/>
      <c r="AV1579" s="36">
        <f>IF($C1579="","",EMPLOYES!M64)</f>
        <v/>
      </c>
      <c r="AW1579" s="36">
        <f>IF($C1579="",0,SUMPRODUCT(--(O1579:AS1579="C")))</f>
        <v/>
      </c>
      <c r="AX1579" s="36">
        <f>IF($C1579="",0,SUMPRODUCT(--(O1579:AS1579="R")))</f>
        <v/>
      </c>
      <c r="AY1579" s="44" t="n"/>
    </row>
    <row r="1580" hidden="1" outlineLevel="1" ht="15" customHeight="1" s="15">
      <c r="B1580" s="41" t="n">
        <v>7</v>
      </c>
      <c r="C1580" s="42">
        <f>IF(EMPLOYES!C65="","",EMPLOYES!C65)</f>
        <v/>
      </c>
      <c r="D1580" s="43">
        <f>IF(EMPLOYES!C65="","",EMPLOYES!D65)</f>
        <v/>
      </c>
      <c r="E1580" s="44" t="n"/>
      <c r="F1580" s="42" t="n"/>
      <c r="G1580" s="41">
        <f>IF($C1580="",0,MAX(0,$M1580-$N1580))</f>
        <v/>
      </c>
      <c r="H1580" s="45" t="n"/>
      <c r="I1580" s="41">
        <f>IF($C1580="","",IF(H1580="","OK",IF(H1580&gt;EMPLOYES!P65,"⚠ Avance &gt; salaire",IF(H1580&gt;EMPLOYES!P65*PARAMETRES!$C$218,"⚠ Avance élevée","OK"))))</f>
        <v/>
      </c>
      <c r="J1580" s="45" t="n"/>
      <c r="K1580" s="46" t="n"/>
      <c r="L1580" s="46" t="n"/>
      <c r="M1580" s="41">
        <f>IF($C1580="","",SUMPRODUCT((PARAMETRES!$B$38:$B$157=PARAMETRES!$C$29)*(PARAMETRES!$C$38:$C$157=7)*(IF(EMPLOYES!M65="5j",PARAMETRES!$I$38:$I$157,PARAMETRES!$H$38:$H$157))))</f>
        <v/>
      </c>
      <c r="N1580" s="41">
        <f>IF($C1580="","",SUMPRODUCT((O1580:AS1580="P")+(O1580:AS1580="F")+(O1580:AS1580="C")+0.5*(O1580:AS1580="D"),(1-((O1527:AS1527=6)*(EMPLOYES!M65="5j")))))</f>
        <v/>
      </c>
      <c r="O1580" s="46" t="n"/>
      <c r="P1580" s="46" t="n"/>
      <c r="Q1580" s="46" t="n"/>
      <c r="R1580" s="46" t="n"/>
      <c r="S1580" s="46" t="n"/>
      <c r="T1580" s="46" t="n"/>
      <c r="U1580" s="46" t="n"/>
      <c r="V1580" s="46" t="n"/>
      <c r="W1580" s="46" t="n"/>
      <c r="X1580" s="46" t="n"/>
      <c r="Y1580" s="46" t="n"/>
      <c r="Z1580" s="46" t="n"/>
      <c r="AA1580" s="46" t="n"/>
      <c r="AB1580" s="46" t="n"/>
      <c r="AC1580" s="46" t="n"/>
      <c r="AD1580" s="46" t="n"/>
      <c r="AE1580" s="46" t="n"/>
      <c r="AF1580" s="46" t="n"/>
      <c r="AG1580" s="46" t="n"/>
      <c r="AH1580" s="46" t="n"/>
      <c r="AI1580" s="46" t="n"/>
      <c r="AJ1580" s="46" t="n"/>
      <c r="AK1580" s="46" t="n"/>
      <c r="AL1580" s="46" t="n"/>
      <c r="AM1580" s="46" t="n"/>
      <c r="AN1580" s="46" t="n"/>
      <c r="AO1580" s="46" t="n"/>
      <c r="AP1580" s="46" t="n"/>
      <c r="AQ1580" s="46" t="n"/>
      <c r="AR1580" s="46" t="n"/>
      <c r="AS1580" s="46" t="n"/>
      <c r="AV1580" s="36">
        <f>IF($C1580="","",EMPLOYES!M65)</f>
        <v/>
      </c>
      <c r="AW1580" s="36">
        <f>IF($C1580="",0,SUMPRODUCT(--(O1580:AS1580="C")))</f>
        <v/>
      </c>
      <c r="AX1580" s="36">
        <f>IF($C1580="",0,SUMPRODUCT(--(O1580:AS1580="R")))</f>
        <v/>
      </c>
      <c r="AY1580" s="44" t="n"/>
    </row>
    <row r="1581" hidden="1" outlineLevel="1" ht="15" customHeight="1" s="15">
      <c r="B1581" s="41" t="n">
        <v>7</v>
      </c>
      <c r="C1581" s="42">
        <f>IF(EMPLOYES!C66="","",EMPLOYES!C66)</f>
        <v/>
      </c>
      <c r="D1581" s="43">
        <f>IF(EMPLOYES!C66="","",EMPLOYES!D66)</f>
        <v/>
      </c>
      <c r="E1581" s="44" t="n"/>
      <c r="F1581" s="42" t="n"/>
      <c r="G1581" s="41">
        <f>IF($C1581="",0,MAX(0,$M1581-$N1581))</f>
        <v/>
      </c>
      <c r="H1581" s="45" t="n"/>
      <c r="I1581" s="41">
        <f>IF($C1581="","",IF(H1581="","OK",IF(H1581&gt;EMPLOYES!P66,"⚠ Avance &gt; salaire",IF(H1581&gt;EMPLOYES!P66*PARAMETRES!$C$218,"⚠ Avance élevée","OK"))))</f>
        <v/>
      </c>
      <c r="J1581" s="45" t="n"/>
      <c r="K1581" s="46" t="n"/>
      <c r="L1581" s="46" t="n"/>
      <c r="M1581" s="41">
        <f>IF($C1581="","",SUMPRODUCT((PARAMETRES!$B$38:$B$157=PARAMETRES!$C$29)*(PARAMETRES!$C$38:$C$157=7)*(IF(EMPLOYES!M66="5j",PARAMETRES!$I$38:$I$157,PARAMETRES!$H$38:$H$157))))</f>
        <v/>
      </c>
      <c r="N1581" s="41">
        <f>IF($C1581="","",SUMPRODUCT((O1581:AS1581="P")+(O1581:AS1581="F")+(O1581:AS1581="C")+0.5*(O1581:AS1581="D"),(1-((O1527:AS1527=6)*(EMPLOYES!M66="5j")))))</f>
        <v/>
      </c>
      <c r="O1581" s="46" t="n"/>
      <c r="P1581" s="46" t="n"/>
      <c r="Q1581" s="46" t="n"/>
      <c r="R1581" s="46" t="n"/>
      <c r="S1581" s="46" t="n"/>
      <c r="T1581" s="46" t="n"/>
      <c r="U1581" s="46" t="n"/>
      <c r="V1581" s="46" t="n"/>
      <c r="W1581" s="46" t="n"/>
      <c r="X1581" s="46" t="n"/>
      <c r="Y1581" s="46" t="n"/>
      <c r="Z1581" s="46" t="n"/>
      <c r="AA1581" s="46" t="n"/>
      <c r="AB1581" s="46" t="n"/>
      <c r="AC1581" s="46" t="n"/>
      <c r="AD1581" s="46" t="n"/>
      <c r="AE1581" s="46" t="n"/>
      <c r="AF1581" s="46" t="n"/>
      <c r="AG1581" s="46" t="n"/>
      <c r="AH1581" s="46" t="n"/>
      <c r="AI1581" s="46" t="n"/>
      <c r="AJ1581" s="46" t="n"/>
      <c r="AK1581" s="46" t="n"/>
      <c r="AL1581" s="46" t="n"/>
      <c r="AM1581" s="46" t="n"/>
      <c r="AN1581" s="46" t="n"/>
      <c r="AO1581" s="46" t="n"/>
      <c r="AP1581" s="46" t="n"/>
      <c r="AQ1581" s="46" t="n"/>
      <c r="AR1581" s="46" t="n"/>
      <c r="AS1581" s="46" t="n"/>
      <c r="AV1581" s="36">
        <f>IF($C1581="","",EMPLOYES!M66)</f>
        <v/>
      </c>
      <c r="AW1581" s="36">
        <f>IF($C1581="",0,SUMPRODUCT(--(O1581:AS1581="C")))</f>
        <v/>
      </c>
      <c r="AX1581" s="36">
        <f>IF($C1581="",0,SUMPRODUCT(--(O1581:AS1581="R")))</f>
        <v/>
      </c>
      <c r="AY1581" s="44" t="n"/>
    </row>
    <row r="1582" hidden="1" outlineLevel="1" ht="15" customHeight="1" s="15">
      <c r="B1582" s="41" t="n">
        <v>7</v>
      </c>
      <c r="C1582" s="42">
        <f>IF(EMPLOYES!C67="","",EMPLOYES!C67)</f>
        <v/>
      </c>
      <c r="D1582" s="43">
        <f>IF(EMPLOYES!C67="","",EMPLOYES!D67)</f>
        <v/>
      </c>
      <c r="E1582" s="44" t="n"/>
      <c r="F1582" s="42" t="n"/>
      <c r="G1582" s="41">
        <f>IF($C1582="",0,MAX(0,$M1582-$N1582))</f>
        <v/>
      </c>
      <c r="H1582" s="45" t="n"/>
      <c r="I1582" s="41">
        <f>IF($C1582="","",IF(H1582="","OK",IF(H1582&gt;EMPLOYES!P67,"⚠ Avance &gt; salaire",IF(H1582&gt;EMPLOYES!P67*PARAMETRES!$C$218,"⚠ Avance élevée","OK"))))</f>
        <v/>
      </c>
      <c r="J1582" s="45" t="n"/>
      <c r="K1582" s="46" t="n"/>
      <c r="L1582" s="46" t="n"/>
      <c r="M1582" s="41">
        <f>IF($C1582="","",SUMPRODUCT((PARAMETRES!$B$38:$B$157=PARAMETRES!$C$29)*(PARAMETRES!$C$38:$C$157=7)*(IF(EMPLOYES!M67="5j",PARAMETRES!$I$38:$I$157,PARAMETRES!$H$38:$H$157))))</f>
        <v/>
      </c>
      <c r="N1582" s="41">
        <f>IF($C1582="","",SUMPRODUCT((O1582:AS1582="P")+(O1582:AS1582="F")+(O1582:AS1582="C")+0.5*(O1582:AS1582="D"),(1-((O1527:AS1527=6)*(EMPLOYES!M67="5j")))))</f>
        <v/>
      </c>
      <c r="O1582" s="46" t="n"/>
      <c r="P1582" s="46" t="n"/>
      <c r="Q1582" s="46" t="n"/>
      <c r="R1582" s="46" t="n"/>
      <c r="S1582" s="46" t="n"/>
      <c r="T1582" s="46" t="n"/>
      <c r="U1582" s="46" t="n"/>
      <c r="V1582" s="46" t="n"/>
      <c r="W1582" s="46" t="n"/>
      <c r="X1582" s="46" t="n"/>
      <c r="Y1582" s="46" t="n"/>
      <c r="Z1582" s="46" t="n"/>
      <c r="AA1582" s="46" t="n"/>
      <c r="AB1582" s="46" t="n"/>
      <c r="AC1582" s="46" t="n"/>
      <c r="AD1582" s="46" t="n"/>
      <c r="AE1582" s="46" t="n"/>
      <c r="AF1582" s="46" t="n"/>
      <c r="AG1582" s="46" t="n"/>
      <c r="AH1582" s="46" t="n"/>
      <c r="AI1582" s="46" t="n"/>
      <c r="AJ1582" s="46" t="n"/>
      <c r="AK1582" s="46" t="n"/>
      <c r="AL1582" s="46" t="n"/>
      <c r="AM1582" s="46" t="n"/>
      <c r="AN1582" s="46" t="n"/>
      <c r="AO1582" s="46" t="n"/>
      <c r="AP1582" s="46" t="n"/>
      <c r="AQ1582" s="46" t="n"/>
      <c r="AR1582" s="46" t="n"/>
      <c r="AS1582" s="46" t="n"/>
      <c r="AV1582" s="36">
        <f>IF($C1582="","",EMPLOYES!M67)</f>
        <v/>
      </c>
      <c r="AW1582" s="36">
        <f>IF($C1582="",0,SUMPRODUCT(--(O1582:AS1582="C")))</f>
        <v/>
      </c>
      <c r="AX1582" s="36">
        <f>IF($C1582="",0,SUMPRODUCT(--(O1582:AS1582="R")))</f>
        <v/>
      </c>
      <c r="AY1582" s="44" t="n"/>
    </row>
    <row r="1583" hidden="1" outlineLevel="1" ht="15" customHeight="1" s="15">
      <c r="B1583" s="41" t="n">
        <v>7</v>
      </c>
      <c r="C1583" s="42">
        <f>IF(EMPLOYES!C68="","",EMPLOYES!C68)</f>
        <v/>
      </c>
      <c r="D1583" s="43">
        <f>IF(EMPLOYES!C68="","",EMPLOYES!D68)</f>
        <v/>
      </c>
      <c r="E1583" s="44" t="n"/>
      <c r="F1583" s="42" t="n"/>
      <c r="G1583" s="41">
        <f>IF($C1583="",0,MAX(0,$M1583-$N1583))</f>
        <v/>
      </c>
      <c r="H1583" s="45" t="n"/>
      <c r="I1583" s="41">
        <f>IF($C1583="","",IF(H1583="","OK",IF(H1583&gt;EMPLOYES!P68,"⚠ Avance &gt; salaire",IF(H1583&gt;EMPLOYES!P68*PARAMETRES!$C$218,"⚠ Avance élevée","OK"))))</f>
        <v/>
      </c>
      <c r="J1583" s="45" t="n"/>
      <c r="K1583" s="46" t="n"/>
      <c r="L1583" s="46" t="n"/>
      <c r="M1583" s="41">
        <f>IF($C1583="","",SUMPRODUCT((PARAMETRES!$B$38:$B$157=PARAMETRES!$C$29)*(PARAMETRES!$C$38:$C$157=7)*(IF(EMPLOYES!M68="5j",PARAMETRES!$I$38:$I$157,PARAMETRES!$H$38:$H$157))))</f>
        <v/>
      </c>
      <c r="N1583" s="41">
        <f>IF($C1583="","",SUMPRODUCT((O1583:AS1583="P")+(O1583:AS1583="F")+(O1583:AS1583="C")+0.5*(O1583:AS1583="D"),(1-((O1527:AS1527=6)*(EMPLOYES!M68="5j")))))</f>
        <v/>
      </c>
      <c r="O1583" s="46" t="n"/>
      <c r="P1583" s="46" t="n"/>
      <c r="Q1583" s="46" t="n"/>
      <c r="R1583" s="46" t="n"/>
      <c r="S1583" s="46" t="n"/>
      <c r="T1583" s="46" t="n"/>
      <c r="U1583" s="46" t="n"/>
      <c r="V1583" s="46" t="n"/>
      <c r="W1583" s="46" t="n"/>
      <c r="X1583" s="46" t="n"/>
      <c r="Y1583" s="46" t="n"/>
      <c r="Z1583" s="46" t="n"/>
      <c r="AA1583" s="46" t="n"/>
      <c r="AB1583" s="46" t="n"/>
      <c r="AC1583" s="46" t="n"/>
      <c r="AD1583" s="46" t="n"/>
      <c r="AE1583" s="46" t="n"/>
      <c r="AF1583" s="46" t="n"/>
      <c r="AG1583" s="46" t="n"/>
      <c r="AH1583" s="46" t="n"/>
      <c r="AI1583" s="46" t="n"/>
      <c r="AJ1583" s="46" t="n"/>
      <c r="AK1583" s="46" t="n"/>
      <c r="AL1583" s="46" t="n"/>
      <c r="AM1583" s="46" t="n"/>
      <c r="AN1583" s="46" t="n"/>
      <c r="AO1583" s="46" t="n"/>
      <c r="AP1583" s="46" t="n"/>
      <c r="AQ1583" s="46" t="n"/>
      <c r="AR1583" s="46" t="n"/>
      <c r="AS1583" s="46" t="n"/>
      <c r="AV1583" s="36">
        <f>IF($C1583="","",EMPLOYES!M68)</f>
        <v/>
      </c>
      <c r="AW1583" s="36">
        <f>IF($C1583="",0,SUMPRODUCT(--(O1583:AS1583="C")))</f>
        <v/>
      </c>
      <c r="AX1583" s="36">
        <f>IF($C1583="",0,SUMPRODUCT(--(O1583:AS1583="R")))</f>
        <v/>
      </c>
      <c r="AY1583" s="44" t="n"/>
    </row>
    <row r="1584" hidden="1" outlineLevel="1" ht="15" customHeight="1" s="15">
      <c r="B1584" s="41" t="n">
        <v>7</v>
      </c>
      <c r="C1584" s="42">
        <f>IF(EMPLOYES!C69="","",EMPLOYES!C69)</f>
        <v/>
      </c>
      <c r="D1584" s="43">
        <f>IF(EMPLOYES!C69="","",EMPLOYES!D69)</f>
        <v/>
      </c>
      <c r="E1584" s="44" t="n"/>
      <c r="F1584" s="42" t="n"/>
      <c r="G1584" s="41">
        <f>IF($C1584="",0,MAX(0,$M1584-$N1584))</f>
        <v/>
      </c>
      <c r="H1584" s="45" t="n"/>
      <c r="I1584" s="41">
        <f>IF($C1584="","",IF(H1584="","OK",IF(H1584&gt;EMPLOYES!P69,"⚠ Avance &gt; salaire",IF(H1584&gt;EMPLOYES!P69*PARAMETRES!$C$218,"⚠ Avance élevée","OK"))))</f>
        <v/>
      </c>
      <c r="J1584" s="45" t="n"/>
      <c r="K1584" s="46" t="n"/>
      <c r="L1584" s="46" t="n"/>
      <c r="M1584" s="41">
        <f>IF($C1584="","",SUMPRODUCT((PARAMETRES!$B$38:$B$157=PARAMETRES!$C$29)*(PARAMETRES!$C$38:$C$157=7)*(IF(EMPLOYES!M69="5j",PARAMETRES!$I$38:$I$157,PARAMETRES!$H$38:$H$157))))</f>
        <v/>
      </c>
      <c r="N1584" s="41">
        <f>IF($C1584="","",SUMPRODUCT((O1584:AS1584="P")+(O1584:AS1584="F")+(O1584:AS1584="C")+0.5*(O1584:AS1584="D"),(1-((O1527:AS1527=6)*(EMPLOYES!M69="5j")))))</f>
        <v/>
      </c>
      <c r="O1584" s="46" t="n"/>
      <c r="P1584" s="46" t="n"/>
      <c r="Q1584" s="46" t="n"/>
      <c r="R1584" s="46" t="n"/>
      <c r="S1584" s="46" t="n"/>
      <c r="T1584" s="46" t="n"/>
      <c r="U1584" s="46" t="n"/>
      <c r="V1584" s="46" t="n"/>
      <c r="W1584" s="46" t="n"/>
      <c r="X1584" s="46" t="n"/>
      <c r="Y1584" s="46" t="n"/>
      <c r="Z1584" s="46" t="n"/>
      <c r="AA1584" s="46" t="n"/>
      <c r="AB1584" s="46" t="n"/>
      <c r="AC1584" s="46" t="n"/>
      <c r="AD1584" s="46" t="n"/>
      <c r="AE1584" s="46" t="n"/>
      <c r="AF1584" s="46" t="n"/>
      <c r="AG1584" s="46" t="n"/>
      <c r="AH1584" s="46" t="n"/>
      <c r="AI1584" s="46" t="n"/>
      <c r="AJ1584" s="46" t="n"/>
      <c r="AK1584" s="46" t="n"/>
      <c r="AL1584" s="46" t="n"/>
      <c r="AM1584" s="46" t="n"/>
      <c r="AN1584" s="46" t="n"/>
      <c r="AO1584" s="46" t="n"/>
      <c r="AP1584" s="46" t="n"/>
      <c r="AQ1584" s="46" t="n"/>
      <c r="AR1584" s="46" t="n"/>
      <c r="AS1584" s="46" t="n"/>
      <c r="AV1584" s="36">
        <f>IF($C1584="","",EMPLOYES!M69)</f>
        <v/>
      </c>
      <c r="AW1584" s="36">
        <f>IF($C1584="",0,SUMPRODUCT(--(O1584:AS1584="C")))</f>
        <v/>
      </c>
      <c r="AX1584" s="36">
        <f>IF($C1584="",0,SUMPRODUCT(--(O1584:AS1584="R")))</f>
        <v/>
      </c>
      <c r="AY1584" s="44" t="n"/>
    </row>
    <row r="1585" hidden="1" outlineLevel="1" ht="15" customHeight="1" s="15">
      <c r="B1585" s="41" t="n">
        <v>7</v>
      </c>
      <c r="C1585" s="42">
        <f>IF(EMPLOYES!C70="","",EMPLOYES!C70)</f>
        <v/>
      </c>
      <c r="D1585" s="43">
        <f>IF(EMPLOYES!C70="","",EMPLOYES!D70)</f>
        <v/>
      </c>
      <c r="E1585" s="44" t="n"/>
      <c r="F1585" s="42" t="n"/>
      <c r="G1585" s="41">
        <f>IF($C1585="",0,MAX(0,$M1585-$N1585))</f>
        <v/>
      </c>
      <c r="H1585" s="45" t="n"/>
      <c r="I1585" s="41">
        <f>IF($C1585="","",IF(H1585="","OK",IF(H1585&gt;EMPLOYES!P70,"⚠ Avance &gt; salaire",IF(H1585&gt;EMPLOYES!P70*PARAMETRES!$C$218,"⚠ Avance élevée","OK"))))</f>
        <v/>
      </c>
      <c r="J1585" s="45" t="n"/>
      <c r="K1585" s="46" t="n"/>
      <c r="L1585" s="46" t="n"/>
      <c r="M1585" s="41">
        <f>IF($C1585="","",SUMPRODUCT((PARAMETRES!$B$38:$B$157=PARAMETRES!$C$29)*(PARAMETRES!$C$38:$C$157=7)*(IF(EMPLOYES!M70="5j",PARAMETRES!$I$38:$I$157,PARAMETRES!$H$38:$H$157))))</f>
        <v/>
      </c>
      <c r="N1585" s="41">
        <f>IF($C1585="","",SUMPRODUCT((O1585:AS1585="P")+(O1585:AS1585="F")+(O1585:AS1585="C")+0.5*(O1585:AS1585="D"),(1-((O1527:AS1527=6)*(EMPLOYES!M70="5j")))))</f>
        <v/>
      </c>
      <c r="O1585" s="46" t="n"/>
      <c r="P1585" s="46" t="n"/>
      <c r="Q1585" s="46" t="n"/>
      <c r="R1585" s="46" t="n"/>
      <c r="S1585" s="46" t="n"/>
      <c r="T1585" s="46" t="n"/>
      <c r="U1585" s="46" t="n"/>
      <c r="V1585" s="46" t="n"/>
      <c r="W1585" s="46" t="n"/>
      <c r="X1585" s="46" t="n"/>
      <c r="Y1585" s="46" t="n"/>
      <c r="Z1585" s="46" t="n"/>
      <c r="AA1585" s="46" t="n"/>
      <c r="AB1585" s="46" t="n"/>
      <c r="AC1585" s="46" t="n"/>
      <c r="AD1585" s="46" t="n"/>
      <c r="AE1585" s="46" t="n"/>
      <c r="AF1585" s="46" t="n"/>
      <c r="AG1585" s="46" t="n"/>
      <c r="AH1585" s="46" t="n"/>
      <c r="AI1585" s="46" t="n"/>
      <c r="AJ1585" s="46" t="n"/>
      <c r="AK1585" s="46" t="n"/>
      <c r="AL1585" s="46" t="n"/>
      <c r="AM1585" s="46" t="n"/>
      <c r="AN1585" s="46" t="n"/>
      <c r="AO1585" s="46" t="n"/>
      <c r="AP1585" s="46" t="n"/>
      <c r="AQ1585" s="46" t="n"/>
      <c r="AR1585" s="46" t="n"/>
      <c r="AS1585" s="46" t="n"/>
      <c r="AV1585" s="36">
        <f>IF($C1585="","",EMPLOYES!M70)</f>
        <v/>
      </c>
      <c r="AW1585" s="36">
        <f>IF($C1585="",0,SUMPRODUCT(--(O1585:AS1585="C")))</f>
        <v/>
      </c>
      <c r="AX1585" s="36">
        <f>IF($C1585="",0,SUMPRODUCT(--(O1585:AS1585="R")))</f>
        <v/>
      </c>
      <c r="AY1585" s="44" t="n"/>
    </row>
    <row r="1586" hidden="1" outlineLevel="1" ht="15" customHeight="1" s="15">
      <c r="B1586" s="41" t="n">
        <v>7</v>
      </c>
      <c r="C1586" s="42">
        <f>IF(EMPLOYES!C71="","",EMPLOYES!C71)</f>
        <v/>
      </c>
      <c r="D1586" s="43">
        <f>IF(EMPLOYES!C71="","",EMPLOYES!D71)</f>
        <v/>
      </c>
      <c r="E1586" s="44" t="n"/>
      <c r="F1586" s="42" t="n"/>
      <c r="G1586" s="41">
        <f>IF($C1586="",0,MAX(0,$M1586-$N1586))</f>
        <v/>
      </c>
      <c r="H1586" s="45" t="n"/>
      <c r="I1586" s="41">
        <f>IF($C1586="","",IF(H1586="","OK",IF(H1586&gt;EMPLOYES!P71,"⚠ Avance &gt; salaire",IF(H1586&gt;EMPLOYES!P71*PARAMETRES!$C$218,"⚠ Avance élevée","OK"))))</f>
        <v/>
      </c>
      <c r="J1586" s="45" t="n"/>
      <c r="K1586" s="46" t="n"/>
      <c r="L1586" s="46" t="n"/>
      <c r="M1586" s="41">
        <f>IF($C1586="","",SUMPRODUCT((PARAMETRES!$B$38:$B$157=PARAMETRES!$C$29)*(PARAMETRES!$C$38:$C$157=7)*(IF(EMPLOYES!M71="5j",PARAMETRES!$I$38:$I$157,PARAMETRES!$H$38:$H$157))))</f>
        <v/>
      </c>
      <c r="N1586" s="41">
        <f>IF($C1586="","",SUMPRODUCT((O1586:AS1586="P")+(O1586:AS1586="F")+(O1586:AS1586="C")+0.5*(O1586:AS1586="D"),(1-((O1527:AS1527=6)*(EMPLOYES!M71="5j")))))</f>
        <v/>
      </c>
      <c r="O1586" s="46" t="n"/>
      <c r="P1586" s="46" t="n"/>
      <c r="Q1586" s="46" t="n"/>
      <c r="R1586" s="46" t="n"/>
      <c r="S1586" s="46" t="n"/>
      <c r="T1586" s="46" t="n"/>
      <c r="U1586" s="46" t="n"/>
      <c r="V1586" s="46" t="n"/>
      <c r="W1586" s="46" t="n"/>
      <c r="X1586" s="46" t="n"/>
      <c r="Y1586" s="46" t="n"/>
      <c r="Z1586" s="46" t="n"/>
      <c r="AA1586" s="46" t="n"/>
      <c r="AB1586" s="46" t="n"/>
      <c r="AC1586" s="46" t="n"/>
      <c r="AD1586" s="46" t="n"/>
      <c r="AE1586" s="46" t="n"/>
      <c r="AF1586" s="46" t="n"/>
      <c r="AG1586" s="46" t="n"/>
      <c r="AH1586" s="46" t="n"/>
      <c r="AI1586" s="46" t="n"/>
      <c r="AJ1586" s="46" t="n"/>
      <c r="AK1586" s="46" t="n"/>
      <c r="AL1586" s="46" t="n"/>
      <c r="AM1586" s="46" t="n"/>
      <c r="AN1586" s="46" t="n"/>
      <c r="AO1586" s="46" t="n"/>
      <c r="AP1586" s="46" t="n"/>
      <c r="AQ1586" s="46" t="n"/>
      <c r="AR1586" s="46" t="n"/>
      <c r="AS1586" s="46" t="n"/>
      <c r="AV1586" s="36">
        <f>IF($C1586="","",EMPLOYES!M71)</f>
        <v/>
      </c>
      <c r="AW1586" s="36">
        <f>IF($C1586="",0,SUMPRODUCT(--(O1586:AS1586="C")))</f>
        <v/>
      </c>
      <c r="AX1586" s="36">
        <f>IF($C1586="",0,SUMPRODUCT(--(O1586:AS1586="R")))</f>
        <v/>
      </c>
      <c r="AY1586" s="44" t="n"/>
    </row>
    <row r="1587" hidden="1" outlineLevel="1" ht="15" customHeight="1" s="15">
      <c r="B1587" s="41" t="n">
        <v>7</v>
      </c>
      <c r="C1587" s="42">
        <f>IF(EMPLOYES!C72="","",EMPLOYES!C72)</f>
        <v/>
      </c>
      <c r="D1587" s="43">
        <f>IF(EMPLOYES!C72="","",EMPLOYES!D72)</f>
        <v/>
      </c>
      <c r="E1587" s="44" t="n"/>
      <c r="F1587" s="42" t="n"/>
      <c r="G1587" s="41">
        <f>IF($C1587="",0,MAX(0,$M1587-$N1587))</f>
        <v/>
      </c>
      <c r="H1587" s="45" t="n"/>
      <c r="I1587" s="41">
        <f>IF($C1587="","",IF(H1587="","OK",IF(H1587&gt;EMPLOYES!P72,"⚠ Avance &gt; salaire",IF(H1587&gt;EMPLOYES!P72*PARAMETRES!$C$218,"⚠ Avance élevée","OK"))))</f>
        <v/>
      </c>
      <c r="J1587" s="45" t="n"/>
      <c r="K1587" s="46" t="n"/>
      <c r="L1587" s="46" t="n"/>
      <c r="M1587" s="41">
        <f>IF($C1587="","",SUMPRODUCT((PARAMETRES!$B$38:$B$157=PARAMETRES!$C$29)*(PARAMETRES!$C$38:$C$157=7)*(IF(EMPLOYES!M72="5j",PARAMETRES!$I$38:$I$157,PARAMETRES!$H$38:$H$157))))</f>
        <v/>
      </c>
      <c r="N1587" s="41">
        <f>IF($C1587="","",SUMPRODUCT((O1587:AS1587="P")+(O1587:AS1587="F")+(O1587:AS1587="C")+0.5*(O1587:AS1587="D"),(1-((O1527:AS1527=6)*(EMPLOYES!M72="5j")))))</f>
        <v/>
      </c>
      <c r="O1587" s="46" t="n"/>
      <c r="P1587" s="46" t="n"/>
      <c r="Q1587" s="46" t="n"/>
      <c r="R1587" s="46" t="n"/>
      <c r="S1587" s="46" t="n"/>
      <c r="T1587" s="46" t="n"/>
      <c r="U1587" s="46" t="n"/>
      <c r="V1587" s="46" t="n"/>
      <c r="W1587" s="46" t="n"/>
      <c r="X1587" s="46" t="n"/>
      <c r="Y1587" s="46" t="n"/>
      <c r="Z1587" s="46" t="n"/>
      <c r="AA1587" s="46" t="n"/>
      <c r="AB1587" s="46" t="n"/>
      <c r="AC1587" s="46" t="n"/>
      <c r="AD1587" s="46" t="n"/>
      <c r="AE1587" s="46" t="n"/>
      <c r="AF1587" s="46" t="n"/>
      <c r="AG1587" s="46" t="n"/>
      <c r="AH1587" s="46" t="n"/>
      <c r="AI1587" s="46" t="n"/>
      <c r="AJ1587" s="46" t="n"/>
      <c r="AK1587" s="46" t="n"/>
      <c r="AL1587" s="46" t="n"/>
      <c r="AM1587" s="46" t="n"/>
      <c r="AN1587" s="46" t="n"/>
      <c r="AO1587" s="46" t="n"/>
      <c r="AP1587" s="46" t="n"/>
      <c r="AQ1587" s="46" t="n"/>
      <c r="AR1587" s="46" t="n"/>
      <c r="AS1587" s="46" t="n"/>
      <c r="AV1587" s="36">
        <f>IF($C1587="","",EMPLOYES!M72)</f>
        <v/>
      </c>
      <c r="AW1587" s="36">
        <f>IF($C1587="",0,SUMPRODUCT(--(O1587:AS1587="C")))</f>
        <v/>
      </c>
      <c r="AX1587" s="36">
        <f>IF($C1587="",0,SUMPRODUCT(--(O1587:AS1587="R")))</f>
        <v/>
      </c>
      <c r="AY1587" s="44" t="n"/>
    </row>
    <row r="1588" hidden="1" outlineLevel="1" ht="15" customHeight="1" s="15">
      <c r="B1588" s="41" t="n">
        <v>7</v>
      </c>
      <c r="C1588" s="42">
        <f>IF(EMPLOYES!C73="","",EMPLOYES!C73)</f>
        <v/>
      </c>
      <c r="D1588" s="43">
        <f>IF(EMPLOYES!C73="","",EMPLOYES!D73)</f>
        <v/>
      </c>
      <c r="E1588" s="44" t="n"/>
      <c r="F1588" s="42" t="n"/>
      <c r="G1588" s="41">
        <f>IF($C1588="",0,MAX(0,$M1588-$N1588))</f>
        <v/>
      </c>
      <c r="H1588" s="45" t="n"/>
      <c r="I1588" s="41">
        <f>IF($C1588="","",IF(H1588="","OK",IF(H1588&gt;EMPLOYES!P73,"⚠ Avance &gt; salaire",IF(H1588&gt;EMPLOYES!P73*PARAMETRES!$C$218,"⚠ Avance élevée","OK"))))</f>
        <v/>
      </c>
      <c r="J1588" s="45" t="n"/>
      <c r="K1588" s="46" t="n"/>
      <c r="L1588" s="46" t="n"/>
      <c r="M1588" s="41">
        <f>IF($C1588="","",SUMPRODUCT((PARAMETRES!$B$38:$B$157=PARAMETRES!$C$29)*(PARAMETRES!$C$38:$C$157=7)*(IF(EMPLOYES!M73="5j",PARAMETRES!$I$38:$I$157,PARAMETRES!$H$38:$H$157))))</f>
        <v/>
      </c>
      <c r="N1588" s="41">
        <f>IF($C1588="","",SUMPRODUCT((O1588:AS1588="P")+(O1588:AS1588="F")+(O1588:AS1588="C")+0.5*(O1588:AS1588="D"),(1-((O1527:AS1527=6)*(EMPLOYES!M73="5j")))))</f>
        <v/>
      </c>
      <c r="O1588" s="46" t="n"/>
      <c r="P1588" s="46" t="n"/>
      <c r="Q1588" s="46" t="n"/>
      <c r="R1588" s="46" t="n"/>
      <c r="S1588" s="46" t="n"/>
      <c r="T1588" s="46" t="n"/>
      <c r="U1588" s="46" t="n"/>
      <c r="V1588" s="46" t="n"/>
      <c r="W1588" s="46" t="n"/>
      <c r="X1588" s="46" t="n"/>
      <c r="Y1588" s="46" t="n"/>
      <c r="Z1588" s="46" t="n"/>
      <c r="AA1588" s="46" t="n"/>
      <c r="AB1588" s="46" t="n"/>
      <c r="AC1588" s="46" t="n"/>
      <c r="AD1588" s="46" t="n"/>
      <c r="AE1588" s="46" t="n"/>
      <c r="AF1588" s="46" t="n"/>
      <c r="AG1588" s="46" t="n"/>
      <c r="AH1588" s="46" t="n"/>
      <c r="AI1588" s="46" t="n"/>
      <c r="AJ1588" s="46" t="n"/>
      <c r="AK1588" s="46" t="n"/>
      <c r="AL1588" s="46" t="n"/>
      <c r="AM1588" s="46" t="n"/>
      <c r="AN1588" s="46" t="n"/>
      <c r="AO1588" s="46" t="n"/>
      <c r="AP1588" s="46" t="n"/>
      <c r="AQ1588" s="46" t="n"/>
      <c r="AR1588" s="46" t="n"/>
      <c r="AS1588" s="46" t="n"/>
      <c r="AV1588" s="36">
        <f>IF($C1588="","",EMPLOYES!M73)</f>
        <v/>
      </c>
      <c r="AW1588" s="36">
        <f>IF($C1588="",0,SUMPRODUCT(--(O1588:AS1588="C")))</f>
        <v/>
      </c>
      <c r="AX1588" s="36">
        <f>IF($C1588="",0,SUMPRODUCT(--(O1588:AS1588="R")))</f>
        <v/>
      </c>
      <c r="AY1588" s="44" t="n"/>
    </row>
    <row r="1589" hidden="1" outlineLevel="1" ht="15" customHeight="1" s="15">
      <c r="B1589" s="41" t="n">
        <v>7</v>
      </c>
      <c r="C1589" s="42">
        <f>IF(EMPLOYES!C74="","",EMPLOYES!C74)</f>
        <v/>
      </c>
      <c r="D1589" s="43">
        <f>IF(EMPLOYES!C74="","",EMPLOYES!D74)</f>
        <v/>
      </c>
      <c r="E1589" s="44" t="n"/>
      <c r="F1589" s="42" t="n"/>
      <c r="G1589" s="41">
        <f>IF($C1589="",0,MAX(0,$M1589-$N1589))</f>
        <v/>
      </c>
      <c r="H1589" s="45" t="n"/>
      <c r="I1589" s="41">
        <f>IF($C1589="","",IF(H1589="","OK",IF(H1589&gt;EMPLOYES!P74,"⚠ Avance &gt; salaire",IF(H1589&gt;EMPLOYES!P74*PARAMETRES!$C$218,"⚠ Avance élevée","OK"))))</f>
        <v/>
      </c>
      <c r="J1589" s="45" t="n"/>
      <c r="K1589" s="46" t="n"/>
      <c r="L1589" s="46" t="n"/>
      <c r="M1589" s="41">
        <f>IF($C1589="","",SUMPRODUCT((PARAMETRES!$B$38:$B$157=PARAMETRES!$C$29)*(PARAMETRES!$C$38:$C$157=7)*(IF(EMPLOYES!M74="5j",PARAMETRES!$I$38:$I$157,PARAMETRES!$H$38:$H$157))))</f>
        <v/>
      </c>
      <c r="N1589" s="41">
        <f>IF($C1589="","",SUMPRODUCT((O1589:AS1589="P")+(O1589:AS1589="F")+(O1589:AS1589="C")+0.5*(O1589:AS1589="D"),(1-((O1527:AS1527=6)*(EMPLOYES!M74="5j")))))</f>
        <v/>
      </c>
      <c r="O1589" s="46" t="n"/>
      <c r="P1589" s="46" t="n"/>
      <c r="Q1589" s="46" t="n"/>
      <c r="R1589" s="46" t="n"/>
      <c r="S1589" s="46" t="n"/>
      <c r="T1589" s="46" t="n"/>
      <c r="U1589" s="46" t="n"/>
      <c r="V1589" s="46" t="n"/>
      <c r="W1589" s="46" t="n"/>
      <c r="X1589" s="46" t="n"/>
      <c r="Y1589" s="46" t="n"/>
      <c r="Z1589" s="46" t="n"/>
      <c r="AA1589" s="46" t="n"/>
      <c r="AB1589" s="46" t="n"/>
      <c r="AC1589" s="46" t="n"/>
      <c r="AD1589" s="46" t="n"/>
      <c r="AE1589" s="46" t="n"/>
      <c r="AF1589" s="46" t="n"/>
      <c r="AG1589" s="46" t="n"/>
      <c r="AH1589" s="46" t="n"/>
      <c r="AI1589" s="46" t="n"/>
      <c r="AJ1589" s="46" t="n"/>
      <c r="AK1589" s="46" t="n"/>
      <c r="AL1589" s="46" t="n"/>
      <c r="AM1589" s="46" t="n"/>
      <c r="AN1589" s="46" t="n"/>
      <c r="AO1589" s="46" t="n"/>
      <c r="AP1589" s="46" t="n"/>
      <c r="AQ1589" s="46" t="n"/>
      <c r="AR1589" s="46" t="n"/>
      <c r="AS1589" s="46" t="n"/>
      <c r="AV1589" s="36">
        <f>IF($C1589="","",EMPLOYES!M74)</f>
        <v/>
      </c>
      <c r="AW1589" s="36">
        <f>IF($C1589="",0,SUMPRODUCT(--(O1589:AS1589="C")))</f>
        <v/>
      </c>
      <c r="AX1589" s="36">
        <f>IF($C1589="",0,SUMPRODUCT(--(O1589:AS1589="R")))</f>
        <v/>
      </c>
      <c r="AY1589" s="44" t="n"/>
    </row>
    <row r="1590" hidden="1" ht="15" customHeight="1" s="15">
      <c r="B1590" s="36" t="inlineStr">
        <is>
          <t>Jour sem. (réf. grisage)</t>
        </is>
      </c>
      <c r="O1590" s="37">
        <f>IF(1&gt;DAY(EOMONTH(DATE(PARAMETRES!$C$29,7,1),0)),"",WEEKDAY(DATE(PARAMETRES!$C$29,7,1),2))</f>
        <v/>
      </c>
      <c r="P1590" s="37">
        <f>IF(2&gt;DAY(EOMONTH(DATE(PARAMETRES!$C$29,7,1),0)),"",WEEKDAY(DATE(PARAMETRES!$C$29,7,2),2))</f>
        <v/>
      </c>
      <c r="Q1590" s="37">
        <f>IF(3&gt;DAY(EOMONTH(DATE(PARAMETRES!$C$29,7,1),0)),"",WEEKDAY(DATE(PARAMETRES!$C$29,7,3),2))</f>
        <v/>
      </c>
      <c r="R1590" s="37">
        <f>IF(4&gt;DAY(EOMONTH(DATE(PARAMETRES!$C$29,7,1),0)),"",WEEKDAY(DATE(PARAMETRES!$C$29,7,4),2))</f>
        <v/>
      </c>
      <c r="S1590" s="37">
        <f>IF(5&gt;DAY(EOMONTH(DATE(PARAMETRES!$C$29,7,1),0)),"",WEEKDAY(DATE(PARAMETRES!$C$29,7,5),2))</f>
        <v/>
      </c>
      <c r="T1590" s="37">
        <f>IF(6&gt;DAY(EOMONTH(DATE(PARAMETRES!$C$29,7,1),0)),"",WEEKDAY(DATE(PARAMETRES!$C$29,7,6),2))</f>
        <v/>
      </c>
      <c r="U1590" s="37">
        <f>IF(7&gt;DAY(EOMONTH(DATE(PARAMETRES!$C$29,7,1),0)),"",WEEKDAY(DATE(PARAMETRES!$C$29,7,7),2))</f>
        <v/>
      </c>
      <c r="V1590" s="37">
        <f>IF(8&gt;DAY(EOMONTH(DATE(PARAMETRES!$C$29,7,1),0)),"",WEEKDAY(DATE(PARAMETRES!$C$29,7,8),2))</f>
        <v/>
      </c>
      <c r="W1590" s="37">
        <f>IF(9&gt;DAY(EOMONTH(DATE(PARAMETRES!$C$29,7,1),0)),"",WEEKDAY(DATE(PARAMETRES!$C$29,7,9),2))</f>
        <v/>
      </c>
      <c r="X1590" s="37">
        <f>IF(10&gt;DAY(EOMONTH(DATE(PARAMETRES!$C$29,7,1),0)),"",WEEKDAY(DATE(PARAMETRES!$C$29,7,10),2))</f>
        <v/>
      </c>
      <c r="Y1590" s="37">
        <f>IF(11&gt;DAY(EOMONTH(DATE(PARAMETRES!$C$29,7,1),0)),"",WEEKDAY(DATE(PARAMETRES!$C$29,7,11),2))</f>
        <v/>
      </c>
      <c r="Z1590" s="37">
        <f>IF(12&gt;DAY(EOMONTH(DATE(PARAMETRES!$C$29,7,1),0)),"",WEEKDAY(DATE(PARAMETRES!$C$29,7,12),2))</f>
        <v/>
      </c>
      <c r="AA1590" s="37">
        <f>IF(13&gt;DAY(EOMONTH(DATE(PARAMETRES!$C$29,7,1),0)),"",WEEKDAY(DATE(PARAMETRES!$C$29,7,13),2))</f>
        <v/>
      </c>
      <c r="AB1590" s="37">
        <f>IF(14&gt;DAY(EOMONTH(DATE(PARAMETRES!$C$29,7,1),0)),"",WEEKDAY(DATE(PARAMETRES!$C$29,7,14),2))</f>
        <v/>
      </c>
      <c r="AC1590" s="37">
        <f>IF(15&gt;DAY(EOMONTH(DATE(PARAMETRES!$C$29,7,1),0)),"",WEEKDAY(DATE(PARAMETRES!$C$29,7,15),2))</f>
        <v/>
      </c>
      <c r="AD1590" s="37">
        <f>IF(16&gt;DAY(EOMONTH(DATE(PARAMETRES!$C$29,7,1),0)),"",WEEKDAY(DATE(PARAMETRES!$C$29,7,16),2))</f>
        <v/>
      </c>
      <c r="AE1590" s="37">
        <f>IF(17&gt;DAY(EOMONTH(DATE(PARAMETRES!$C$29,7,1),0)),"",WEEKDAY(DATE(PARAMETRES!$C$29,7,17),2))</f>
        <v/>
      </c>
      <c r="AF1590" s="37">
        <f>IF(18&gt;DAY(EOMONTH(DATE(PARAMETRES!$C$29,7,1),0)),"",WEEKDAY(DATE(PARAMETRES!$C$29,7,18),2))</f>
        <v/>
      </c>
      <c r="AG1590" s="37">
        <f>IF(19&gt;DAY(EOMONTH(DATE(PARAMETRES!$C$29,7,1),0)),"",WEEKDAY(DATE(PARAMETRES!$C$29,7,19),2))</f>
        <v/>
      </c>
      <c r="AH1590" s="37">
        <f>IF(20&gt;DAY(EOMONTH(DATE(PARAMETRES!$C$29,7,1),0)),"",WEEKDAY(DATE(PARAMETRES!$C$29,7,20),2))</f>
        <v/>
      </c>
      <c r="AI1590" s="37">
        <f>IF(21&gt;DAY(EOMONTH(DATE(PARAMETRES!$C$29,7,1),0)),"",WEEKDAY(DATE(PARAMETRES!$C$29,7,21),2))</f>
        <v/>
      </c>
      <c r="AJ1590" s="37">
        <f>IF(22&gt;DAY(EOMONTH(DATE(PARAMETRES!$C$29,7,1),0)),"",WEEKDAY(DATE(PARAMETRES!$C$29,7,22),2))</f>
        <v/>
      </c>
      <c r="AK1590" s="37">
        <f>IF(23&gt;DAY(EOMONTH(DATE(PARAMETRES!$C$29,7,1),0)),"",WEEKDAY(DATE(PARAMETRES!$C$29,7,23),2))</f>
        <v/>
      </c>
      <c r="AL1590" s="37">
        <f>IF(24&gt;DAY(EOMONTH(DATE(PARAMETRES!$C$29,7,1),0)),"",WEEKDAY(DATE(PARAMETRES!$C$29,7,24),2))</f>
        <v/>
      </c>
      <c r="AM1590" s="37">
        <f>IF(25&gt;DAY(EOMONTH(DATE(PARAMETRES!$C$29,7,1),0)),"",WEEKDAY(DATE(PARAMETRES!$C$29,7,25),2))</f>
        <v/>
      </c>
      <c r="AN1590" s="37">
        <f>IF(26&gt;DAY(EOMONTH(DATE(PARAMETRES!$C$29,7,1),0)),"",WEEKDAY(DATE(PARAMETRES!$C$29,7,26),2))</f>
        <v/>
      </c>
      <c r="AO1590" s="37">
        <f>IF(27&gt;DAY(EOMONTH(DATE(PARAMETRES!$C$29,7,1),0)),"",WEEKDAY(DATE(PARAMETRES!$C$29,7,27),2))</f>
        <v/>
      </c>
      <c r="AP1590" s="37">
        <f>IF(28&gt;DAY(EOMONTH(DATE(PARAMETRES!$C$29,7,1),0)),"",WEEKDAY(DATE(PARAMETRES!$C$29,7,28),2))</f>
        <v/>
      </c>
      <c r="AQ1590" s="37">
        <f>IF(29&gt;DAY(EOMONTH(DATE(PARAMETRES!$C$29,7,1),0)),"",WEEKDAY(DATE(PARAMETRES!$C$29,7,29),2))</f>
        <v/>
      </c>
      <c r="AR1590" s="37">
        <f>IF(30&gt;DAY(EOMONTH(DATE(PARAMETRES!$C$29,7,1),0)),"",WEEKDAY(DATE(PARAMETRES!$C$29,7,30),2))</f>
        <v/>
      </c>
      <c r="AS1590" s="37">
        <f>IF(31&gt;DAY(EOMONTH(DATE(PARAMETRES!$C$29,7,1),0)),"",WEEKDAY(DATE(PARAMETRES!$C$29,7,31),2))</f>
        <v/>
      </c>
    </row>
    <row r="1591" hidden="1" outlineLevel="1" ht="15" customHeight="1" s="15">
      <c r="AT1591" s="36">
        <f>IF(OR(O1527="",O1527=7),"","P")</f>
        <v/>
      </c>
      <c r="AU1591" s="36">
        <f>IF(OR(O1527="",O1527&gt;=6),"","P")</f>
        <v/>
      </c>
    </row>
    <row r="1592" hidden="1" outlineLevel="1" ht="15" customHeight="1" s="15">
      <c r="AT1592" s="36">
        <f>IF(OR(O1527="",O1527=7),"","D")</f>
        <v/>
      </c>
      <c r="AU1592" s="36">
        <f>IF(OR(O1527="",O1527&gt;=6),"","D")</f>
        <v/>
      </c>
    </row>
    <row r="1593" hidden="1" outlineLevel="1" ht="15" customHeight="1" s="15">
      <c r="AT1593" s="36">
        <f>IF(OR(O1527="",O1527=7),"","A")</f>
        <v/>
      </c>
      <c r="AU1593" s="36">
        <f>IF(OR(O1527="",O1527&gt;=6),"","A")</f>
        <v/>
      </c>
    </row>
    <row r="1594" hidden="1" outlineLevel="1" ht="15" customHeight="1" s="15">
      <c r="AT1594" s="36">
        <f>IF(OR(O1527="",O1527=7),"","F")</f>
        <v/>
      </c>
      <c r="AU1594" s="36">
        <f>IF(OR(O1527="",O1527&gt;=6),"","F")</f>
        <v/>
      </c>
    </row>
    <row r="1595" hidden="1" outlineLevel="1" ht="15" customHeight="1" s="15">
      <c r="AT1595" s="36">
        <f>IF(OR(O1527="",O1527=7),"","C")</f>
        <v/>
      </c>
      <c r="AU1595" s="36">
        <f>IF(OR(O1527="",O1527&gt;=6),"","C")</f>
        <v/>
      </c>
    </row>
    <row r="1596" hidden="1" outlineLevel="1" ht="15" customHeight="1" s="15">
      <c r="AT1596" s="36">
        <f>IF(AND(O1527&lt;&gt;"",O1527=7),"R","")</f>
        <v/>
      </c>
      <c r="AU1596" s="36">
        <f>IF(AND(O1527&lt;&gt;"",O1527&gt;=6),"R","")</f>
        <v/>
      </c>
    </row>
    <row r="1597" hidden="1" outlineLevel="1" ht="15" customHeight="1" s="15">
      <c r="AT1597" s="36">
        <f>IF(OR(P1527="",P1527=7),"","P")</f>
        <v/>
      </c>
      <c r="AU1597" s="36">
        <f>IF(OR(P1527="",P1527&gt;=6),"","P")</f>
        <v/>
      </c>
    </row>
    <row r="1598" hidden="1" outlineLevel="1" ht="15" customHeight="1" s="15">
      <c r="AT1598" s="36">
        <f>IF(OR(P1527="",P1527=7),"","D")</f>
        <v/>
      </c>
      <c r="AU1598" s="36">
        <f>IF(OR(P1527="",P1527&gt;=6),"","D")</f>
        <v/>
      </c>
    </row>
    <row r="1599" hidden="1" outlineLevel="1" ht="15" customHeight="1" s="15">
      <c r="AT1599" s="36">
        <f>IF(OR(P1527="",P1527=7),"","A")</f>
        <v/>
      </c>
      <c r="AU1599" s="36">
        <f>IF(OR(P1527="",P1527&gt;=6),"","A")</f>
        <v/>
      </c>
    </row>
    <row r="1600" hidden="1" outlineLevel="1" ht="15" customHeight="1" s="15">
      <c r="AT1600" s="36">
        <f>IF(OR(P1527="",P1527=7),"","F")</f>
        <v/>
      </c>
      <c r="AU1600" s="36">
        <f>IF(OR(P1527="",P1527&gt;=6),"","F")</f>
        <v/>
      </c>
    </row>
    <row r="1601" hidden="1" outlineLevel="1" ht="15" customHeight="1" s="15">
      <c r="AT1601" s="36">
        <f>IF(OR(P1527="",P1527=7),"","C")</f>
        <v/>
      </c>
      <c r="AU1601" s="36">
        <f>IF(OR(P1527="",P1527&gt;=6),"","C")</f>
        <v/>
      </c>
    </row>
    <row r="1602" hidden="1" outlineLevel="1" ht="15" customHeight="1" s="15">
      <c r="AT1602" s="36">
        <f>IF(AND(P1527&lt;&gt;"",P1527=7),"R","")</f>
        <v/>
      </c>
      <c r="AU1602" s="36">
        <f>IF(AND(P1527&lt;&gt;"",P1527&gt;=6),"R","")</f>
        <v/>
      </c>
    </row>
    <row r="1603" hidden="1" outlineLevel="1" ht="15" customHeight="1" s="15">
      <c r="AT1603" s="36">
        <f>IF(OR(Q1527="",Q1527=7),"","P")</f>
        <v/>
      </c>
      <c r="AU1603" s="36">
        <f>IF(OR(Q1527="",Q1527&gt;=6),"","P")</f>
        <v/>
      </c>
    </row>
    <row r="1604" hidden="1" outlineLevel="1" ht="15" customHeight="1" s="15">
      <c r="AT1604" s="36">
        <f>IF(OR(Q1527="",Q1527=7),"","D")</f>
        <v/>
      </c>
      <c r="AU1604" s="36">
        <f>IF(OR(Q1527="",Q1527&gt;=6),"","D")</f>
        <v/>
      </c>
    </row>
    <row r="1605" hidden="1" outlineLevel="1" ht="15" customHeight="1" s="15">
      <c r="AT1605" s="36">
        <f>IF(OR(Q1527="",Q1527=7),"","A")</f>
        <v/>
      </c>
      <c r="AU1605" s="36">
        <f>IF(OR(Q1527="",Q1527&gt;=6),"","A")</f>
        <v/>
      </c>
    </row>
    <row r="1606" hidden="1" outlineLevel="1" ht="15" customHeight="1" s="15">
      <c r="AT1606" s="36">
        <f>IF(OR(Q1527="",Q1527=7),"","F")</f>
        <v/>
      </c>
      <c r="AU1606" s="36">
        <f>IF(OR(Q1527="",Q1527&gt;=6),"","F")</f>
        <v/>
      </c>
    </row>
    <row r="1607" hidden="1" outlineLevel="1" ht="15" customHeight="1" s="15">
      <c r="AT1607" s="36">
        <f>IF(OR(Q1527="",Q1527=7),"","C")</f>
        <v/>
      </c>
      <c r="AU1607" s="36">
        <f>IF(OR(Q1527="",Q1527&gt;=6),"","C")</f>
        <v/>
      </c>
    </row>
    <row r="1608" hidden="1" outlineLevel="1" ht="15" customHeight="1" s="15">
      <c r="AT1608" s="36">
        <f>IF(AND(Q1527&lt;&gt;"",Q1527=7),"R","")</f>
        <v/>
      </c>
      <c r="AU1608" s="36">
        <f>IF(AND(Q1527&lt;&gt;"",Q1527&gt;=6),"R","")</f>
        <v/>
      </c>
    </row>
    <row r="1609" hidden="1" outlineLevel="1" ht="15" customHeight="1" s="15">
      <c r="AT1609" s="36">
        <f>IF(OR(R1527="",R1527=7),"","P")</f>
        <v/>
      </c>
      <c r="AU1609" s="36">
        <f>IF(OR(R1527="",R1527&gt;=6),"","P")</f>
        <v/>
      </c>
    </row>
    <row r="1610" hidden="1" outlineLevel="1" ht="15" customHeight="1" s="15">
      <c r="AT1610" s="36">
        <f>IF(OR(R1527="",R1527=7),"","D")</f>
        <v/>
      </c>
      <c r="AU1610" s="36">
        <f>IF(OR(R1527="",R1527&gt;=6),"","D")</f>
        <v/>
      </c>
    </row>
    <row r="1611" hidden="1" outlineLevel="1" ht="15" customHeight="1" s="15">
      <c r="AT1611" s="36">
        <f>IF(OR(R1527="",R1527=7),"","A")</f>
        <v/>
      </c>
      <c r="AU1611" s="36">
        <f>IF(OR(R1527="",R1527&gt;=6),"","A")</f>
        <v/>
      </c>
    </row>
    <row r="1612" hidden="1" outlineLevel="1" ht="15" customHeight="1" s="15">
      <c r="AT1612" s="36">
        <f>IF(OR(R1527="",R1527=7),"","F")</f>
        <v/>
      </c>
      <c r="AU1612" s="36">
        <f>IF(OR(R1527="",R1527&gt;=6),"","F")</f>
        <v/>
      </c>
    </row>
    <row r="1613" hidden="1" outlineLevel="1" ht="15" customHeight="1" s="15">
      <c r="AT1613" s="36">
        <f>IF(OR(R1527="",R1527=7),"","C")</f>
        <v/>
      </c>
      <c r="AU1613" s="36">
        <f>IF(OR(R1527="",R1527&gt;=6),"","C")</f>
        <v/>
      </c>
    </row>
    <row r="1614" hidden="1" outlineLevel="1" ht="15" customHeight="1" s="15">
      <c r="AT1614" s="36">
        <f>IF(AND(R1527&lt;&gt;"",R1527=7),"R","")</f>
        <v/>
      </c>
      <c r="AU1614" s="36">
        <f>IF(AND(R1527&lt;&gt;"",R1527&gt;=6),"R","")</f>
        <v/>
      </c>
    </row>
    <row r="1615" hidden="1" outlineLevel="1" ht="15" customHeight="1" s="15">
      <c r="AT1615" s="36">
        <f>IF(OR(S1527="",S1527=7),"","P")</f>
        <v/>
      </c>
      <c r="AU1615" s="36">
        <f>IF(OR(S1527="",S1527&gt;=6),"","P")</f>
        <v/>
      </c>
    </row>
    <row r="1616" hidden="1" outlineLevel="1" ht="15" customHeight="1" s="15">
      <c r="AT1616" s="36">
        <f>IF(OR(S1527="",S1527=7),"","D")</f>
        <v/>
      </c>
      <c r="AU1616" s="36">
        <f>IF(OR(S1527="",S1527&gt;=6),"","D")</f>
        <v/>
      </c>
    </row>
    <row r="1617" hidden="1" outlineLevel="1" ht="15" customHeight="1" s="15">
      <c r="AT1617" s="36">
        <f>IF(OR(S1527="",S1527=7),"","A")</f>
        <v/>
      </c>
      <c r="AU1617" s="36">
        <f>IF(OR(S1527="",S1527&gt;=6),"","A")</f>
        <v/>
      </c>
    </row>
    <row r="1618" hidden="1" outlineLevel="1" ht="15" customHeight="1" s="15">
      <c r="AT1618" s="36">
        <f>IF(OR(S1527="",S1527=7),"","F")</f>
        <v/>
      </c>
      <c r="AU1618" s="36">
        <f>IF(OR(S1527="",S1527&gt;=6),"","F")</f>
        <v/>
      </c>
    </row>
    <row r="1619" hidden="1" outlineLevel="1" ht="15" customHeight="1" s="15">
      <c r="AT1619" s="36">
        <f>IF(OR(S1527="",S1527=7),"","C")</f>
        <v/>
      </c>
      <c r="AU1619" s="36">
        <f>IF(OR(S1527="",S1527&gt;=6),"","C")</f>
        <v/>
      </c>
    </row>
    <row r="1620" hidden="1" outlineLevel="1" ht="15" customHeight="1" s="15">
      <c r="AT1620" s="36">
        <f>IF(AND(S1527&lt;&gt;"",S1527=7),"R","")</f>
        <v/>
      </c>
      <c r="AU1620" s="36">
        <f>IF(AND(S1527&lt;&gt;"",S1527&gt;=6),"R","")</f>
        <v/>
      </c>
    </row>
    <row r="1621" hidden="1" outlineLevel="1" ht="15" customHeight="1" s="15">
      <c r="AT1621" s="36">
        <f>IF(OR(T1527="",T1527=7),"","P")</f>
        <v/>
      </c>
      <c r="AU1621" s="36">
        <f>IF(OR(T1527="",T1527&gt;=6),"","P")</f>
        <v/>
      </c>
    </row>
    <row r="1622" hidden="1" outlineLevel="1" ht="15" customHeight="1" s="15">
      <c r="AT1622" s="36">
        <f>IF(OR(T1527="",T1527=7),"","D")</f>
        <v/>
      </c>
      <c r="AU1622" s="36">
        <f>IF(OR(T1527="",T1527&gt;=6),"","D")</f>
        <v/>
      </c>
    </row>
    <row r="1623" hidden="1" outlineLevel="1" ht="15" customHeight="1" s="15">
      <c r="AT1623" s="36">
        <f>IF(OR(T1527="",T1527=7),"","A")</f>
        <v/>
      </c>
      <c r="AU1623" s="36">
        <f>IF(OR(T1527="",T1527&gt;=6),"","A")</f>
        <v/>
      </c>
    </row>
    <row r="1624" hidden="1" outlineLevel="1" ht="15" customHeight="1" s="15">
      <c r="AT1624" s="36">
        <f>IF(OR(T1527="",T1527=7),"","F")</f>
        <v/>
      </c>
      <c r="AU1624" s="36">
        <f>IF(OR(T1527="",T1527&gt;=6),"","F")</f>
        <v/>
      </c>
    </row>
    <row r="1625" hidden="1" outlineLevel="1" ht="15" customHeight="1" s="15">
      <c r="AT1625" s="36">
        <f>IF(OR(T1527="",T1527=7),"","C")</f>
        <v/>
      </c>
      <c r="AU1625" s="36">
        <f>IF(OR(T1527="",T1527&gt;=6),"","C")</f>
        <v/>
      </c>
    </row>
    <row r="1626" hidden="1" outlineLevel="1" ht="15" customHeight="1" s="15">
      <c r="AT1626" s="36">
        <f>IF(AND(T1527&lt;&gt;"",T1527=7),"R","")</f>
        <v/>
      </c>
      <c r="AU1626" s="36">
        <f>IF(AND(T1527&lt;&gt;"",T1527&gt;=6),"R","")</f>
        <v/>
      </c>
    </row>
    <row r="1627" hidden="1" outlineLevel="1" ht="15" customHeight="1" s="15">
      <c r="AT1627" s="36">
        <f>IF(OR(U1527="",U1527=7),"","P")</f>
        <v/>
      </c>
      <c r="AU1627" s="36">
        <f>IF(OR(U1527="",U1527&gt;=6),"","P")</f>
        <v/>
      </c>
    </row>
    <row r="1628" hidden="1" outlineLevel="1" ht="15" customHeight="1" s="15">
      <c r="AT1628" s="36">
        <f>IF(OR(U1527="",U1527=7),"","D")</f>
        <v/>
      </c>
      <c r="AU1628" s="36">
        <f>IF(OR(U1527="",U1527&gt;=6),"","D")</f>
        <v/>
      </c>
    </row>
    <row r="1629" hidden="1" outlineLevel="1" ht="15" customHeight="1" s="15">
      <c r="AT1629" s="36">
        <f>IF(OR(U1527="",U1527=7),"","A")</f>
        <v/>
      </c>
      <c r="AU1629" s="36">
        <f>IF(OR(U1527="",U1527&gt;=6),"","A")</f>
        <v/>
      </c>
    </row>
    <row r="1630" hidden="1" outlineLevel="1" ht="15" customHeight="1" s="15">
      <c r="AT1630" s="36">
        <f>IF(OR(U1527="",U1527=7),"","F")</f>
        <v/>
      </c>
      <c r="AU1630" s="36">
        <f>IF(OR(U1527="",U1527&gt;=6),"","F")</f>
        <v/>
      </c>
    </row>
    <row r="1631" hidden="1" outlineLevel="1" ht="15" customHeight="1" s="15">
      <c r="AT1631" s="36">
        <f>IF(OR(U1527="",U1527=7),"","C")</f>
        <v/>
      </c>
      <c r="AU1631" s="36">
        <f>IF(OR(U1527="",U1527&gt;=6),"","C")</f>
        <v/>
      </c>
    </row>
    <row r="1632" hidden="1" outlineLevel="1" ht="15" customHeight="1" s="15">
      <c r="AT1632" s="36">
        <f>IF(AND(U1527&lt;&gt;"",U1527=7),"R","")</f>
        <v/>
      </c>
      <c r="AU1632" s="36">
        <f>IF(AND(U1527&lt;&gt;"",U1527&gt;=6),"R","")</f>
        <v/>
      </c>
    </row>
    <row r="1633" hidden="1" outlineLevel="1" ht="15" customHeight="1" s="15">
      <c r="AT1633" s="36">
        <f>IF(OR(V1527="",V1527=7),"","P")</f>
        <v/>
      </c>
      <c r="AU1633" s="36">
        <f>IF(OR(V1527="",V1527&gt;=6),"","P")</f>
        <v/>
      </c>
    </row>
    <row r="1634" hidden="1" outlineLevel="1" ht="15" customHeight="1" s="15">
      <c r="AT1634" s="36">
        <f>IF(OR(V1527="",V1527=7),"","D")</f>
        <v/>
      </c>
      <c r="AU1634" s="36">
        <f>IF(OR(V1527="",V1527&gt;=6),"","D")</f>
        <v/>
      </c>
    </row>
    <row r="1635" hidden="1" outlineLevel="1" ht="15" customHeight="1" s="15">
      <c r="AT1635" s="36">
        <f>IF(OR(V1527="",V1527=7),"","A")</f>
        <v/>
      </c>
      <c r="AU1635" s="36">
        <f>IF(OR(V1527="",V1527&gt;=6),"","A")</f>
        <v/>
      </c>
    </row>
    <row r="1636" hidden="1" outlineLevel="1" ht="15" customHeight="1" s="15">
      <c r="AT1636" s="36">
        <f>IF(OR(V1527="",V1527=7),"","F")</f>
        <v/>
      </c>
      <c r="AU1636" s="36">
        <f>IF(OR(V1527="",V1527&gt;=6),"","F")</f>
        <v/>
      </c>
    </row>
    <row r="1637" hidden="1" outlineLevel="1" ht="15" customHeight="1" s="15">
      <c r="AT1637" s="36">
        <f>IF(OR(V1527="",V1527=7),"","C")</f>
        <v/>
      </c>
      <c r="AU1637" s="36">
        <f>IF(OR(V1527="",V1527&gt;=6),"","C")</f>
        <v/>
      </c>
    </row>
    <row r="1638" hidden="1" outlineLevel="1" ht="15" customHeight="1" s="15">
      <c r="AT1638" s="36">
        <f>IF(AND(V1527&lt;&gt;"",V1527=7),"R","")</f>
        <v/>
      </c>
      <c r="AU1638" s="36">
        <f>IF(AND(V1527&lt;&gt;"",V1527&gt;=6),"R","")</f>
        <v/>
      </c>
    </row>
    <row r="1639" hidden="1" outlineLevel="1" ht="15" customHeight="1" s="15">
      <c r="AT1639" s="36">
        <f>IF(OR(W1527="",W1527=7),"","P")</f>
        <v/>
      </c>
      <c r="AU1639" s="36">
        <f>IF(OR(W1527="",W1527&gt;=6),"","P")</f>
        <v/>
      </c>
    </row>
    <row r="1640" hidden="1" outlineLevel="1" ht="15" customHeight="1" s="15">
      <c r="AT1640" s="36">
        <f>IF(OR(W1527="",W1527=7),"","D")</f>
        <v/>
      </c>
      <c r="AU1640" s="36">
        <f>IF(OR(W1527="",W1527&gt;=6),"","D")</f>
        <v/>
      </c>
    </row>
    <row r="1641" hidden="1" outlineLevel="1" ht="15" customHeight="1" s="15">
      <c r="AT1641" s="36">
        <f>IF(OR(W1527="",W1527=7),"","A")</f>
        <v/>
      </c>
      <c r="AU1641" s="36">
        <f>IF(OR(W1527="",W1527&gt;=6),"","A")</f>
        <v/>
      </c>
    </row>
    <row r="1642" hidden="1" outlineLevel="1" ht="15" customHeight="1" s="15">
      <c r="AT1642" s="36">
        <f>IF(OR(W1527="",W1527=7),"","F")</f>
        <v/>
      </c>
      <c r="AU1642" s="36">
        <f>IF(OR(W1527="",W1527&gt;=6),"","F")</f>
        <v/>
      </c>
    </row>
    <row r="1643" hidden="1" outlineLevel="1" ht="15" customHeight="1" s="15">
      <c r="AT1643" s="36">
        <f>IF(OR(W1527="",W1527=7),"","C")</f>
        <v/>
      </c>
      <c r="AU1643" s="36">
        <f>IF(OR(W1527="",W1527&gt;=6),"","C")</f>
        <v/>
      </c>
    </row>
    <row r="1644" hidden="1" outlineLevel="1" ht="15" customHeight="1" s="15">
      <c r="AT1644" s="36">
        <f>IF(AND(W1527&lt;&gt;"",W1527=7),"R","")</f>
        <v/>
      </c>
      <c r="AU1644" s="36">
        <f>IF(AND(W1527&lt;&gt;"",W1527&gt;=6),"R","")</f>
        <v/>
      </c>
    </row>
    <row r="1645" hidden="1" outlineLevel="1" ht="15" customHeight="1" s="15">
      <c r="AT1645" s="36">
        <f>IF(OR(X1527="",X1527=7),"","P")</f>
        <v/>
      </c>
      <c r="AU1645" s="36">
        <f>IF(OR(X1527="",X1527&gt;=6),"","P")</f>
        <v/>
      </c>
    </row>
    <row r="1646" hidden="1" outlineLevel="1" ht="15" customHeight="1" s="15">
      <c r="AT1646" s="36">
        <f>IF(OR(X1527="",X1527=7),"","D")</f>
        <v/>
      </c>
      <c r="AU1646" s="36">
        <f>IF(OR(X1527="",X1527&gt;=6),"","D")</f>
        <v/>
      </c>
    </row>
    <row r="1647" hidden="1" outlineLevel="1" ht="15" customHeight="1" s="15">
      <c r="AT1647" s="36">
        <f>IF(OR(X1527="",X1527=7),"","A")</f>
        <v/>
      </c>
      <c r="AU1647" s="36">
        <f>IF(OR(X1527="",X1527&gt;=6),"","A")</f>
        <v/>
      </c>
    </row>
    <row r="1648" hidden="1" outlineLevel="1" ht="15" customHeight="1" s="15">
      <c r="AT1648" s="36">
        <f>IF(OR(X1527="",X1527=7),"","F")</f>
        <v/>
      </c>
      <c r="AU1648" s="36">
        <f>IF(OR(X1527="",X1527&gt;=6),"","F")</f>
        <v/>
      </c>
    </row>
    <row r="1649" hidden="1" outlineLevel="1" ht="15" customHeight="1" s="15">
      <c r="AT1649" s="36">
        <f>IF(OR(X1527="",X1527=7),"","C")</f>
        <v/>
      </c>
      <c r="AU1649" s="36">
        <f>IF(OR(X1527="",X1527&gt;=6),"","C")</f>
        <v/>
      </c>
    </row>
    <row r="1650" hidden="1" outlineLevel="1" ht="15" customHeight="1" s="15">
      <c r="AT1650" s="36">
        <f>IF(AND(X1527&lt;&gt;"",X1527=7),"R","")</f>
        <v/>
      </c>
      <c r="AU1650" s="36">
        <f>IF(AND(X1527&lt;&gt;"",X1527&gt;=6),"R","")</f>
        <v/>
      </c>
    </row>
    <row r="1651" hidden="1" outlineLevel="1" ht="15" customHeight="1" s="15">
      <c r="AT1651" s="36">
        <f>IF(OR(Y1527="",Y1527=7),"","P")</f>
        <v/>
      </c>
      <c r="AU1651" s="36">
        <f>IF(OR(Y1527="",Y1527&gt;=6),"","P")</f>
        <v/>
      </c>
    </row>
    <row r="1652" hidden="1" outlineLevel="1" ht="15" customHeight="1" s="15">
      <c r="AT1652" s="36">
        <f>IF(OR(Y1527="",Y1527=7),"","D")</f>
        <v/>
      </c>
      <c r="AU1652" s="36">
        <f>IF(OR(Y1527="",Y1527&gt;=6),"","D")</f>
        <v/>
      </c>
    </row>
    <row r="1653" hidden="1" outlineLevel="1" ht="15" customHeight="1" s="15">
      <c r="AT1653" s="36">
        <f>IF(OR(Y1527="",Y1527=7),"","A")</f>
        <v/>
      </c>
      <c r="AU1653" s="36">
        <f>IF(OR(Y1527="",Y1527&gt;=6),"","A")</f>
        <v/>
      </c>
    </row>
    <row r="1654" hidden="1" outlineLevel="1" ht="15" customHeight="1" s="15">
      <c r="AT1654" s="36">
        <f>IF(OR(Y1527="",Y1527=7),"","F")</f>
        <v/>
      </c>
      <c r="AU1654" s="36">
        <f>IF(OR(Y1527="",Y1527&gt;=6),"","F")</f>
        <v/>
      </c>
    </row>
    <row r="1655" hidden="1" outlineLevel="1" ht="15" customHeight="1" s="15">
      <c r="AT1655" s="36">
        <f>IF(OR(Y1527="",Y1527=7),"","C")</f>
        <v/>
      </c>
      <c r="AU1655" s="36">
        <f>IF(OR(Y1527="",Y1527&gt;=6),"","C")</f>
        <v/>
      </c>
    </row>
    <row r="1656" hidden="1" outlineLevel="1" ht="15" customHeight="1" s="15">
      <c r="AT1656" s="36">
        <f>IF(AND(Y1527&lt;&gt;"",Y1527=7),"R","")</f>
        <v/>
      </c>
      <c r="AU1656" s="36">
        <f>IF(AND(Y1527&lt;&gt;"",Y1527&gt;=6),"R","")</f>
        <v/>
      </c>
    </row>
    <row r="1657" hidden="1" outlineLevel="1" ht="15" customHeight="1" s="15">
      <c r="AT1657" s="36">
        <f>IF(OR(Z1527="",Z1527=7),"","P")</f>
        <v/>
      </c>
      <c r="AU1657" s="36">
        <f>IF(OR(Z1527="",Z1527&gt;=6),"","P")</f>
        <v/>
      </c>
    </row>
    <row r="1658" hidden="1" outlineLevel="1" ht="15" customHeight="1" s="15">
      <c r="AT1658" s="36">
        <f>IF(OR(Z1527="",Z1527=7),"","D")</f>
        <v/>
      </c>
      <c r="AU1658" s="36">
        <f>IF(OR(Z1527="",Z1527&gt;=6),"","D")</f>
        <v/>
      </c>
    </row>
    <row r="1659" hidden="1" outlineLevel="1" ht="15" customHeight="1" s="15">
      <c r="AT1659" s="36">
        <f>IF(OR(Z1527="",Z1527=7),"","A")</f>
        <v/>
      </c>
      <c r="AU1659" s="36">
        <f>IF(OR(Z1527="",Z1527&gt;=6),"","A")</f>
        <v/>
      </c>
    </row>
    <row r="1660" hidden="1" outlineLevel="1" ht="15" customHeight="1" s="15">
      <c r="AT1660" s="36">
        <f>IF(OR(Z1527="",Z1527=7),"","F")</f>
        <v/>
      </c>
      <c r="AU1660" s="36">
        <f>IF(OR(Z1527="",Z1527&gt;=6),"","F")</f>
        <v/>
      </c>
    </row>
    <row r="1661" hidden="1" outlineLevel="1" ht="15" customHeight="1" s="15">
      <c r="AT1661" s="36">
        <f>IF(OR(Z1527="",Z1527=7),"","C")</f>
        <v/>
      </c>
      <c r="AU1661" s="36">
        <f>IF(OR(Z1527="",Z1527&gt;=6),"","C")</f>
        <v/>
      </c>
    </row>
    <row r="1662" hidden="1" outlineLevel="1" ht="15" customHeight="1" s="15">
      <c r="AT1662" s="36">
        <f>IF(AND(Z1527&lt;&gt;"",Z1527=7),"R","")</f>
        <v/>
      </c>
      <c r="AU1662" s="36">
        <f>IF(AND(Z1527&lt;&gt;"",Z1527&gt;=6),"R","")</f>
        <v/>
      </c>
    </row>
    <row r="1663" hidden="1" outlineLevel="1" ht="15" customHeight="1" s="15">
      <c r="AT1663" s="36">
        <f>IF(OR(AA1527="",AA1527=7),"","P")</f>
        <v/>
      </c>
      <c r="AU1663" s="36">
        <f>IF(OR(AA1527="",AA1527&gt;=6),"","P")</f>
        <v/>
      </c>
    </row>
    <row r="1664" hidden="1" outlineLevel="1" ht="15" customHeight="1" s="15">
      <c r="AT1664" s="36">
        <f>IF(OR(AA1527="",AA1527=7),"","D")</f>
        <v/>
      </c>
      <c r="AU1664" s="36">
        <f>IF(OR(AA1527="",AA1527&gt;=6),"","D")</f>
        <v/>
      </c>
    </row>
    <row r="1665" hidden="1" outlineLevel="1" ht="15" customHeight="1" s="15">
      <c r="AT1665" s="36">
        <f>IF(OR(AA1527="",AA1527=7),"","A")</f>
        <v/>
      </c>
      <c r="AU1665" s="36">
        <f>IF(OR(AA1527="",AA1527&gt;=6),"","A")</f>
        <v/>
      </c>
    </row>
    <row r="1666" hidden="1" outlineLevel="1" ht="15" customHeight="1" s="15">
      <c r="AT1666" s="36">
        <f>IF(OR(AA1527="",AA1527=7),"","F")</f>
        <v/>
      </c>
      <c r="AU1666" s="36">
        <f>IF(OR(AA1527="",AA1527&gt;=6),"","F")</f>
        <v/>
      </c>
    </row>
    <row r="1667" hidden="1" outlineLevel="1" ht="15" customHeight="1" s="15">
      <c r="AT1667" s="36">
        <f>IF(OR(AA1527="",AA1527=7),"","C")</f>
        <v/>
      </c>
      <c r="AU1667" s="36">
        <f>IF(OR(AA1527="",AA1527&gt;=6),"","C")</f>
        <v/>
      </c>
    </row>
    <row r="1668" hidden="1" outlineLevel="1" ht="15" customHeight="1" s="15">
      <c r="AT1668" s="36">
        <f>IF(AND(AA1527&lt;&gt;"",AA1527=7),"R","")</f>
        <v/>
      </c>
      <c r="AU1668" s="36">
        <f>IF(AND(AA1527&lt;&gt;"",AA1527&gt;=6),"R","")</f>
        <v/>
      </c>
    </row>
    <row r="1669" hidden="1" outlineLevel="1" ht="15" customHeight="1" s="15">
      <c r="AT1669" s="36">
        <f>IF(OR(AB1527="",AB1527=7),"","P")</f>
        <v/>
      </c>
      <c r="AU1669" s="36">
        <f>IF(OR(AB1527="",AB1527&gt;=6),"","P")</f>
        <v/>
      </c>
    </row>
    <row r="1670" hidden="1" outlineLevel="1" ht="15" customHeight="1" s="15">
      <c r="AT1670" s="36">
        <f>IF(OR(AB1527="",AB1527=7),"","D")</f>
        <v/>
      </c>
      <c r="AU1670" s="36">
        <f>IF(OR(AB1527="",AB1527&gt;=6),"","D")</f>
        <v/>
      </c>
    </row>
    <row r="1671" hidden="1" outlineLevel="1" ht="15" customHeight="1" s="15">
      <c r="AT1671" s="36">
        <f>IF(OR(AB1527="",AB1527=7),"","A")</f>
        <v/>
      </c>
      <c r="AU1671" s="36">
        <f>IF(OR(AB1527="",AB1527&gt;=6),"","A")</f>
        <v/>
      </c>
    </row>
    <row r="1672" hidden="1" outlineLevel="1" ht="15" customHeight="1" s="15">
      <c r="AT1672" s="36">
        <f>IF(OR(AB1527="",AB1527=7),"","F")</f>
        <v/>
      </c>
      <c r="AU1672" s="36">
        <f>IF(OR(AB1527="",AB1527&gt;=6),"","F")</f>
        <v/>
      </c>
    </row>
    <row r="1673" hidden="1" outlineLevel="1" ht="15" customHeight="1" s="15">
      <c r="AT1673" s="36">
        <f>IF(OR(AB1527="",AB1527=7),"","C")</f>
        <v/>
      </c>
      <c r="AU1673" s="36">
        <f>IF(OR(AB1527="",AB1527&gt;=6),"","C")</f>
        <v/>
      </c>
    </row>
    <row r="1674" hidden="1" outlineLevel="1" ht="15" customHeight="1" s="15">
      <c r="AT1674" s="36">
        <f>IF(AND(AB1527&lt;&gt;"",AB1527=7),"R","")</f>
        <v/>
      </c>
      <c r="AU1674" s="36">
        <f>IF(AND(AB1527&lt;&gt;"",AB1527&gt;=6),"R","")</f>
        <v/>
      </c>
    </row>
    <row r="1675" hidden="1" outlineLevel="1" ht="15" customHeight="1" s="15">
      <c r="AT1675" s="36">
        <f>IF(OR(AC1527="",AC1527=7),"","P")</f>
        <v/>
      </c>
      <c r="AU1675" s="36">
        <f>IF(OR(AC1527="",AC1527&gt;=6),"","P")</f>
        <v/>
      </c>
    </row>
    <row r="1676" hidden="1" outlineLevel="1" ht="15" customHeight="1" s="15">
      <c r="AT1676" s="36">
        <f>IF(OR(AC1527="",AC1527=7),"","D")</f>
        <v/>
      </c>
      <c r="AU1676" s="36">
        <f>IF(OR(AC1527="",AC1527&gt;=6),"","D")</f>
        <v/>
      </c>
    </row>
    <row r="1677" hidden="1" outlineLevel="1" ht="15" customHeight="1" s="15">
      <c r="AT1677" s="36">
        <f>IF(OR(AC1527="",AC1527=7),"","A")</f>
        <v/>
      </c>
      <c r="AU1677" s="36">
        <f>IF(OR(AC1527="",AC1527&gt;=6),"","A")</f>
        <v/>
      </c>
    </row>
    <row r="1678" hidden="1" outlineLevel="1" ht="15" customHeight="1" s="15">
      <c r="AT1678" s="36">
        <f>IF(OR(AC1527="",AC1527=7),"","F")</f>
        <v/>
      </c>
      <c r="AU1678" s="36">
        <f>IF(OR(AC1527="",AC1527&gt;=6),"","F")</f>
        <v/>
      </c>
    </row>
    <row r="1679" hidden="1" outlineLevel="1" ht="15" customHeight="1" s="15">
      <c r="AT1679" s="36">
        <f>IF(OR(AC1527="",AC1527=7),"","C")</f>
        <v/>
      </c>
      <c r="AU1679" s="36">
        <f>IF(OR(AC1527="",AC1527&gt;=6),"","C")</f>
        <v/>
      </c>
    </row>
    <row r="1680" hidden="1" outlineLevel="1" ht="15" customHeight="1" s="15">
      <c r="AT1680" s="36">
        <f>IF(AND(AC1527&lt;&gt;"",AC1527=7),"R","")</f>
        <v/>
      </c>
      <c r="AU1680" s="36">
        <f>IF(AND(AC1527&lt;&gt;"",AC1527&gt;=6),"R","")</f>
        <v/>
      </c>
    </row>
    <row r="1681" hidden="1" outlineLevel="1" ht="15" customHeight="1" s="15">
      <c r="AT1681" s="36">
        <f>IF(OR(AD1527="",AD1527=7),"","P")</f>
        <v/>
      </c>
      <c r="AU1681" s="36">
        <f>IF(OR(AD1527="",AD1527&gt;=6),"","P")</f>
        <v/>
      </c>
    </row>
    <row r="1682" hidden="1" outlineLevel="1" ht="15" customHeight="1" s="15">
      <c r="AT1682" s="36">
        <f>IF(OR(AD1527="",AD1527=7),"","D")</f>
        <v/>
      </c>
      <c r="AU1682" s="36">
        <f>IF(OR(AD1527="",AD1527&gt;=6),"","D")</f>
        <v/>
      </c>
    </row>
    <row r="1683" hidden="1" outlineLevel="1" ht="15" customHeight="1" s="15">
      <c r="AT1683" s="36">
        <f>IF(OR(AD1527="",AD1527=7),"","A")</f>
        <v/>
      </c>
      <c r="AU1683" s="36">
        <f>IF(OR(AD1527="",AD1527&gt;=6),"","A")</f>
        <v/>
      </c>
    </row>
    <row r="1684" hidden="1" outlineLevel="1" ht="15" customHeight="1" s="15">
      <c r="AT1684" s="36">
        <f>IF(OR(AD1527="",AD1527=7),"","F")</f>
        <v/>
      </c>
      <c r="AU1684" s="36">
        <f>IF(OR(AD1527="",AD1527&gt;=6),"","F")</f>
        <v/>
      </c>
    </row>
    <row r="1685" hidden="1" outlineLevel="1" ht="15" customHeight="1" s="15">
      <c r="AT1685" s="36">
        <f>IF(OR(AD1527="",AD1527=7),"","C")</f>
        <v/>
      </c>
      <c r="AU1685" s="36">
        <f>IF(OR(AD1527="",AD1527&gt;=6),"","C")</f>
        <v/>
      </c>
    </row>
    <row r="1686" hidden="1" outlineLevel="1" ht="15" customHeight="1" s="15">
      <c r="AT1686" s="36">
        <f>IF(AND(AD1527&lt;&gt;"",AD1527=7),"R","")</f>
        <v/>
      </c>
      <c r="AU1686" s="36">
        <f>IF(AND(AD1527&lt;&gt;"",AD1527&gt;=6),"R","")</f>
        <v/>
      </c>
    </row>
    <row r="1687" hidden="1" outlineLevel="1" ht="15" customHeight="1" s="15">
      <c r="AT1687" s="36">
        <f>IF(OR(AE1527="",AE1527=7),"","P")</f>
        <v/>
      </c>
      <c r="AU1687" s="36">
        <f>IF(OR(AE1527="",AE1527&gt;=6),"","P")</f>
        <v/>
      </c>
    </row>
    <row r="1688" hidden="1" outlineLevel="1" ht="15" customHeight="1" s="15">
      <c r="AT1688" s="36">
        <f>IF(OR(AE1527="",AE1527=7),"","D")</f>
        <v/>
      </c>
      <c r="AU1688" s="36">
        <f>IF(OR(AE1527="",AE1527&gt;=6),"","D")</f>
        <v/>
      </c>
    </row>
    <row r="1689" hidden="1" outlineLevel="1" ht="15" customHeight="1" s="15">
      <c r="AT1689" s="36">
        <f>IF(OR(AE1527="",AE1527=7),"","A")</f>
        <v/>
      </c>
      <c r="AU1689" s="36">
        <f>IF(OR(AE1527="",AE1527&gt;=6),"","A")</f>
        <v/>
      </c>
    </row>
    <row r="1690" hidden="1" outlineLevel="1" ht="15" customHeight="1" s="15">
      <c r="AT1690" s="36">
        <f>IF(OR(AE1527="",AE1527=7),"","F")</f>
        <v/>
      </c>
      <c r="AU1690" s="36">
        <f>IF(OR(AE1527="",AE1527&gt;=6),"","F")</f>
        <v/>
      </c>
    </row>
    <row r="1691" hidden="1" outlineLevel="1" ht="15" customHeight="1" s="15">
      <c r="AT1691" s="36">
        <f>IF(OR(AE1527="",AE1527=7),"","C")</f>
        <v/>
      </c>
      <c r="AU1691" s="36">
        <f>IF(OR(AE1527="",AE1527&gt;=6),"","C")</f>
        <v/>
      </c>
    </row>
    <row r="1692" hidden="1" outlineLevel="1" ht="15" customHeight="1" s="15">
      <c r="AT1692" s="36">
        <f>IF(AND(AE1527&lt;&gt;"",AE1527=7),"R","")</f>
        <v/>
      </c>
      <c r="AU1692" s="36">
        <f>IF(AND(AE1527&lt;&gt;"",AE1527&gt;=6),"R","")</f>
        <v/>
      </c>
    </row>
    <row r="1693" hidden="1" outlineLevel="1" ht="15" customHeight="1" s="15">
      <c r="AT1693" s="36">
        <f>IF(OR(AF1527="",AF1527=7),"","P")</f>
        <v/>
      </c>
      <c r="AU1693" s="36">
        <f>IF(OR(AF1527="",AF1527&gt;=6),"","P")</f>
        <v/>
      </c>
    </row>
    <row r="1694" hidden="1" outlineLevel="1" ht="15" customHeight="1" s="15">
      <c r="AT1694" s="36">
        <f>IF(OR(AF1527="",AF1527=7),"","D")</f>
        <v/>
      </c>
      <c r="AU1694" s="36">
        <f>IF(OR(AF1527="",AF1527&gt;=6),"","D")</f>
        <v/>
      </c>
    </row>
    <row r="1695" hidden="1" outlineLevel="1" ht="15" customHeight="1" s="15">
      <c r="AT1695" s="36">
        <f>IF(OR(AF1527="",AF1527=7),"","A")</f>
        <v/>
      </c>
      <c r="AU1695" s="36">
        <f>IF(OR(AF1527="",AF1527&gt;=6),"","A")</f>
        <v/>
      </c>
    </row>
    <row r="1696" hidden="1" outlineLevel="1" ht="15" customHeight="1" s="15">
      <c r="AT1696" s="36">
        <f>IF(OR(AF1527="",AF1527=7),"","F")</f>
        <v/>
      </c>
      <c r="AU1696" s="36">
        <f>IF(OR(AF1527="",AF1527&gt;=6),"","F")</f>
        <v/>
      </c>
    </row>
    <row r="1697" hidden="1" outlineLevel="1" ht="15" customHeight="1" s="15">
      <c r="AT1697" s="36">
        <f>IF(OR(AF1527="",AF1527=7),"","C")</f>
        <v/>
      </c>
      <c r="AU1697" s="36">
        <f>IF(OR(AF1527="",AF1527&gt;=6),"","C")</f>
        <v/>
      </c>
    </row>
    <row r="1698" hidden="1" outlineLevel="1" ht="15" customHeight="1" s="15">
      <c r="AT1698" s="36">
        <f>IF(AND(AF1527&lt;&gt;"",AF1527=7),"R","")</f>
        <v/>
      </c>
      <c r="AU1698" s="36">
        <f>IF(AND(AF1527&lt;&gt;"",AF1527&gt;=6),"R","")</f>
        <v/>
      </c>
    </row>
    <row r="1699" hidden="1" outlineLevel="1" ht="15" customHeight="1" s="15">
      <c r="AT1699" s="36">
        <f>IF(OR(AG1527="",AG1527=7),"","P")</f>
        <v/>
      </c>
      <c r="AU1699" s="36">
        <f>IF(OR(AG1527="",AG1527&gt;=6),"","P")</f>
        <v/>
      </c>
    </row>
    <row r="1700" hidden="1" outlineLevel="1" ht="15" customHeight="1" s="15">
      <c r="AT1700" s="36">
        <f>IF(OR(AG1527="",AG1527=7),"","D")</f>
        <v/>
      </c>
      <c r="AU1700" s="36">
        <f>IF(OR(AG1527="",AG1527&gt;=6),"","D")</f>
        <v/>
      </c>
    </row>
    <row r="1701" hidden="1" outlineLevel="1" ht="15" customHeight="1" s="15">
      <c r="AT1701" s="36">
        <f>IF(OR(AG1527="",AG1527=7),"","A")</f>
        <v/>
      </c>
      <c r="AU1701" s="36">
        <f>IF(OR(AG1527="",AG1527&gt;=6),"","A")</f>
        <v/>
      </c>
    </row>
    <row r="1702" hidden="1" outlineLevel="1" ht="15" customHeight="1" s="15">
      <c r="AT1702" s="36">
        <f>IF(OR(AG1527="",AG1527=7),"","F")</f>
        <v/>
      </c>
      <c r="AU1702" s="36">
        <f>IF(OR(AG1527="",AG1527&gt;=6),"","F")</f>
        <v/>
      </c>
    </row>
    <row r="1703" hidden="1" outlineLevel="1" ht="15" customHeight="1" s="15">
      <c r="AT1703" s="36">
        <f>IF(OR(AG1527="",AG1527=7),"","C")</f>
        <v/>
      </c>
      <c r="AU1703" s="36">
        <f>IF(OR(AG1527="",AG1527&gt;=6),"","C")</f>
        <v/>
      </c>
    </row>
    <row r="1704" hidden="1" outlineLevel="1" ht="15" customHeight="1" s="15">
      <c r="AT1704" s="36">
        <f>IF(AND(AG1527&lt;&gt;"",AG1527=7),"R","")</f>
        <v/>
      </c>
      <c r="AU1704" s="36">
        <f>IF(AND(AG1527&lt;&gt;"",AG1527&gt;=6),"R","")</f>
        <v/>
      </c>
    </row>
    <row r="1705" hidden="1" outlineLevel="1" ht="15" customHeight="1" s="15">
      <c r="AT1705" s="36">
        <f>IF(OR(AH1527="",AH1527=7),"","P")</f>
        <v/>
      </c>
      <c r="AU1705" s="36">
        <f>IF(OR(AH1527="",AH1527&gt;=6),"","P")</f>
        <v/>
      </c>
    </row>
    <row r="1706" hidden="1" outlineLevel="1" ht="15" customHeight="1" s="15">
      <c r="AT1706" s="36">
        <f>IF(OR(AH1527="",AH1527=7),"","D")</f>
        <v/>
      </c>
      <c r="AU1706" s="36">
        <f>IF(OR(AH1527="",AH1527&gt;=6),"","D")</f>
        <v/>
      </c>
    </row>
    <row r="1707" hidden="1" outlineLevel="1" ht="15" customHeight="1" s="15">
      <c r="AT1707" s="36">
        <f>IF(OR(AH1527="",AH1527=7),"","A")</f>
        <v/>
      </c>
      <c r="AU1707" s="36">
        <f>IF(OR(AH1527="",AH1527&gt;=6),"","A")</f>
        <v/>
      </c>
    </row>
    <row r="1708" hidden="1" outlineLevel="1" ht="15" customHeight="1" s="15">
      <c r="AT1708" s="36">
        <f>IF(OR(AH1527="",AH1527=7),"","F")</f>
        <v/>
      </c>
      <c r="AU1708" s="36">
        <f>IF(OR(AH1527="",AH1527&gt;=6),"","F")</f>
        <v/>
      </c>
    </row>
    <row r="1709" hidden="1" outlineLevel="1" ht="15" customHeight="1" s="15">
      <c r="AT1709" s="36">
        <f>IF(OR(AH1527="",AH1527=7),"","C")</f>
        <v/>
      </c>
      <c r="AU1709" s="36">
        <f>IF(OR(AH1527="",AH1527&gt;=6),"","C")</f>
        <v/>
      </c>
    </row>
    <row r="1710" hidden="1" outlineLevel="1" ht="15" customHeight="1" s="15">
      <c r="AT1710" s="36">
        <f>IF(AND(AH1527&lt;&gt;"",AH1527=7),"R","")</f>
        <v/>
      </c>
      <c r="AU1710" s="36">
        <f>IF(AND(AH1527&lt;&gt;"",AH1527&gt;=6),"R","")</f>
        <v/>
      </c>
    </row>
    <row r="1711" hidden="1" outlineLevel="1" ht="15" customHeight="1" s="15">
      <c r="AT1711" s="36">
        <f>IF(OR(AI1527="",AI1527=7),"","P")</f>
        <v/>
      </c>
      <c r="AU1711" s="36">
        <f>IF(OR(AI1527="",AI1527&gt;=6),"","P")</f>
        <v/>
      </c>
    </row>
    <row r="1712" hidden="1" outlineLevel="1" ht="15" customHeight="1" s="15">
      <c r="AT1712" s="36">
        <f>IF(OR(AI1527="",AI1527=7),"","D")</f>
        <v/>
      </c>
      <c r="AU1712" s="36">
        <f>IF(OR(AI1527="",AI1527&gt;=6),"","D")</f>
        <v/>
      </c>
    </row>
    <row r="1713" hidden="1" outlineLevel="1" ht="15" customHeight="1" s="15">
      <c r="AT1713" s="36">
        <f>IF(OR(AI1527="",AI1527=7),"","A")</f>
        <v/>
      </c>
      <c r="AU1713" s="36">
        <f>IF(OR(AI1527="",AI1527&gt;=6),"","A")</f>
        <v/>
      </c>
    </row>
    <row r="1714" hidden="1" outlineLevel="1" ht="15" customHeight="1" s="15">
      <c r="AT1714" s="36">
        <f>IF(OR(AI1527="",AI1527=7),"","F")</f>
        <v/>
      </c>
      <c r="AU1714" s="36">
        <f>IF(OR(AI1527="",AI1527&gt;=6),"","F")</f>
        <v/>
      </c>
    </row>
    <row r="1715" hidden="1" outlineLevel="1" ht="15" customHeight="1" s="15">
      <c r="AT1715" s="36">
        <f>IF(OR(AI1527="",AI1527=7),"","C")</f>
        <v/>
      </c>
      <c r="AU1715" s="36">
        <f>IF(OR(AI1527="",AI1527&gt;=6),"","C")</f>
        <v/>
      </c>
    </row>
    <row r="1716" hidden="1" outlineLevel="1" ht="15" customHeight="1" s="15">
      <c r="AT1716" s="36">
        <f>IF(AND(AI1527&lt;&gt;"",AI1527=7),"R","")</f>
        <v/>
      </c>
      <c r="AU1716" s="36">
        <f>IF(AND(AI1527&lt;&gt;"",AI1527&gt;=6),"R","")</f>
        <v/>
      </c>
    </row>
    <row r="1717" hidden="1" outlineLevel="1" ht="15" customHeight="1" s="15">
      <c r="AT1717" s="36">
        <f>IF(OR(AJ1527="",AJ1527=7),"","P")</f>
        <v/>
      </c>
      <c r="AU1717" s="36">
        <f>IF(OR(AJ1527="",AJ1527&gt;=6),"","P")</f>
        <v/>
      </c>
    </row>
    <row r="1718" hidden="1" outlineLevel="1" ht="15" customHeight="1" s="15">
      <c r="AT1718" s="36">
        <f>IF(OR(AJ1527="",AJ1527=7),"","D")</f>
        <v/>
      </c>
      <c r="AU1718" s="36">
        <f>IF(OR(AJ1527="",AJ1527&gt;=6),"","D")</f>
        <v/>
      </c>
    </row>
    <row r="1719" hidden="1" outlineLevel="1" ht="15" customHeight="1" s="15">
      <c r="AT1719" s="36">
        <f>IF(OR(AJ1527="",AJ1527=7),"","A")</f>
        <v/>
      </c>
      <c r="AU1719" s="36">
        <f>IF(OR(AJ1527="",AJ1527&gt;=6),"","A")</f>
        <v/>
      </c>
    </row>
    <row r="1720" hidden="1" outlineLevel="1" ht="15" customHeight="1" s="15">
      <c r="AT1720" s="36">
        <f>IF(OR(AJ1527="",AJ1527=7),"","F")</f>
        <v/>
      </c>
      <c r="AU1720" s="36">
        <f>IF(OR(AJ1527="",AJ1527&gt;=6),"","F")</f>
        <v/>
      </c>
    </row>
    <row r="1721" hidden="1" outlineLevel="1" ht="15" customHeight="1" s="15">
      <c r="AT1721" s="36">
        <f>IF(OR(AJ1527="",AJ1527=7),"","C")</f>
        <v/>
      </c>
      <c r="AU1721" s="36">
        <f>IF(OR(AJ1527="",AJ1527&gt;=6),"","C")</f>
        <v/>
      </c>
    </row>
    <row r="1722" hidden="1" outlineLevel="1" ht="15" customHeight="1" s="15">
      <c r="AT1722" s="36">
        <f>IF(AND(AJ1527&lt;&gt;"",AJ1527=7),"R","")</f>
        <v/>
      </c>
      <c r="AU1722" s="36">
        <f>IF(AND(AJ1527&lt;&gt;"",AJ1527&gt;=6),"R","")</f>
        <v/>
      </c>
    </row>
    <row r="1723" hidden="1" outlineLevel="1" ht="15" customHeight="1" s="15">
      <c r="AT1723" s="36">
        <f>IF(OR(AK1527="",AK1527=7),"","P")</f>
        <v/>
      </c>
      <c r="AU1723" s="36">
        <f>IF(OR(AK1527="",AK1527&gt;=6),"","P")</f>
        <v/>
      </c>
    </row>
    <row r="1724" hidden="1" outlineLevel="1" ht="15" customHeight="1" s="15">
      <c r="AT1724" s="36">
        <f>IF(OR(AK1527="",AK1527=7),"","D")</f>
        <v/>
      </c>
      <c r="AU1724" s="36">
        <f>IF(OR(AK1527="",AK1527&gt;=6),"","D")</f>
        <v/>
      </c>
    </row>
    <row r="1725" hidden="1" outlineLevel="1" ht="15" customHeight="1" s="15">
      <c r="AT1725" s="36">
        <f>IF(OR(AK1527="",AK1527=7),"","A")</f>
        <v/>
      </c>
      <c r="AU1725" s="36">
        <f>IF(OR(AK1527="",AK1527&gt;=6),"","A")</f>
        <v/>
      </c>
    </row>
    <row r="1726" hidden="1" outlineLevel="1" ht="15" customHeight="1" s="15">
      <c r="AT1726" s="36">
        <f>IF(OR(AK1527="",AK1527=7),"","F")</f>
        <v/>
      </c>
      <c r="AU1726" s="36">
        <f>IF(OR(AK1527="",AK1527&gt;=6),"","F")</f>
        <v/>
      </c>
    </row>
    <row r="1727" hidden="1" outlineLevel="1" ht="15" customHeight="1" s="15">
      <c r="AT1727" s="36">
        <f>IF(OR(AK1527="",AK1527=7),"","C")</f>
        <v/>
      </c>
      <c r="AU1727" s="36">
        <f>IF(OR(AK1527="",AK1527&gt;=6),"","C")</f>
        <v/>
      </c>
    </row>
    <row r="1728" hidden="1" outlineLevel="1" ht="15" customHeight="1" s="15">
      <c r="AT1728" s="36">
        <f>IF(AND(AK1527&lt;&gt;"",AK1527=7),"R","")</f>
        <v/>
      </c>
      <c r="AU1728" s="36">
        <f>IF(AND(AK1527&lt;&gt;"",AK1527&gt;=6),"R","")</f>
        <v/>
      </c>
    </row>
    <row r="1729" hidden="1" outlineLevel="1" ht="15" customHeight="1" s="15">
      <c r="AT1729" s="36">
        <f>IF(OR(AL1527="",AL1527=7),"","P")</f>
        <v/>
      </c>
      <c r="AU1729" s="36">
        <f>IF(OR(AL1527="",AL1527&gt;=6),"","P")</f>
        <v/>
      </c>
    </row>
    <row r="1730" hidden="1" outlineLevel="1" ht="15" customHeight="1" s="15">
      <c r="AT1730" s="36">
        <f>IF(OR(AL1527="",AL1527=7),"","D")</f>
        <v/>
      </c>
      <c r="AU1730" s="36">
        <f>IF(OR(AL1527="",AL1527&gt;=6),"","D")</f>
        <v/>
      </c>
    </row>
    <row r="1731" hidden="1" outlineLevel="1" ht="15" customHeight="1" s="15">
      <c r="AT1731" s="36">
        <f>IF(OR(AL1527="",AL1527=7),"","A")</f>
        <v/>
      </c>
      <c r="AU1731" s="36">
        <f>IF(OR(AL1527="",AL1527&gt;=6),"","A")</f>
        <v/>
      </c>
    </row>
    <row r="1732" hidden="1" outlineLevel="1" ht="15" customHeight="1" s="15">
      <c r="AT1732" s="36">
        <f>IF(OR(AL1527="",AL1527=7),"","F")</f>
        <v/>
      </c>
      <c r="AU1732" s="36">
        <f>IF(OR(AL1527="",AL1527&gt;=6),"","F")</f>
        <v/>
      </c>
    </row>
    <row r="1733" hidden="1" outlineLevel="1" ht="15" customHeight="1" s="15">
      <c r="AT1733" s="36">
        <f>IF(OR(AL1527="",AL1527=7),"","C")</f>
        <v/>
      </c>
      <c r="AU1733" s="36">
        <f>IF(OR(AL1527="",AL1527&gt;=6),"","C")</f>
        <v/>
      </c>
    </row>
    <row r="1734" hidden="1" outlineLevel="1" ht="15" customHeight="1" s="15">
      <c r="AT1734" s="36">
        <f>IF(AND(AL1527&lt;&gt;"",AL1527=7),"R","")</f>
        <v/>
      </c>
      <c r="AU1734" s="36">
        <f>IF(AND(AL1527&lt;&gt;"",AL1527&gt;=6),"R","")</f>
        <v/>
      </c>
    </row>
    <row r="1735" hidden="1" outlineLevel="1" ht="15" customHeight="1" s="15">
      <c r="AT1735" s="36">
        <f>IF(OR(AM1527="",AM1527=7),"","P")</f>
        <v/>
      </c>
      <c r="AU1735" s="36">
        <f>IF(OR(AM1527="",AM1527&gt;=6),"","P")</f>
        <v/>
      </c>
    </row>
    <row r="1736" hidden="1" outlineLevel="1" ht="15" customHeight="1" s="15">
      <c r="AT1736" s="36">
        <f>IF(OR(AM1527="",AM1527=7),"","D")</f>
        <v/>
      </c>
      <c r="AU1736" s="36">
        <f>IF(OR(AM1527="",AM1527&gt;=6),"","D")</f>
        <v/>
      </c>
    </row>
    <row r="1737" hidden="1" outlineLevel="1" ht="15" customHeight="1" s="15">
      <c r="AT1737" s="36">
        <f>IF(OR(AM1527="",AM1527=7),"","A")</f>
        <v/>
      </c>
      <c r="AU1737" s="36">
        <f>IF(OR(AM1527="",AM1527&gt;=6),"","A")</f>
        <v/>
      </c>
    </row>
    <row r="1738" hidden="1" outlineLevel="1" ht="15" customHeight="1" s="15">
      <c r="AT1738" s="36">
        <f>IF(OR(AM1527="",AM1527=7),"","F")</f>
        <v/>
      </c>
      <c r="AU1738" s="36">
        <f>IF(OR(AM1527="",AM1527&gt;=6),"","F")</f>
        <v/>
      </c>
    </row>
    <row r="1739" hidden="1" outlineLevel="1" ht="15" customHeight="1" s="15">
      <c r="AT1739" s="36">
        <f>IF(OR(AM1527="",AM1527=7),"","C")</f>
        <v/>
      </c>
      <c r="AU1739" s="36">
        <f>IF(OR(AM1527="",AM1527&gt;=6),"","C")</f>
        <v/>
      </c>
    </row>
    <row r="1740" hidden="1" outlineLevel="1" ht="15" customHeight="1" s="15">
      <c r="AT1740" s="36">
        <f>IF(AND(AM1527&lt;&gt;"",AM1527=7),"R","")</f>
        <v/>
      </c>
      <c r="AU1740" s="36">
        <f>IF(AND(AM1527&lt;&gt;"",AM1527&gt;=6),"R","")</f>
        <v/>
      </c>
    </row>
    <row r="1741" hidden="1" outlineLevel="1" ht="15" customHeight="1" s="15">
      <c r="AT1741" s="36">
        <f>IF(OR(AN1527="",AN1527=7),"","P")</f>
        <v/>
      </c>
      <c r="AU1741" s="36">
        <f>IF(OR(AN1527="",AN1527&gt;=6),"","P")</f>
        <v/>
      </c>
    </row>
    <row r="1742" hidden="1" outlineLevel="1" ht="15" customHeight="1" s="15">
      <c r="AT1742" s="36">
        <f>IF(OR(AN1527="",AN1527=7),"","D")</f>
        <v/>
      </c>
      <c r="AU1742" s="36">
        <f>IF(OR(AN1527="",AN1527&gt;=6),"","D")</f>
        <v/>
      </c>
    </row>
    <row r="1743" hidden="1" outlineLevel="1" ht="15" customHeight="1" s="15">
      <c r="AT1743" s="36">
        <f>IF(OR(AN1527="",AN1527=7),"","A")</f>
        <v/>
      </c>
      <c r="AU1743" s="36">
        <f>IF(OR(AN1527="",AN1527&gt;=6),"","A")</f>
        <v/>
      </c>
    </row>
    <row r="1744" hidden="1" outlineLevel="1" ht="15" customHeight="1" s="15">
      <c r="AT1744" s="36">
        <f>IF(OR(AN1527="",AN1527=7),"","F")</f>
        <v/>
      </c>
      <c r="AU1744" s="36">
        <f>IF(OR(AN1527="",AN1527&gt;=6),"","F")</f>
        <v/>
      </c>
    </row>
    <row r="1745" hidden="1" outlineLevel="1" ht="15" customHeight="1" s="15">
      <c r="AT1745" s="36">
        <f>IF(OR(AN1527="",AN1527=7),"","C")</f>
        <v/>
      </c>
      <c r="AU1745" s="36">
        <f>IF(OR(AN1527="",AN1527&gt;=6),"","C")</f>
        <v/>
      </c>
    </row>
    <row r="1746" hidden="1" outlineLevel="1" ht="15" customHeight="1" s="15">
      <c r="AT1746" s="36">
        <f>IF(AND(AN1527&lt;&gt;"",AN1527=7),"R","")</f>
        <v/>
      </c>
      <c r="AU1746" s="36">
        <f>IF(AND(AN1527&lt;&gt;"",AN1527&gt;=6),"R","")</f>
        <v/>
      </c>
    </row>
    <row r="1747" hidden="1" outlineLevel="1" ht="15" customHeight="1" s="15">
      <c r="AT1747" s="36">
        <f>IF(OR(AO1527="",AO1527=7),"","P")</f>
        <v/>
      </c>
      <c r="AU1747" s="36">
        <f>IF(OR(AO1527="",AO1527&gt;=6),"","P")</f>
        <v/>
      </c>
    </row>
    <row r="1748" hidden="1" outlineLevel="1" ht="15" customHeight="1" s="15">
      <c r="AT1748" s="36">
        <f>IF(OR(AO1527="",AO1527=7),"","D")</f>
        <v/>
      </c>
      <c r="AU1748" s="36">
        <f>IF(OR(AO1527="",AO1527&gt;=6),"","D")</f>
        <v/>
      </c>
    </row>
    <row r="1749" hidden="1" outlineLevel="1" ht="15" customHeight="1" s="15">
      <c r="AT1749" s="36">
        <f>IF(OR(AO1527="",AO1527=7),"","A")</f>
        <v/>
      </c>
      <c r="AU1749" s="36">
        <f>IF(OR(AO1527="",AO1527&gt;=6),"","A")</f>
        <v/>
      </c>
    </row>
    <row r="1750" hidden="1" outlineLevel="1" ht="15" customHeight="1" s="15">
      <c r="AT1750" s="36">
        <f>IF(OR(AO1527="",AO1527=7),"","F")</f>
        <v/>
      </c>
      <c r="AU1750" s="36">
        <f>IF(OR(AO1527="",AO1527&gt;=6),"","F")</f>
        <v/>
      </c>
    </row>
    <row r="1751" hidden="1" outlineLevel="1" ht="15" customHeight="1" s="15">
      <c r="AT1751" s="36">
        <f>IF(OR(AO1527="",AO1527=7),"","C")</f>
        <v/>
      </c>
      <c r="AU1751" s="36">
        <f>IF(OR(AO1527="",AO1527&gt;=6),"","C")</f>
        <v/>
      </c>
    </row>
    <row r="1752" hidden="1" outlineLevel="1" ht="15" customHeight="1" s="15">
      <c r="AT1752" s="36">
        <f>IF(AND(AO1527&lt;&gt;"",AO1527=7),"R","")</f>
        <v/>
      </c>
      <c r="AU1752" s="36">
        <f>IF(AND(AO1527&lt;&gt;"",AO1527&gt;=6),"R","")</f>
        <v/>
      </c>
    </row>
    <row r="1753" hidden="1" outlineLevel="1" ht="15" customHeight="1" s="15">
      <c r="AT1753" s="36">
        <f>IF(OR(AP1527="",AP1527=7),"","P")</f>
        <v/>
      </c>
      <c r="AU1753" s="36">
        <f>IF(OR(AP1527="",AP1527&gt;=6),"","P")</f>
        <v/>
      </c>
    </row>
    <row r="1754" hidden="1" outlineLevel="1" ht="15" customHeight="1" s="15">
      <c r="AT1754" s="36">
        <f>IF(OR(AP1527="",AP1527=7),"","D")</f>
        <v/>
      </c>
      <c r="AU1754" s="36">
        <f>IF(OR(AP1527="",AP1527&gt;=6),"","D")</f>
        <v/>
      </c>
    </row>
    <row r="1755" hidden="1" outlineLevel="1" ht="15" customHeight="1" s="15">
      <c r="AT1755" s="36">
        <f>IF(OR(AP1527="",AP1527=7),"","A")</f>
        <v/>
      </c>
      <c r="AU1755" s="36">
        <f>IF(OR(AP1527="",AP1527&gt;=6),"","A")</f>
        <v/>
      </c>
    </row>
    <row r="1756" hidden="1" outlineLevel="1" ht="15" customHeight="1" s="15">
      <c r="AT1756" s="36">
        <f>IF(OR(AP1527="",AP1527=7),"","F")</f>
        <v/>
      </c>
      <c r="AU1756" s="36">
        <f>IF(OR(AP1527="",AP1527&gt;=6),"","F")</f>
        <v/>
      </c>
    </row>
    <row r="1757" hidden="1" outlineLevel="1" ht="15" customHeight="1" s="15">
      <c r="AT1757" s="36">
        <f>IF(OR(AP1527="",AP1527=7),"","C")</f>
        <v/>
      </c>
      <c r="AU1757" s="36">
        <f>IF(OR(AP1527="",AP1527&gt;=6),"","C")</f>
        <v/>
      </c>
    </row>
    <row r="1758" hidden="1" outlineLevel="1" ht="15" customHeight="1" s="15">
      <c r="AT1758" s="36">
        <f>IF(AND(AP1527&lt;&gt;"",AP1527=7),"R","")</f>
        <v/>
      </c>
      <c r="AU1758" s="36">
        <f>IF(AND(AP1527&lt;&gt;"",AP1527&gt;=6),"R","")</f>
        <v/>
      </c>
    </row>
    <row r="1759" hidden="1" outlineLevel="1" ht="15" customHeight="1" s="15">
      <c r="AT1759" s="36">
        <f>IF(OR(AQ1527="",AQ1527=7),"","P")</f>
        <v/>
      </c>
      <c r="AU1759" s="36">
        <f>IF(OR(AQ1527="",AQ1527&gt;=6),"","P")</f>
        <v/>
      </c>
    </row>
    <row r="1760" hidden="1" outlineLevel="1" ht="15" customHeight="1" s="15">
      <c r="AT1760" s="36">
        <f>IF(OR(AQ1527="",AQ1527=7),"","D")</f>
        <v/>
      </c>
      <c r="AU1760" s="36">
        <f>IF(OR(AQ1527="",AQ1527&gt;=6),"","D")</f>
        <v/>
      </c>
    </row>
    <row r="1761" hidden="1" outlineLevel="1" ht="15" customHeight="1" s="15">
      <c r="AT1761" s="36">
        <f>IF(OR(AQ1527="",AQ1527=7),"","A")</f>
        <v/>
      </c>
      <c r="AU1761" s="36">
        <f>IF(OR(AQ1527="",AQ1527&gt;=6),"","A")</f>
        <v/>
      </c>
    </row>
    <row r="1762" hidden="1" outlineLevel="1" ht="15" customHeight="1" s="15">
      <c r="AT1762" s="36">
        <f>IF(OR(AQ1527="",AQ1527=7),"","F")</f>
        <v/>
      </c>
      <c r="AU1762" s="36">
        <f>IF(OR(AQ1527="",AQ1527&gt;=6),"","F")</f>
        <v/>
      </c>
    </row>
    <row r="1763" hidden="1" outlineLevel="1" ht="15" customHeight="1" s="15">
      <c r="AT1763" s="36">
        <f>IF(OR(AQ1527="",AQ1527=7),"","C")</f>
        <v/>
      </c>
      <c r="AU1763" s="36">
        <f>IF(OR(AQ1527="",AQ1527&gt;=6),"","C")</f>
        <v/>
      </c>
    </row>
    <row r="1764" hidden="1" outlineLevel="1" ht="15" customHeight="1" s="15">
      <c r="AT1764" s="36">
        <f>IF(AND(AQ1527&lt;&gt;"",AQ1527=7),"R","")</f>
        <v/>
      </c>
      <c r="AU1764" s="36">
        <f>IF(AND(AQ1527&lt;&gt;"",AQ1527&gt;=6),"R","")</f>
        <v/>
      </c>
    </row>
    <row r="1765" hidden="1" outlineLevel="1" ht="15" customHeight="1" s="15">
      <c r="AT1765" s="36">
        <f>IF(OR(AR1527="",AR1527=7),"","P")</f>
        <v/>
      </c>
      <c r="AU1765" s="36">
        <f>IF(OR(AR1527="",AR1527&gt;=6),"","P")</f>
        <v/>
      </c>
    </row>
    <row r="1766" hidden="1" outlineLevel="1" ht="15" customHeight="1" s="15">
      <c r="AT1766" s="36">
        <f>IF(OR(AR1527="",AR1527=7),"","D")</f>
        <v/>
      </c>
      <c r="AU1766" s="36">
        <f>IF(OR(AR1527="",AR1527&gt;=6),"","D")</f>
        <v/>
      </c>
    </row>
    <row r="1767" hidden="1" outlineLevel="1" ht="15" customHeight="1" s="15">
      <c r="AT1767" s="36">
        <f>IF(OR(AR1527="",AR1527=7),"","A")</f>
        <v/>
      </c>
      <c r="AU1767" s="36">
        <f>IF(OR(AR1527="",AR1527&gt;=6),"","A")</f>
        <v/>
      </c>
    </row>
    <row r="1768" hidden="1" outlineLevel="1" ht="15" customHeight="1" s="15">
      <c r="AT1768" s="36">
        <f>IF(OR(AR1527="",AR1527=7),"","F")</f>
        <v/>
      </c>
      <c r="AU1768" s="36">
        <f>IF(OR(AR1527="",AR1527&gt;=6),"","F")</f>
        <v/>
      </c>
    </row>
    <row r="1769" hidden="1" outlineLevel="1" ht="15" customHeight="1" s="15">
      <c r="AT1769" s="36">
        <f>IF(OR(AR1527="",AR1527=7),"","C")</f>
        <v/>
      </c>
      <c r="AU1769" s="36">
        <f>IF(OR(AR1527="",AR1527&gt;=6),"","C")</f>
        <v/>
      </c>
    </row>
    <row r="1770" hidden="1" outlineLevel="1" ht="15" customHeight="1" s="15">
      <c r="AT1770" s="36">
        <f>IF(AND(AR1527&lt;&gt;"",AR1527=7),"R","")</f>
        <v/>
      </c>
      <c r="AU1770" s="36">
        <f>IF(AND(AR1527&lt;&gt;"",AR1527&gt;=6),"R","")</f>
        <v/>
      </c>
    </row>
    <row r="1771" hidden="1" outlineLevel="1" ht="15" customHeight="1" s="15">
      <c r="AT1771" s="36">
        <f>IF(OR(AS1527="",AS1527=7),"","P")</f>
        <v/>
      </c>
      <c r="AU1771" s="36">
        <f>IF(OR(AS1527="",AS1527&gt;=6),"","P")</f>
        <v/>
      </c>
    </row>
    <row r="1772" hidden="1" outlineLevel="1" ht="15" customHeight="1" s="15">
      <c r="AT1772" s="36">
        <f>IF(OR(AS1527="",AS1527=7),"","D")</f>
        <v/>
      </c>
      <c r="AU1772" s="36">
        <f>IF(OR(AS1527="",AS1527&gt;=6),"","D")</f>
        <v/>
      </c>
    </row>
    <row r="1773" hidden="1" outlineLevel="1" ht="15" customHeight="1" s="15">
      <c r="AT1773" s="36">
        <f>IF(OR(AS1527="",AS1527=7),"","A")</f>
        <v/>
      </c>
      <c r="AU1773" s="36">
        <f>IF(OR(AS1527="",AS1527&gt;=6),"","A")</f>
        <v/>
      </c>
    </row>
    <row r="1774" hidden="1" outlineLevel="1" ht="15" customHeight="1" s="15">
      <c r="AT1774" s="36">
        <f>IF(OR(AS1527="",AS1527=7),"","F")</f>
        <v/>
      </c>
      <c r="AU1774" s="36">
        <f>IF(OR(AS1527="",AS1527&gt;=6),"","F")</f>
        <v/>
      </c>
    </row>
    <row r="1775" hidden="1" outlineLevel="1" ht="15" customHeight="1" s="15">
      <c r="AT1775" s="36">
        <f>IF(OR(AS1527="",AS1527=7),"","C")</f>
        <v/>
      </c>
      <c r="AU1775" s="36">
        <f>IF(OR(AS1527="",AS1527&gt;=6),"","C")</f>
        <v/>
      </c>
    </row>
    <row r="1776" hidden="1" outlineLevel="1" ht="15" customHeight="1" s="15">
      <c r="AT1776" s="36">
        <f>IF(AND(AS1527&lt;&gt;"",AS1527=7),"R","")</f>
        <v/>
      </c>
      <c r="AU1776" s="36">
        <f>IF(AND(AS1527&lt;&gt;"",AS1527&gt;=6),"R","")</f>
        <v/>
      </c>
    </row>
    <row r="1777" ht="21.75" customHeight="1" s="15">
      <c r="B1777" s="6" t="inlineStr">
        <is>
          <t>ℹ  Grille de pointage Juillet — P/D/A/F/C/R, jours prévus/réels/absence calculés (jours ouvrables réels, WEEKDAY). R ne se propose que le jour de repos (repos exceptionnellement travaillé, +majoration). Listes techniques et ligne de calendrier repliées par défaut.</t>
        </is>
      </c>
    </row>
    <row r="1779" ht="19.5" customHeight="1" s="15">
      <c r="B1779" s="71">
        <f>"  AOÛT " &amp; PARAMETRES!$C$29</f>
        <v/>
      </c>
    </row>
    <row r="1780" hidden="1" ht="15" customHeight="1" s="15">
      <c r="B1780" s="36" t="inlineStr">
        <is>
          <t>Jour sem. (technique)</t>
        </is>
      </c>
      <c r="O1780" s="37">
        <f>IF(1&gt;DAY(EOMONTH(DATE(PARAMETRES!$C$29,8,1),0)),"",WEEKDAY(DATE(PARAMETRES!$C$29,8,1),2))</f>
        <v/>
      </c>
      <c r="P1780" s="37">
        <f>IF(2&gt;DAY(EOMONTH(DATE(PARAMETRES!$C$29,8,1),0)),"",WEEKDAY(DATE(PARAMETRES!$C$29,8,2),2))</f>
        <v/>
      </c>
      <c r="Q1780" s="37">
        <f>IF(3&gt;DAY(EOMONTH(DATE(PARAMETRES!$C$29,8,1),0)),"",WEEKDAY(DATE(PARAMETRES!$C$29,8,3),2))</f>
        <v/>
      </c>
      <c r="R1780" s="37">
        <f>IF(4&gt;DAY(EOMONTH(DATE(PARAMETRES!$C$29,8,1),0)),"",WEEKDAY(DATE(PARAMETRES!$C$29,8,4),2))</f>
        <v/>
      </c>
      <c r="S1780" s="37">
        <f>IF(5&gt;DAY(EOMONTH(DATE(PARAMETRES!$C$29,8,1),0)),"",WEEKDAY(DATE(PARAMETRES!$C$29,8,5),2))</f>
        <v/>
      </c>
      <c r="T1780" s="37">
        <f>IF(6&gt;DAY(EOMONTH(DATE(PARAMETRES!$C$29,8,1),0)),"",WEEKDAY(DATE(PARAMETRES!$C$29,8,6),2))</f>
        <v/>
      </c>
      <c r="U1780" s="37">
        <f>IF(7&gt;DAY(EOMONTH(DATE(PARAMETRES!$C$29,8,1),0)),"",WEEKDAY(DATE(PARAMETRES!$C$29,8,7),2))</f>
        <v/>
      </c>
      <c r="V1780" s="37">
        <f>IF(8&gt;DAY(EOMONTH(DATE(PARAMETRES!$C$29,8,1),0)),"",WEEKDAY(DATE(PARAMETRES!$C$29,8,8),2))</f>
        <v/>
      </c>
      <c r="W1780" s="37">
        <f>IF(9&gt;DAY(EOMONTH(DATE(PARAMETRES!$C$29,8,1),0)),"",WEEKDAY(DATE(PARAMETRES!$C$29,8,9),2))</f>
        <v/>
      </c>
      <c r="X1780" s="37">
        <f>IF(10&gt;DAY(EOMONTH(DATE(PARAMETRES!$C$29,8,1),0)),"",WEEKDAY(DATE(PARAMETRES!$C$29,8,10),2))</f>
        <v/>
      </c>
      <c r="Y1780" s="37">
        <f>IF(11&gt;DAY(EOMONTH(DATE(PARAMETRES!$C$29,8,1),0)),"",WEEKDAY(DATE(PARAMETRES!$C$29,8,11),2))</f>
        <v/>
      </c>
      <c r="Z1780" s="37">
        <f>IF(12&gt;DAY(EOMONTH(DATE(PARAMETRES!$C$29,8,1),0)),"",WEEKDAY(DATE(PARAMETRES!$C$29,8,12),2))</f>
        <v/>
      </c>
      <c r="AA1780" s="37">
        <f>IF(13&gt;DAY(EOMONTH(DATE(PARAMETRES!$C$29,8,1),0)),"",WEEKDAY(DATE(PARAMETRES!$C$29,8,13),2))</f>
        <v/>
      </c>
      <c r="AB1780" s="37">
        <f>IF(14&gt;DAY(EOMONTH(DATE(PARAMETRES!$C$29,8,1),0)),"",WEEKDAY(DATE(PARAMETRES!$C$29,8,14),2))</f>
        <v/>
      </c>
      <c r="AC1780" s="37">
        <f>IF(15&gt;DAY(EOMONTH(DATE(PARAMETRES!$C$29,8,1),0)),"",WEEKDAY(DATE(PARAMETRES!$C$29,8,15),2))</f>
        <v/>
      </c>
      <c r="AD1780" s="37">
        <f>IF(16&gt;DAY(EOMONTH(DATE(PARAMETRES!$C$29,8,1),0)),"",WEEKDAY(DATE(PARAMETRES!$C$29,8,16),2))</f>
        <v/>
      </c>
      <c r="AE1780" s="37">
        <f>IF(17&gt;DAY(EOMONTH(DATE(PARAMETRES!$C$29,8,1),0)),"",WEEKDAY(DATE(PARAMETRES!$C$29,8,17),2))</f>
        <v/>
      </c>
      <c r="AF1780" s="37">
        <f>IF(18&gt;DAY(EOMONTH(DATE(PARAMETRES!$C$29,8,1),0)),"",WEEKDAY(DATE(PARAMETRES!$C$29,8,18),2))</f>
        <v/>
      </c>
      <c r="AG1780" s="37">
        <f>IF(19&gt;DAY(EOMONTH(DATE(PARAMETRES!$C$29,8,1),0)),"",WEEKDAY(DATE(PARAMETRES!$C$29,8,19),2))</f>
        <v/>
      </c>
      <c r="AH1780" s="37">
        <f>IF(20&gt;DAY(EOMONTH(DATE(PARAMETRES!$C$29,8,1),0)),"",WEEKDAY(DATE(PARAMETRES!$C$29,8,20),2))</f>
        <v/>
      </c>
      <c r="AI1780" s="37">
        <f>IF(21&gt;DAY(EOMONTH(DATE(PARAMETRES!$C$29,8,1),0)),"",WEEKDAY(DATE(PARAMETRES!$C$29,8,21),2))</f>
        <v/>
      </c>
      <c r="AJ1780" s="37">
        <f>IF(22&gt;DAY(EOMONTH(DATE(PARAMETRES!$C$29,8,1),0)),"",WEEKDAY(DATE(PARAMETRES!$C$29,8,22),2))</f>
        <v/>
      </c>
      <c r="AK1780" s="37">
        <f>IF(23&gt;DAY(EOMONTH(DATE(PARAMETRES!$C$29,8,1),0)),"",WEEKDAY(DATE(PARAMETRES!$C$29,8,23),2))</f>
        <v/>
      </c>
      <c r="AL1780" s="37">
        <f>IF(24&gt;DAY(EOMONTH(DATE(PARAMETRES!$C$29,8,1),0)),"",WEEKDAY(DATE(PARAMETRES!$C$29,8,24),2))</f>
        <v/>
      </c>
      <c r="AM1780" s="37">
        <f>IF(25&gt;DAY(EOMONTH(DATE(PARAMETRES!$C$29,8,1),0)),"",WEEKDAY(DATE(PARAMETRES!$C$29,8,25),2))</f>
        <v/>
      </c>
      <c r="AN1780" s="37">
        <f>IF(26&gt;DAY(EOMONTH(DATE(PARAMETRES!$C$29,8,1),0)),"",WEEKDAY(DATE(PARAMETRES!$C$29,8,26),2))</f>
        <v/>
      </c>
      <c r="AO1780" s="37">
        <f>IF(27&gt;DAY(EOMONTH(DATE(PARAMETRES!$C$29,8,1),0)),"",WEEKDAY(DATE(PARAMETRES!$C$29,8,27),2))</f>
        <v/>
      </c>
      <c r="AP1780" s="37">
        <f>IF(28&gt;DAY(EOMONTH(DATE(PARAMETRES!$C$29,8,1),0)),"",WEEKDAY(DATE(PARAMETRES!$C$29,8,28),2))</f>
        <v/>
      </c>
      <c r="AQ1780" s="37">
        <f>IF(29&gt;DAY(EOMONTH(DATE(PARAMETRES!$C$29,8,1),0)),"",WEEKDAY(DATE(PARAMETRES!$C$29,8,29),2))</f>
        <v/>
      </c>
      <c r="AR1780" s="37">
        <f>IF(30&gt;DAY(EOMONTH(DATE(PARAMETRES!$C$29,8,1),0)),"",WEEKDAY(DATE(PARAMETRES!$C$29,8,30),2))</f>
        <v/>
      </c>
      <c r="AS1780" s="37">
        <f>IF(31&gt;DAY(EOMONTH(DATE(PARAMETRES!$C$29,8,1),0)),"",WEEKDAY(DATE(PARAMETRES!$C$29,8,31),2))</f>
        <v/>
      </c>
    </row>
    <row r="1781" ht="15" customHeight="1" s="15">
      <c r="B1781" s="38" t="inlineStr">
        <is>
          <t>Jour</t>
        </is>
      </c>
      <c r="O1781" s="39">
        <f>IF(O1780="","",CHOOSE(O1780,"L","M","M","J","V","S","D"))</f>
        <v/>
      </c>
      <c r="P1781" s="39">
        <f>IF(P1780="","",CHOOSE(P1780,"L","M","M","J","V","S","D"))</f>
        <v/>
      </c>
      <c r="Q1781" s="39">
        <f>IF(Q1780="","",CHOOSE(Q1780,"L","M","M","J","V","S","D"))</f>
        <v/>
      </c>
      <c r="R1781" s="39">
        <f>IF(R1780="","",CHOOSE(R1780,"L","M","M","J","V","S","D"))</f>
        <v/>
      </c>
      <c r="S1781" s="39">
        <f>IF(S1780="","",CHOOSE(S1780,"L","M","M","J","V","S","D"))</f>
        <v/>
      </c>
      <c r="T1781" s="39">
        <f>IF(T1780="","",CHOOSE(T1780,"L","M","M","J","V","S","D"))</f>
        <v/>
      </c>
      <c r="U1781" s="39">
        <f>IF(U1780="","",CHOOSE(U1780,"L","M","M","J","V","S","D"))</f>
        <v/>
      </c>
      <c r="V1781" s="39">
        <f>IF(V1780="","",CHOOSE(V1780,"L","M","M","J","V","S","D"))</f>
        <v/>
      </c>
      <c r="W1781" s="39">
        <f>IF(W1780="","",CHOOSE(W1780,"L","M","M","J","V","S","D"))</f>
        <v/>
      </c>
      <c r="X1781" s="39">
        <f>IF(X1780="","",CHOOSE(X1780,"L","M","M","J","V","S","D"))</f>
        <v/>
      </c>
      <c r="Y1781" s="39">
        <f>IF(Y1780="","",CHOOSE(Y1780,"L","M","M","J","V","S","D"))</f>
        <v/>
      </c>
      <c r="Z1781" s="39">
        <f>IF(Z1780="","",CHOOSE(Z1780,"L","M","M","J","V","S","D"))</f>
        <v/>
      </c>
      <c r="AA1781" s="39">
        <f>IF(AA1780="","",CHOOSE(AA1780,"L","M","M","J","V","S","D"))</f>
        <v/>
      </c>
      <c r="AB1781" s="39">
        <f>IF(AB1780="","",CHOOSE(AB1780,"L","M","M","J","V","S","D"))</f>
        <v/>
      </c>
      <c r="AC1781" s="39">
        <f>IF(AC1780="","",CHOOSE(AC1780,"L","M","M","J","V","S","D"))</f>
        <v/>
      </c>
      <c r="AD1781" s="39">
        <f>IF(AD1780="","",CHOOSE(AD1780,"L","M","M","J","V","S","D"))</f>
        <v/>
      </c>
      <c r="AE1781" s="39">
        <f>IF(AE1780="","",CHOOSE(AE1780,"L","M","M","J","V","S","D"))</f>
        <v/>
      </c>
      <c r="AF1781" s="39">
        <f>IF(AF1780="","",CHOOSE(AF1780,"L","M","M","J","V","S","D"))</f>
        <v/>
      </c>
      <c r="AG1781" s="39">
        <f>IF(AG1780="","",CHOOSE(AG1780,"L","M","M","J","V","S","D"))</f>
        <v/>
      </c>
      <c r="AH1781" s="39">
        <f>IF(AH1780="","",CHOOSE(AH1780,"L","M","M","J","V","S","D"))</f>
        <v/>
      </c>
      <c r="AI1781" s="39">
        <f>IF(AI1780="","",CHOOSE(AI1780,"L","M","M","J","V","S","D"))</f>
        <v/>
      </c>
      <c r="AJ1781" s="39">
        <f>IF(AJ1780="","",CHOOSE(AJ1780,"L","M","M","J","V","S","D"))</f>
        <v/>
      </c>
      <c r="AK1781" s="39">
        <f>IF(AK1780="","",CHOOSE(AK1780,"L","M","M","J","V","S","D"))</f>
        <v/>
      </c>
      <c r="AL1781" s="39">
        <f>IF(AL1780="","",CHOOSE(AL1780,"L","M","M","J","V","S","D"))</f>
        <v/>
      </c>
      <c r="AM1781" s="39">
        <f>IF(AM1780="","",CHOOSE(AM1780,"L","M","M","J","V","S","D"))</f>
        <v/>
      </c>
      <c r="AN1781" s="39">
        <f>IF(AN1780="","",CHOOSE(AN1780,"L","M","M","J","V","S","D"))</f>
        <v/>
      </c>
      <c r="AO1781" s="39">
        <f>IF(AO1780="","",CHOOSE(AO1780,"L","M","M","J","V","S","D"))</f>
        <v/>
      </c>
      <c r="AP1781" s="39">
        <f>IF(AP1780="","",CHOOSE(AP1780,"L","M","M","J","V","S","D"))</f>
        <v/>
      </c>
      <c r="AQ1781" s="39">
        <f>IF(AQ1780="","",CHOOSE(AQ1780,"L","M","M","J","V","S","D"))</f>
        <v/>
      </c>
      <c r="AR1781" s="39">
        <f>IF(AR1780="","",CHOOSE(AR1780,"L","M","M","J","V","S","D"))</f>
        <v/>
      </c>
      <c r="AS1781" s="39">
        <f>IF(AS1780="","",CHOOSE(AS1780,"L","M","M","J","V","S","D"))</f>
        <v/>
      </c>
    </row>
    <row r="1782" ht="24" customHeight="1" s="15">
      <c r="B1782" s="40" t="inlineStr">
        <is>
          <t>Mois</t>
        </is>
      </c>
      <c r="C1782" s="40" t="inlineStr">
        <is>
          <t>Matricule</t>
        </is>
      </c>
      <c r="D1782" s="40" t="inlineStr">
        <is>
          <t>Nom complet</t>
        </is>
      </c>
      <c r="E1782" s="40" t="inlineStr">
        <is>
          <t>Heures
sup.</t>
        </is>
      </c>
      <c r="F1782" s="40" t="inlineStr">
        <is>
          <t>Primes
(CDF)</t>
        </is>
      </c>
      <c r="G1782" s="40" t="inlineStr">
        <is>
          <t>Jours
abs.</t>
        </is>
      </c>
      <c r="H1782" s="40" t="inlineStr">
        <is>
          <t>Avance
(CDF)</t>
        </is>
      </c>
      <c r="I1782" s="40" t="inlineStr">
        <is>
          <t>Contrôle
auto.</t>
        </is>
      </c>
      <c r="J1782" s="40" t="inlineStr">
        <is>
          <t>Retenues
(CDF)</t>
        </is>
      </c>
      <c r="K1782" s="40" t="inlineStr">
        <is>
          <t>Motif</t>
        </is>
      </c>
      <c r="L1782" s="40" t="inlineStr">
        <is>
          <t>Observ.</t>
        </is>
      </c>
      <c r="M1782" s="40" t="inlineStr">
        <is>
          <t>Jours
prévus</t>
        </is>
      </c>
      <c r="N1782" s="40" t="inlineStr">
        <is>
          <t>Jours
réels</t>
        </is>
      </c>
      <c r="O1782" s="40" t="n">
        <v>1</v>
      </c>
      <c r="P1782" s="40" t="n">
        <v>2</v>
      </c>
      <c r="Q1782" s="40" t="n">
        <v>3</v>
      </c>
      <c r="R1782" s="40" t="n">
        <v>4</v>
      </c>
      <c r="S1782" s="40" t="n">
        <v>5</v>
      </c>
      <c r="T1782" s="40" t="n">
        <v>6</v>
      </c>
      <c r="U1782" s="40" t="n">
        <v>7</v>
      </c>
      <c r="V1782" s="40" t="n">
        <v>8</v>
      </c>
      <c r="W1782" s="40" t="n">
        <v>9</v>
      </c>
      <c r="X1782" s="40" t="n">
        <v>10</v>
      </c>
      <c r="Y1782" s="40" t="n">
        <v>11</v>
      </c>
      <c r="Z1782" s="40" t="n">
        <v>12</v>
      </c>
      <c r="AA1782" s="40" t="n">
        <v>13</v>
      </c>
      <c r="AB1782" s="40" t="n">
        <v>14</v>
      </c>
      <c r="AC1782" s="40" t="n">
        <v>15</v>
      </c>
      <c r="AD1782" s="40" t="n">
        <v>16</v>
      </c>
      <c r="AE1782" s="40" t="n">
        <v>17</v>
      </c>
      <c r="AF1782" s="40" t="n">
        <v>18</v>
      </c>
      <c r="AG1782" s="40" t="n">
        <v>19</v>
      </c>
      <c r="AH1782" s="40" t="n">
        <v>20</v>
      </c>
      <c r="AI1782" s="40" t="n">
        <v>21</v>
      </c>
      <c r="AJ1782" s="40" t="n">
        <v>22</v>
      </c>
      <c r="AK1782" s="40" t="n">
        <v>23</v>
      </c>
      <c r="AL1782" s="40" t="n">
        <v>24</v>
      </c>
      <c r="AM1782" s="40" t="n">
        <v>25</v>
      </c>
      <c r="AN1782" s="40" t="n">
        <v>26</v>
      </c>
      <c r="AO1782" s="40" t="n">
        <v>27</v>
      </c>
      <c r="AP1782" s="40" t="n">
        <v>28</v>
      </c>
      <c r="AQ1782" s="40" t="n">
        <v>29</v>
      </c>
      <c r="AR1782" s="40" t="n">
        <v>30</v>
      </c>
      <c r="AS1782" s="40" t="n">
        <v>31</v>
      </c>
      <c r="AY1782" s="40" t="inlineStr">
        <is>
          <t>Heures
nuit</t>
        </is>
      </c>
    </row>
    <row r="1783" hidden="1" outlineLevel="1" ht="15" customHeight="1" s="15">
      <c r="B1783" s="41" t="n">
        <v>8</v>
      </c>
      <c r="C1783" s="42">
        <f>IF(EMPLOYES!C15="","",EMPLOYES!C15)</f>
        <v/>
      </c>
      <c r="D1783" s="43">
        <f>IF(EMPLOYES!C15="","",EMPLOYES!D15)</f>
        <v/>
      </c>
      <c r="E1783" s="44" t="n"/>
      <c r="F1783" s="42" t="n"/>
      <c r="G1783" s="41">
        <f>IF($C1783="",0,MAX(0,$M1783-$N1783))</f>
        <v/>
      </c>
      <c r="H1783" s="45" t="n"/>
      <c r="I1783" s="41">
        <f>IF($C1783="","",IF(H1783="","OK",IF(H1783&gt;EMPLOYES!P15,"⚠ Avance &gt; salaire",IF(H1783&gt;EMPLOYES!P15*PARAMETRES!$C$218,"⚠ Avance élevée","OK"))))</f>
        <v/>
      </c>
      <c r="J1783" s="45" t="n"/>
      <c r="K1783" s="46" t="n"/>
      <c r="L1783" s="46" t="n"/>
      <c r="M1783" s="41">
        <f>IF($C1783="","",SUMPRODUCT((PARAMETRES!$B$38:$B$157=PARAMETRES!$C$29)*(PARAMETRES!$C$38:$C$157=8)*(IF(EMPLOYES!M15="5j",PARAMETRES!$I$38:$I$157,PARAMETRES!$H$38:$H$157))))</f>
        <v/>
      </c>
      <c r="N1783" s="41">
        <f>IF($C1783="","",SUMPRODUCT((O1783:AS1783="P")+(O1783:AS1783="F")+(O1783:AS1783="C")+0.5*(O1783:AS1783="D"),(1-((O1780:AS1780=6)*(EMPLOYES!M15="5j")))))</f>
        <v/>
      </c>
      <c r="O1783" s="46" t="n"/>
      <c r="P1783" s="46" t="n"/>
      <c r="Q1783" s="46" t="n"/>
      <c r="R1783" s="46" t="n"/>
      <c r="S1783" s="46" t="n"/>
      <c r="T1783" s="46" t="n"/>
      <c r="U1783" s="46" t="n"/>
      <c r="V1783" s="46" t="n"/>
      <c r="W1783" s="46" t="n"/>
      <c r="X1783" s="46" t="n"/>
      <c r="Y1783" s="46" t="n"/>
      <c r="Z1783" s="46" t="n"/>
      <c r="AA1783" s="46" t="n"/>
      <c r="AB1783" s="46" t="n"/>
      <c r="AC1783" s="46" t="n"/>
      <c r="AD1783" s="46" t="n"/>
      <c r="AE1783" s="46" t="n"/>
      <c r="AF1783" s="46" t="n"/>
      <c r="AG1783" s="46" t="n"/>
      <c r="AH1783" s="46" t="n"/>
      <c r="AI1783" s="46" t="n"/>
      <c r="AJ1783" s="46" t="n"/>
      <c r="AK1783" s="46" t="n"/>
      <c r="AL1783" s="46" t="n"/>
      <c r="AM1783" s="46" t="n"/>
      <c r="AN1783" s="46" t="n"/>
      <c r="AO1783" s="46" t="n"/>
      <c r="AP1783" s="46" t="n"/>
      <c r="AQ1783" s="46" t="n"/>
      <c r="AR1783" s="46" t="n"/>
      <c r="AS1783" s="46" t="n"/>
      <c r="AV1783" s="36">
        <f>IF($C1783="","",EMPLOYES!M15)</f>
        <v/>
      </c>
      <c r="AW1783" s="36">
        <f>IF($C1783="",0,SUMPRODUCT(--(O1783:AS1783="C")))</f>
        <v/>
      </c>
      <c r="AX1783" s="36">
        <f>IF($C1783="",0,SUMPRODUCT(--(O1783:AS1783="R")))</f>
        <v/>
      </c>
      <c r="AY1783" s="44" t="n"/>
    </row>
    <row r="1784" hidden="1" outlineLevel="1" ht="15" customHeight="1" s="15">
      <c r="B1784" s="41" t="n">
        <v>8</v>
      </c>
      <c r="C1784" s="42">
        <f>IF(EMPLOYES!C16="","",EMPLOYES!C16)</f>
        <v/>
      </c>
      <c r="D1784" s="43">
        <f>IF(EMPLOYES!C16="","",EMPLOYES!D16)</f>
        <v/>
      </c>
      <c r="E1784" s="44" t="n"/>
      <c r="F1784" s="42" t="n"/>
      <c r="G1784" s="41">
        <f>IF($C1784="",0,MAX(0,$M1784-$N1784))</f>
        <v/>
      </c>
      <c r="H1784" s="45" t="n"/>
      <c r="I1784" s="41">
        <f>IF($C1784="","",IF(H1784="","OK",IF(H1784&gt;EMPLOYES!P16,"⚠ Avance &gt; salaire",IF(H1784&gt;EMPLOYES!P16*PARAMETRES!$C$218,"⚠ Avance élevée","OK"))))</f>
        <v/>
      </c>
      <c r="J1784" s="45" t="n"/>
      <c r="K1784" s="46" t="n"/>
      <c r="L1784" s="46" t="n"/>
      <c r="M1784" s="41">
        <f>IF($C1784="","",SUMPRODUCT((PARAMETRES!$B$38:$B$157=PARAMETRES!$C$29)*(PARAMETRES!$C$38:$C$157=8)*(IF(EMPLOYES!M16="5j",PARAMETRES!$I$38:$I$157,PARAMETRES!$H$38:$H$157))))</f>
        <v/>
      </c>
      <c r="N1784" s="41">
        <f>IF($C1784="","",SUMPRODUCT((O1784:AS1784="P")+(O1784:AS1784="F")+(O1784:AS1784="C")+0.5*(O1784:AS1784="D"),(1-((O1780:AS1780=6)*(EMPLOYES!M16="5j")))))</f>
        <v/>
      </c>
      <c r="O1784" s="46" t="n"/>
      <c r="P1784" s="46" t="n"/>
      <c r="Q1784" s="46" t="n"/>
      <c r="R1784" s="46" t="n"/>
      <c r="S1784" s="46" t="n"/>
      <c r="T1784" s="46" t="n"/>
      <c r="U1784" s="46" t="n"/>
      <c r="V1784" s="46" t="n"/>
      <c r="W1784" s="46" t="n"/>
      <c r="X1784" s="46" t="n"/>
      <c r="Y1784" s="46" t="n"/>
      <c r="Z1784" s="46" t="n"/>
      <c r="AA1784" s="46" t="n"/>
      <c r="AB1784" s="46" t="n"/>
      <c r="AC1784" s="46" t="n"/>
      <c r="AD1784" s="46" t="n"/>
      <c r="AE1784" s="46" t="n"/>
      <c r="AF1784" s="46" t="n"/>
      <c r="AG1784" s="46" t="n"/>
      <c r="AH1784" s="46" t="n"/>
      <c r="AI1784" s="46" t="n"/>
      <c r="AJ1784" s="46" t="n"/>
      <c r="AK1784" s="46" t="n"/>
      <c r="AL1784" s="46" t="n"/>
      <c r="AM1784" s="46" t="n"/>
      <c r="AN1784" s="46" t="n"/>
      <c r="AO1784" s="46" t="n"/>
      <c r="AP1784" s="46" t="n"/>
      <c r="AQ1784" s="46" t="n"/>
      <c r="AR1784" s="46" t="n"/>
      <c r="AS1784" s="46" t="n"/>
      <c r="AV1784" s="36">
        <f>IF($C1784="","",EMPLOYES!M16)</f>
        <v/>
      </c>
      <c r="AW1784" s="36">
        <f>IF($C1784="",0,SUMPRODUCT(--(O1784:AS1784="C")))</f>
        <v/>
      </c>
      <c r="AX1784" s="36">
        <f>IF($C1784="",0,SUMPRODUCT(--(O1784:AS1784="R")))</f>
        <v/>
      </c>
      <c r="AY1784" s="44" t="n"/>
    </row>
    <row r="1785" hidden="1" outlineLevel="1" ht="15" customHeight="1" s="15">
      <c r="B1785" s="41" t="n">
        <v>8</v>
      </c>
      <c r="C1785" s="42">
        <f>IF(EMPLOYES!C17="","",EMPLOYES!C17)</f>
        <v/>
      </c>
      <c r="D1785" s="43">
        <f>IF(EMPLOYES!C17="","",EMPLOYES!D17)</f>
        <v/>
      </c>
      <c r="E1785" s="44" t="n"/>
      <c r="F1785" s="42" t="n"/>
      <c r="G1785" s="41">
        <f>IF($C1785="",0,MAX(0,$M1785-$N1785))</f>
        <v/>
      </c>
      <c r="H1785" s="45" t="n"/>
      <c r="I1785" s="41">
        <f>IF($C1785="","",IF(H1785="","OK",IF(H1785&gt;EMPLOYES!P17,"⚠ Avance &gt; salaire",IF(H1785&gt;EMPLOYES!P17*PARAMETRES!$C$218,"⚠ Avance élevée","OK"))))</f>
        <v/>
      </c>
      <c r="J1785" s="45" t="n"/>
      <c r="K1785" s="46" t="n"/>
      <c r="L1785" s="46" t="n"/>
      <c r="M1785" s="41">
        <f>IF($C1785="","",SUMPRODUCT((PARAMETRES!$B$38:$B$157=PARAMETRES!$C$29)*(PARAMETRES!$C$38:$C$157=8)*(IF(EMPLOYES!M17="5j",PARAMETRES!$I$38:$I$157,PARAMETRES!$H$38:$H$157))))</f>
        <v/>
      </c>
      <c r="N1785" s="41">
        <f>IF($C1785="","",SUMPRODUCT((O1785:AS1785="P")+(O1785:AS1785="F")+(O1785:AS1785="C")+0.5*(O1785:AS1785="D"),(1-((O1780:AS1780=6)*(EMPLOYES!M17="5j")))))</f>
        <v/>
      </c>
      <c r="O1785" s="46" t="n"/>
      <c r="P1785" s="46" t="n"/>
      <c r="Q1785" s="46" t="n"/>
      <c r="R1785" s="46" t="n"/>
      <c r="S1785" s="46" t="n"/>
      <c r="T1785" s="46" t="n"/>
      <c r="U1785" s="46" t="n"/>
      <c r="V1785" s="46" t="n"/>
      <c r="W1785" s="46" t="n"/>
      <c r="X1785" s="46" t="n"/>
      <c r="Y1785" s="46" t="n"/>
      <c r="Z1785" s="46" t="n"/>
      <c r="AA1785" s="46" t="n"/>
      <c r="AB1785" s="46" t="n"/>
      <c r="AC1785" s="46" t="n"/>
      <c r="AD1785" s="46" t="n"/>
      <c r="AE1785" s="46" t="n"/>
      <c r="AF1785" s="46" t="n"/>
      <c r="AG1785" s="46" t="n"/>
      <c r="AH1785" s="46" t="n"/>
      <c r="AI1785" s="46" t="n"/>
      <c r="AJ1785" s="46" t="n"/>
      <c r="AK1785" s="46" t="n"/>
      <c r="AL1785" s="46" t="n"/>
      <c r="AM1785" s="46" t="n"/>
      <c r="AN1785" s="46" t="n"/>
      <c r="AO1785" s="46" t="n"/>
      <c r="AP1785" s="46" t="n"/>
      <c r="AQ1785" s="46" t="n"/>
      <c r="AR1785" s="46" t="n"/>
      <c r="AS1785" s="46" t="n"/>
      <c r="AV1785" s="36">
        <f>IF($C1785="","",EMPLOYES!M17)</f>
        <v/>
      </c>
      <c r="AW1785" s="36">
        <f>IF($C1785="",0,SUMPRODUCT(--(O1785:AS1785="C")))</f>
        <v/>
      </c>
      <c r="AX1785" s="36">
        <f>IF($C1785="",0,SUMPRODUCT(--(O1785:AS1785="R")))</f>
        <v/>
      </c>
      <c r="AY1785" s="44" t="n"/>
    </row>
    <row r="1786" hidden="1" outlineLevel="1" ht="15" customHeight="1" s="15">
      <c r="B1786" s="41" t="n">
        <v>8</v>
      </c>
      <c r="C1786" s="42">
        <f>IF(EMPLOYES!C18="","",EMPLOYES!C18)</f>
        <v/>
      </c>
      <c r="D1786" s="43">
        <f>IF(EMPLOYES!C18="","",EMPLOYES!D18)</f>
        <v/>
      </c>
      <c r="E1786" s="44" t="n"/>
      <c r="F1786" s="42" t="n"/>
      <c r="G1786" s="41">
        <f>IF($C1786="",0,MAX(0,$M1786-$N1786))</f>
        <v/>
      </c>
      <c r="H1786" s="45" t="n"/>
      <c r="I1786" s="41">
        <f>IF($C1786="","",IF(H1786="","OK",IF(H1786&gt;EMPLOYES!P18,"⚠ Avance &gt; salaire",IF(H1786&gt;EMPLOYES!P18*PARAMETRES!$C$218,"⚠ Avance élevée","OK"))))</f>
        <v/>
      </c>
      <c r="J1786" s="45" t="n"/>
      <c r="K1786" s="46" t="n"/>
      <c r="L1786" s="46" t="n"/>
      <c r="M1786" s="41">
        <f>IF($C1786="","",SUMPRODUCT((PARAMETRES!$B$38:$B$157=PARAMETRES!$C$29)*(PARAMETRES!$C$38:$C$157=8)*(IF(EMPLOYES!M18="5j",PARAMETRES!$I$38:$I$157,PARAMETRES!$H$38:$H$157))))</f>
        <v/>
      </c>
      <c r="N1786" s="41">
        <f>IF($C1786="","",SUMPRODUCT((O1786:AS1786="P")+(O1786:AS1786="F")+(O1786:AS1786="C")+0.5*(O1786:AS1786="D"),(1-((O1780:AS1780=6)*(EMPLOYES!M18="5j")))))</f>
        <v/>
      </c>
      <c r="O1786" s="46" t="n"/>
      <c r="P1786" s="46" t="n"/>
      <c r="Q1786" s="46" t="n"/>
      <c r="R1786" s="46" t="n"/>
      <c r="S1786" s="46" t="n"/>
      <c r="T1786" s="46" t="n"/>
      <c r="U1786" s="46" t="n"/>
      <c r="V1786" s="46" t="n"/>
      <c r="W1786" s="46" t="n"/>
      <c r="X1786" s="46" t="n"/>
      <c r="Y1786" s="46" t="n"/>
      <c r="Z1786" s="46" t="n"/>
      <c r="AA1786" s="46" t="n"/>
      <c r="AB1786" s="46" t="n"/>
      <c r="AC1786" s="46" t="n"/>
      <c r="AD1786" s="46" t="n"/>
      <c r="AE1786" s="46" t="n"/>
      <c r="AF1786" s="46" t="n"/>
      <c r="AG1786" s="46" t="n"/>
      <c r="AH1786" s="46" t="n"/>
      <c r="AI1786" s="46" t="n"/>
      <c r="AJ1786" s="46" t="n"/>
      <c r="AK1786" s="46" t="n"/>
      <c r="AL1786" s="46" t="n"/>
      <c r="AM1786" s="46" t="n"/>
      <c r="AN1786" s="46" t="n"/>
      <c r="AO1786" s="46" t="n"/>
      <c r="AP1786" s="46" t="n"/>
      <c r="AQ1786" s="46" t="n"/>
      <c r="AR1786" s="46" t="n"/>
      <c r="AS1786" s="46" t="n"/>
      <c r="AV1786" s="36">
        <f>IF($C1786="","",EMPLOYES!M18)</f>
        <v/>
      </c>
      <c r="AW1786" s="36">
        <f>IF($C1786="",0,SUMPRODUCT(--(O1786:AS1786="C")))</f>
        <v/>
      </c>
      <c r="AX1786" s="36">
        <f>IF($C1786="",0,SUMPRODUCT(--(O1786:AS1786="R")))</f>
        <v/>
      </c>
      <c r="AY1786" s="44" t="n"/>
    </row>
    <row r="1787" hidden="1" outlineLevel="1" ht="15" customHeight="1" s="15">
      <c r="B1787" s="41" t="n">
        <v>8</v>
      </c>
      <c r="C1787" s="42">
        <f>IF(EMPLOYES!C19="","",EMPLOYES!C19)</f>
        <v/>
      </c>
      <c r="D1787" s="43">
        <f>IF(EMPLOYES!C19="","",EMPLOYES!D19)</f>
        <v/>
      </c>
      <c r="E1787" s="44" t="n"/>
      <c r="F1787" s="42" t="n"/>
      <c r="G1787" s="41">
        <f>IF($C1787="",0,MAX(0,$M1787-$N1787))</f>
        <v/>
      </c>
      <c r="H1787" s="45" t="n"/>
      <c r="I1787" s="41">
        <f>IF($C1787="","",IF(H1787="","OK",IF(H1787&gt;EMPLOYES!P19,"⚠ Avance &gt; salaire",IF(H1787&gt;EMPLOYES!P19*PARAMETRES!$C$218,"⚠ Avance élevée","OK"))))</f>
        <v/>
      </c>
      <c r="J1787" s="45" t="n"/>
      <c r="K1787" s="46" t="n"/>
      <c r="L1787" s="46" t="n"/>
      <c r="M1787" s="41">
        <f>IF($C1787="","",SUMPRODUCT((PARAMETRES!$B$38:$B$157=PARAMETRES!$C$29)*(PARAMETRES!$C$38:$C$157=8)*(IF(EMPLOYES!M19="5j",PARAMETRES!$I$38:$I$157,PARAMETRES!$H$38:$H$157))))</f>
        <v/>
      </c>
      <c r="N1787" s="41">
        <f>IF($C1787="","",SUMPRODUCT((O1787:AS1787="P")+(O1787:AS1787="F")+(O1787:AS1787="C")+0.5*(O1787:AS1787="D"),(1-((O1780:AS1780=6)*(EMPLOYES!M19="5j")))))</f>
        <v/>
      </c>
      <c r="O1787" s="46" t="n"/>
      <c r="P1787" s="46" t="n"/>
      <c r="Q1787" s="46" t="n"/>
      <c r="R1787" s="46" t="n"/>
      <c r="S1787" s="46" t="n"/>
      <c r="T1787" s="46" t="n"/>
      <c r="U1787" s="46" t="n"/>
      <c r="V1787" s="46" t="n"/>
      <c r="W1787" s="46" t="n"/>
      <c r="X1787" s="46" t="n"/>
      <c r="Y1787" s="46" t="n"/>
      <c r="Z1787" s="46" t="n"/>
      <c r="AA1787" s="46" t="n"/>
      <c r="AB1787" s="46" t="n"/>
      <c r="AC1787" s="46" t="n"/>
      <c r="AD1787" s="46" t="n"/>
      <c r="AE1787" s="46" t="n"/>
      <c r="AF1787" s="46" t="n"/>
      <c r="AG1787" s="46" t="n"/>
      <c r="AH1787" s="46" t="n"/>
      <c r="AI1787" s="46" t="n"/>
      <c r="AJ1787" s="46" t="n"/>
      <c r="AK1787" s="46" t="n"/>
      <c r="AL1787" s="46" t="n"/>
      <c r="AM1787" s="46" t="n"/>
      <c r="AN1787" s="46" t="n"/>
      <c r="AO1787" s="46" t="n"/>
      <c r="AP1787" s="46" t="n"/>
      <c r="AQ1787" s="46" t="n"/>
      <c r="AR1787" s="46" t="n"/>
      <c r="AS1787" s="46" t="n"/>
      <c r="AV1787" s="36">
        <f>IF($C1787="","",EMPLOYES!M19)</f>
        <v/>
      </c>
      <c r="AW1787" s="36">
        <f>IF($C1787="",0,SUMPRODUCT(--(O1787:AS1787="C")))</f>
        <v/>
      </c>
      <c r="AX1787" s="36">
        <f>IF($C1787="",0,SUMPRODUCT(--(O1787:AS1787="R")))</f>
        <v/>
      </c>
      <c r="AY1787" s="44" t="n"/>
    </row>
    <row r="1788" hidden="1" outlineLevel="1" ht="15" customHeight="1" s="15">
      <c r="B1788" s="41" t="n">
        <v>8</v>
      </c>
      <c r="C1788" s="42">
        <f>IF(EMPLOYES!C20="","",EMPLOYES!C20)</f>
        <v/>
      </c>
      <c r="D1788" s="43">
        <f>IF(EMPLOYES!C20="","",EMPLOYES!D20)</f>
        <v/>
      </c>
      <c r="E1788" s="44" t="n"/>
      <c r="F1788" s="42" t="n"/>
      <c r="G1788" s="41">
        <f>IF($C1788="",0,MAX(0,$M1788-$N1788))</f>
        <v/>
      </c>
      <c r="H1788" s="45" t="n"/>
      <c r="I1788" s="41">
        <f>IF($C1788="","",IF(H1788="","OK",IF(H1788&gt;EMPLOYES!P20,"⚠ Avance &gt; salaire",IF(H1788&gt;EMPLOYES!P20*PARAMETRES!$C$218,"⚠ Avance élevée","OK"))))</f>
        <v/>
      </c>
      <c r="J1788" s="45" t="n"/>
      <c r="K1788" s="46" t="n"/>
      <c r="L1788" s="46" t="n"/>
      <c r="M1788" s="41">
        <f>IF($C1788="","",SUMPRODUCT((PARAMETRES!$B$38:$B$157=PARAMETRES!$C$29)*(PARAMETRES!$C$38:$C$157=8)*(IF(EMPLOYES!M20="5j",PARAMETRES!$I$38:$I$157,PARAMETRES!$H$38:$H$157))))</f>
        <v/>
      </c>
      <c r="N1788" s="41">
        <f>IF($C1788="","",SUMPRODUCT((O1788:AS1788="P")+(O1788:AS1788="F")+(O1788:AS1788="C")+0.5*(O1788:AS1788="D"),(1-((O1780:AS1780=6)*(EMPLOYES!M20="5j")))))</f>
        <v/>
      </c>
      <c r="O1788" s="46" t="n"/>
      <c r="P1788" s="46" t="n"/>
      <c r="Q1788" s="46" t="n"/>
      <c r="R1788" s="46" t="n"/>
      <c r="S1788" s="46" t="n"/>
      <c r="T1788" s="46" t="n"/>
      <c r="U1788" s="46" t="n"/>
      <c r="V1788" s="46" t="n"/>
      <c r="W1788" s="46" t="n"/>
      <c r="X1788" s="46" t="n"/>
      <c r="Y1788" s="46" t="n"/>
      <c r="Z1788" s="46" t="n"/>
      <c r="AA1788" s="46" t="n"/>
      <c r="AB1788" s="46" t="n"/>
      <c r="AC1788" s="46" t="n"/>
      <c r="AD1788" s="46" t="n"/>
      <c r="AE1788" s="46" t="n"/>
      <c r="AF1788" s="46" t="n"/>
      <c r="AG1788" s="46" t="n"/>
      <c r="AH1788" s="46" t="n"/>
      <c r="AI1788" s="46" t="n"/>
      <c r="AJ1788" s="46" t="n"/>
      <c r="AK1788" s="46" t="n"/>
      <c r="AL1788" s="46" t="n"/>
      <c r="AM1788" s="46" t="n"/>
      <c r="AN1788" s="46" t="n"/>
      <c r="AO1788" s="46" t="n"/>
      <c r="AP1788" s="46" t="n"/>
      <c r="AQ1788" s="46" t="n"/>
      <c r="AR1788" s="46" t="n"/>
      <c r="AS1788" s="46" t="n"/>
      <c r="AV1788" s="36">
        <f>IF($C1788="","",EMPLOYES!M20)</f>
        <v/>
      </c>
      <c r="AW1788" s="36">
        <f>IF($C1788="",0,SUMPRODUCT(--(O1788:AS1788="C")))</f>
        <v/>
      </c>
      <c r="AX1788" s="36">
        <f>IF($C1788="",0,SUMPRODUCT(--(O1788:AS1788="R")))</f>
        <v/>
      </c>
      <c r="AY1788" s="44" t="n"/>
    </row>
    <row r="1789" hidden="1" outlineLevel="1" ht="15" customHeight="1" s="15">
      <c r="B1789" s="41" t="n">
        <v>8</v>
      </c>
      <c r="C1789" s="42">
        <f>IF(EMPLOYES!C21="","",EMPLOYES!C21)</f>
        <v/>
      </c>
      <c r="D1789" s="43">
        <f>IF(EMPLOYES!C21="","",EMPLOYES!D21)</f>
        <v/>
      </c>
      <c r="E1789" s="44" t="n"/>
      <c r="F1789" s="42" t="n"/>
      <c r="G1789" s="41">
        <f>IF($C1789="",0,MAX(0,$M1789-$N1789))</f>
        <v/>
      </c>
      <c r="H1789" s="45" t="n"/>
      <c r="I1789" s="41">
        <f>IF($C1789="","",IF(H1789="","OK",IF(H1789&gt;EMPLOYES!P21,"⚠ Avance &gt; salaire",IF(H1789&gt;EMPLOYES!P21*PARAMETRES!$C$218,"⚠ Avance élevée","OK"))))</f>
        <v/>
      </c>
      <c r="J1789" s="45" t="n"/>
      <c r="K1789" s="46" t="n"/>
      <c r="L1789" s="46" t="n"/>
      <c r="M1789" s="41">
        <f>IF($C1789="","",SUMPRODUCT((PARAMETRES!$B$38:$B$157=PARAMETRES!$C$29)*(PARAMETRES!$C$38:$C$157=8)*(IF(EMPLOYES!M21="5j",PARAMETRES!$I$38:$I$157,PARAMETRES!$H$38:$H$157))))</f>
        <v/>
      </c>
      <c r="N1789" s="41">
        <f>IF($C1789="","",SUMPRODUCT((O1789:AS1789="P")+(O1789:AS1789="F")+(O1789:AS1789="C")+0.5*(O1789:AS1789="D"),(1-((O1780:AS1780=6)*(EMPLOYES!M21="5j")))))</f>
        <v/>
      </c>
      <c r="O1789" s="46" t="n"/>
      <c r="P1789" s="46" t="n"/>
      <c r="Q1789" s="46" t="n"/>
      <c r="R1789" s="46" t="n"/>
      <c r="S1789" s="46" t="n"/>
      <c r="T1789" s="46" t="n"/>
      <c r="U1789" s="46" t="n"/>
      <c r="V1789" s="46" t="n"/>
      <c r="W1789" s="46" t="n"/>
      <c r="X1789" s="46" t="n"/>
      <c r="Y1789" s="46" t="n"/>
      <c r="Z1789" s="46" t="n"/>
      <c r="AA1789" s="46" t="n"/>
      <c r="AB1789" s="46" t="n"/>
      <c r="AC1789" s="46" t="n"/>
      <c r="AD1789" s="46" t="n"/>
      <c r="AE1789" s="46" t="n"/>
      <c r="AF1789" s="46" t="n"/>
      <c r="AG1789" s="46" t="n"/>
      <c r="AH1789" s="46" t="n"/>
      <c r="AI1789" s="46" t="n"/>
      <c r="AJ1789" s="46" t="n"/>
      <c r="AK1789" s="46" t="n"/>
      <c r="AL1789" s="46" t="n"/>
      <c r="AM1789" s="46" t="n"/>
      <c r="AN1789" s="46" t="n"/>
      <c r="AO1789" s="46" t="n"/>
      <c r="AP1789" s="46" t="n"/>
      <c r="AQ1789" s="46" t="n"/>
      <c r="AR1789" s="46" t="n"/>
      <c r="AS1789" s="46" t="n"/>
      <c r="AV1789" s="36">
        <f>IF($C1789="","",EMPLOYES!M21)</f>
        <v/>
      </c>
      <c r="AW1789" s="36">
        <f>IF($C1789="",0,SUMPRODUCT(--(O1789:AS1789="C")))</f>
        <v/>
      </c>
      <c r="AX1789" s="36">
        <f>IF($C1789="",0,SUMPRODUCT(--(O1789:AS1789="R")))</f>
        <v/>
      </c>
      <c r="AY1789" s="44" t="n"/>
    </row>
    <row r="1790" hidden="1" outlineLevel="1" ht="15" customHeight="1" s="15">
      <c r="B1790" s="41" t="n">
        <v>8</v>
      </c>
      <c r="C1790" s="42">
        <f>IF(EMPLOYES!C22="","",EMPLOYES!C22)</f>
        <v/>
      </c>
      <c r="D1790" s="43">
        <f>IF(EMPLOYES!C22="","",EMPLOYES!D22)</f>
        <v/>
      </c>
      <c r="E1790" s="44" t="n"/>
      <c r="F1790" s="42" t="n"/>
      <c r="G1790" s="41">
        <f>IF($C1790="",0,MAX(0,$M1790-$N1790))</f>
        <v/>
      </c>
      <c r="H1790" s="45" t="n"/>
      <c r="I1790" s="41">
        <f>IF($C1790="","",IF(H1790="","OK",IF(H1790&gt;EMPLOYES!P22,"⚠ Avance &gt; salaire",IF(H1790&gt;EMPLOYES!P22*PARAMETRES!$C$218,"⚠ Avance élevée","OK"))))</f>
        <v/>
      </c>
      <c r="J1790" s="45" t="n"/>
      <c r="K1790" s="46" t="n"/>
      <c r="L1790" s="46" t="n"/>
      <c r="M1790" s="41">
        <f>IF($C1790="","",SUMPRODUCT((PARAMETRES!$B$38:$B$157=PARAMETRES!$C$29)*(PARAMETRES!$C$38:$C$157=8)*(IF(EMPLOYES!M22="5j",PARAMETRES!$I$38:$I$157,PARAMETRES!$H$38:$H$157))))</f>
        <v/>
      </c>
      <c r="N1790" s="41">
        <f>IF($C1790="","",SUMPRODUCT((O1790:AS1790="P")+(O1790:AS1790="F")+(O1790:AS1790="C")+0.5*(O1790:AS1790="D"),(1-((O1780:AS1780=6)*(EMPLOYES!M22="5j")))))</f>
        <v/>
      </c>
      <c r="O1790" s="46" t="n"/>
      <c r="P1790" s="46" t="n"/>
      <c r="Q1790" s="46" t="n"/>
      <c r="R1790" s="46" t="n"/>
      <c r="S1790" s="46" t="n"/>
      <c r="T1790" s="46" t="n"/>
      <c r="U1790" s="46" t="n"/>
      <c r="V1790" s="46" t="n"/>
      <c r="W1790" s="46" t="n"/>
      <c r="X1790" s="46" t="n"/>
      <c r="Y1790" s="46" t="n"/>
      <c r="Z1790" s="46" t="n"/>
      <c r="AA1790" s="46" t="n"/>
      <c r="AB1790" s="46" t="n"/>
      <c r="AC1790" s="46" t="n"/>
      <c r="AD1790" s="46" t="n"/>
      <c r="AE1790" s="46" t="n"/>
      <c r="AF1790" s="46" t="n"/>
      <c r="AG1790" s="46" t="n"/>
      <c r="AH1790" s="46" t="n"/>
      <c r="AI1790" s="46" t="n"/>
      <c r="AJ1790" s="46" t="n"/>
      <c r="AK1790" s="46" t="n"/>
      <c r="AL1790" s="46" t="n"/>
      <c r="AM1790" s="46" t="n"/>
      <c r="AN1790" s="46" t="n"/>
      <c r="AO1790" s="46" t="n"/>
      <c r="AP1790" s="46" t="n"/>
      <c r="AQ1790" s="46" t="n"/>
      <c r="AR1790" s="46" t="n"/>
      <c r="AS1790" s="46" t="n"/>
      <c r="AV1790" s="36">
        <f>IF($C1790="","",EMPLOYES!M22)</f>
        <v/>
      </c>
      <c r="AW1790" s="36">
        <f>IF($C1790="",0,SUMPRODUCT(--(O1790:AS1790="C")))</f>
        <v/>
      </c>
      <c r="AX1790" s="36">
        <f>IF($C1790="",0,SUMPRODUCT(--(O1790:AS1790="R")))</f>
        <v/>
      </c>
      <c r="AY1790" s="44" t="n"/>
    </row>
    <row r="1791" hidden="1" outlineLevel="1" ht="15" customHeight="1" s="15">
      <c r="B1791" s="41" t="n">
        <v>8</v>
      </c>
      <c r="C1791" s="42">
        <f>IF(EMPLOYES!C23="","",EMPLOYES!C23)</f>
        <v/>
      </c>
      <c r="D1791" s="43">
        <f>IF(EMPLOYES!C23="","",EMPLOYES!D23)</f>
        <v/>
      </c>
      <c r="E1791" s="44" t="n"/>
      <c r="F1791" s="42" t="n"/>
      <c r="G1791" s="41">
        <f>IF($C1791="",0,MAX(0,$M1791-$N1791))</f>
        <v/>
      </c>
      <c r="H1791" s="45" t="n"/>
      <c r="I1791" s="41">
        <f>IF($C1791="","",IF(H1791="","OK",IF(H1791&gt;EMPLOYES!P23,"⚠ Avance &gt; salaire",IF(H1791&gt;EMPLOYES!P23*PARAMETRES!$C$218,"⚠ Avance élevée","OK"))))</f>
        <v/>
      </c>
      <c r="J1791" s="45" t="n"/>
      <c r="K1791" s="46" t="n"/>
      <c r="L1791" s="46" t="n"/>
      <c r="M1791" s="41">
        <f>IF($C1791="","",SUMPRODUCT((PARAMETRES!$B$38:$B$157=PARAMETRES!$C$29)*(PARAMETRES!$C$38:$C$157=8)*(IF(EMPLOYES!M23="5j",PARAMETRES!$I$38:$I$157,PARAMETRES!$H$38:$H$157))))</f>
        <v/>
      </c>
      <c r="N1791" s="41">
        <f>IF($C1791="","",SUMPRODUCT((O1791:AS1791="P")+(O1791:AS1791="F")+(O1791:AS1791="C")+0.5*(O1791:AS1791="D"),(1-((O1780:AS1780=6)*(EMPLOYES!M23="5j")))))</f>
        <v/>
      </c>
      <c r="O1791" s="46" t="n"/>
      <c r="P1791" s="46" t="n"/>
      <c r="Q1791" s="46" t="n"/>
      <c r="R1791" s="46" t="n"/>
      <c r="S1791" s="46" t="n"/>
      <c r="T1791" s="46" t="n"/>
      <c r="U1791" s="46" t="n"/>
      <c r="V1791" s="46" t="n"/>
      <c r="W1791" s="46" t="n"/>
      <c r="X1791" s="46" t="n"/>
      <c r="Y1791" s="46" t="n"/>
      <c r="Z1791" s="46" t="n"/>
      <c r="AA1791" s="46" t="n"/>
      <c r="AB1791" s="46" t="n"/>
      <c r="AC1791" s="46" t="n"/>
      <c r="AD1791" s="46" t="n"/>
      <c r="AE1791" s="46" t="n"/>
      <c r="AF1791" s="46" t="n"/>
      <c r="AG1791" s="46" t="n"/>
      <c r="AH1791" s="46" t="n"/>
      <c r="AI1791" s="46" t="n"/>
      <c r="AJ1791" s="46" t="n"/>
      <c r="AK1791" s="46" t="n"/>
      <c r="AL1791" s="46" t="n"/>
      <c r="AM1791" s="46" t="n"/>
      <c r="AN1791" s="46" t="n"/>
      <c r="AO1791" s="46" t="n"/>
      <c r="AP1791" s="46" t="n"/>
      <c r="AQ1791" s="46" t="n"/>
      <c r="AR1791" s="46" t="n"/>
      <c r="AS1791" s="46" t="n"/>
      <c r="AV1791" s="36">
        <f>IF($C1791="","",EMPLOYES!M23)</f>
        <v/>
      </c>
      <c r="AW1791" s="36">
        <f>IF($C1791="",0,SUMPRODUCT(--(O1791:AS1791="C")))</f>
        <v/>
      </c>
      <c r="AX1791" s="36">
        <f>IF($C1791="",0,SUMPRODUCT(--(O1791:AS1791="R")))</f>
        <v/>
      </c>
      <c r="AY1791" s="44" t="n"/>
    </row>
    <row r="1792" hidden="1" outlineLevel="1" ht="15" customHeight="1" s="15">
      <c r="B1792" s="41" t="n">
        <v>8</v>
      </c>
      <c r="C1792" s="42">
        <f>IF(EMPLOYES!C24="","",EMPLOYES!C24)</f>
        <v/>
      </c>
      <c r="D1792" s="43">
        <f>IF(EMPLOYES!C24="","",EMPLOYES!D24)</f>
        <v/>
      </c>
      <c r="E1792" s="44" t="n"/>
      <c r="F1792" s="42" t="n"/>
      <c r="G1792" s="41">
        <f>IF($C1792="",0,MAX(0,$M1792-$N1792))</f>
        <v/>
      </c>
      <c r="H1792" s="45" t="n"/>
      <c r="I1792" s="41">
        <f>IF($C1792="","",IF(H1792="","OK",IF(H1792&gt;EMPLOYES!P24,"⚠ Avance &gt; salaire",IF(H1792&gt;EMPLOYES!P24*PARAMETRES!$C$218,"⚠ Avance élevée","OK"))))</f>
        <v/>
      </c>
      <c r="J1792" s="45" t="n"/>
      <c r="K1792" s="46" t="n"/>
      <c r="L1792" s="46" t="n"/>
      <c r="M1792" s="41">
        <f>IF($C1792="","",SUMPRODUCT((PARAMETRES!$B$38:$B$157=PARAMETRES!$C$29)*(PARAMETRES!$C$38:$C$157=8)*(IF(EMPLOYES!M24="5j",PARAMETRES!$I$38:$I$157,PARAMETRES!$H$38:$H$157))))</f>
        <v/>
      </c>
      <c r="N1792" s="41">
        <f>IF($C1792="","",SUMPRODUCT((O1792:AS1792="P")+(O1792:AS1792="F")+(O1792:AS1792="C")+0.5*(O1792:AS1792="D"),(1-((O1780:AS1780=6)*(EMPLOYES!M24="5j")))))</f>
        <v/>
      </c>
      <c r="O1792" s="46" t="n"/>
      <c r="P1792" s="46" t="n"/>
      <c r="Q1792" s="46" t="n"/>
      <c r="R1792" s="46" t="n"/>
      <c r="S1792" s="46" t="n"/>
      <c r="T1792" s="46" t="n"/>
      <c r="U1792" s="46" t="n"/>
      <c r="V1792" s="46" t="n"/>
      <c r="W1792" s="46" t="n"/>
      <c r="X1792" s="46" t="n"/>
      <c r="Y1792" s="46" t="n"/>
      <c r="Z1792" s="46" t="n"/>
      <c r="AA1792" s="46" t="n"/>
      <c r="AB1792" s="46" t="n"/>
      <c r="AC1792" s="46" t="n"/>
      <c r="AD1792" s="46" t="n"/>
      <c r="AE1792" s="46" t="n"/>
      <c r="AF1792" s="46" t="n"/>
      <c r="AG1792" s="46" t="n"/>
      <c r="AH1792" s="46" t="n"/>
      <c r="AI1792" s="46" t="n"/>
      <c r="AJ1792" s="46" t="n"/>
      <c r="AK1792" s="46" t="n"/>
      <c r="AL1792" s="46" t="n"/>
      <c r="AM1792" s="46" t="n"/>
      <c r="AN1792" s="46" t="n"/>
      <c r="AO1792" s="46" t="n"/>
      <c r="AP1792" s="46" t="n"/>
      <c r="AQ1792" s="46" t="n"/>
      <c r="AR1792" s="46" t="n"/>
      <c r="AS1792" s="46" t="n"/>
      <c r="AV1792" s="36">
        <f>IF($C1792="","",EMPLOYES!M24)</f>
        <v/>
      </c>
      <c r="AW1792" s="36">
        <f>IF($C1792="",0,SUMPRODUCT(--(O1792:AS1792="C")))</f>
        <v/>
      </c>
      <c r="AX1792" s="36">
        <f>IF($C1792="",0,SUMPRODUCT(--(O1792:AS1792="R")))</f>
        <v/>
      </c>
      <c r="AY1792" s="44" t="n"/>
    </row>
    <row r="1793" hidden="1" outlineLevel="1" ht="15" customHeight="1" s="15">
      <c r="B1793" s="41" t="n">
        <v>8</v>
      </c>
      <c r="C1793" s="42">
        <f>IF(EMPLOYES!C25="","",EMPLOYES!C25)</f>
        <v/>
      </c>
      <c r="D1793" s="43">
        <f>IF(EMPLOYES!C25="","",EMPLOYES!D25)</f>
        <v/>
      </c>
      <c r="E1793" s="44" t="n"/>
      <c r="F1793" s="42" t="n"/>
      <c r="G1793" s="41">
        <f>IF($C1793="",0,MAX(0,$M1793-$N1793))</f>
        <v/>
      </c>
      <c r="H1793" s="45" t="n"/>
      <c r="I1793" s="41">
        <f>IF($C1793="","",IF(H1793="","OK",IF(H1793&gt;EMPLOYES!P25,"⚠ Avance &gt; salaire",IF(H1793&gt;EMPLOYES!P25*PARAMETRES!$C$218,"⚠ Avance élevée","OK"))))</f>
        <v/>
      </c>
      <c r="J1793" s="45" t="n"/>
      <c r="K1793" s="46" t="n"/>
      <c r="L1793" s="46" t="n"/>
      <c r="M1793" s="41">
        <f>IF($C1793="","",SUMPRODUCT((PARAMETRES!$B$38:$B$157=PARAMETRES!$C$29)*(PARAMETRES!$C$38:$C$157=8)*(IF(EMPLOYES!M25="5j",PARAMETRES!$I$38:$I$157,PARAMETRES!$H$38:$H$157))))</f>
        <v/>
      </c>
      <c r="N1793" s="41">
        <f>IF($C1793="","",SUMPRODUCT((O1793:AS1793="P")+(O1793:AS1793="F")+(O1793:AS1793="C")+0.5*(O1793:AS1793="D"),(1-((O1780:AS1780=6)*(EMPLOYES!M25="5j")))))</f>
        <v/>
      </c>
      <c r="O1793" s="46" t="n"/>
      <c r="P1793" s="46" t="n"/>
      <c r="Q1793" s="46" t="n"/>
      <c r="R1793" s="46" t="n"/>
      <c r="S1793" s="46" t="n"/>
      <c r="T1793" s="46" t="n"/>
      <c r="U1793" s="46" t="n"/>
      <c r="V1793" s="46" t="n"/>
      <c r="W1793" s="46" t="n"/>
      <c r="X1793" s="46" t="n"/>
      <c r="Y1793" s="46" t="n"/>
      <c r="Z1793" s="46" t="n"/>
      <c r="AA1793" s="46" t="n"/>
      <c r="AB1793" s="46" t="n"/>
      <c r="AC1793" s="46" t="n"/>
      <c r="AD1793" s="46" t="n"/>
      <c r="AE1793" s="46" t="n"/>
      <c r="AF1793" s="46" t="n"/>
      <c r="AG1793" s="46" t="n"/>
      <c r="AH1793" s="46" t="n"/>
      <c r="AI1793" s="46" t="n"/>
      <c r="AJ1793" s="46" t="n"/>
      <c r="AK1793" s="46" t="n"/>
      <c r="AL1793" s="46" t="n"/>
      <c r="AM1793" s="46" t="n"/>
      <c r="AN1793" s="46" t="n"/>
      <c r="AO1793" s="46" t="n"/>
      <c r="AP1793" s="46" t="n"/>
      <c r="AQ1793" s="46" t="n"/>
      <c r="AR1793" s="46" t="n"/>
      <c r="AS1793" s="46" t="n"/>
      <c r="AV1793" s="36">
        <f>IF($C1793="","",EMPLOYES!M25)</f>
        <v/>
      </c>
      <c r="AW1793" s="36">
        <f>IF($C1793="",0,SUMPRODUCT(--(O1793:AS1793="C")))</f>
        <v/>
      </c>
      <c r="AX1793" s="36">
        <f>IF($C1793="",0,SUMPRODUCT(--(O1793:AS1793="R")))</f>
        <v/>
      </c>
      <c r="AY1793" s="44" t="n"/>
    </row>
    <row r="1794" hidden="1" outlineLevel="1" ht="15" customHeight="1" s="15">
      <c r="B1794" s="41" t="n">
        <v>8</v>
      </c>
      <c r="C1794" s="42">
        <f>IF(EMPLOYES!C26="","",EMPLOYES!C26)</f>
        <v/>
      </c>
      <c r="D1794" s="43">
        <f>IF(EMPLOYES!C26="","",EMPLOYES!D26)</f>
        <v/>
      </c>
      <c r="E1794" s="44" t="n"/>
      <c r="F1794" s="42" t="n"/>
      <c r="G1794" s="41">
        <f>IF($C1794="",0,MAX(0,$M1794-$N1794))</f>
        <v/>
      </c>
      <c r="H1794" s="45" t="n"/>
      <c r="I1794" s="41">
        <f>IF($C1794="","",IF(H1794="","OK",IF(H1794&gt;EMPLOYES!P26,"⚠ Avance &gt; salaire",IF(H1794&gt;EMPLOYES!P26*PARAMETRES!$C$218,"⚠ Avance élevée","OK"))))</f>
        <v/>
      </c>
      <c r="J1794" s="45" t="n"/>
      <c r="K1794" s="46" t="n"/>
      <c r="L1794" s="46" t="n"/>
      <c r="M1794" s="41">
        <f>IF($C1794="","",SUMPRODUCT((PARAMETRES!$B$38:$B$157=PARAMETRES!$C$29)*(PARAMETRES!$C$38:$C$157=8)*(IF(EMPLOYES!M26="5j",PARAMETRES!$I$38:$I$157,PARAMETRES!$H$38:$H$157))))</f>
        <v/>
      </c>
      <c r="N1794" s="41">
        <f>IF($C1794="","",SUMPRODUCT((O1794:AS1794="P")+(O1794:AS1794="F")+(O1794:AS1794="C")+0.5*(O1794:AS1794="D"),(1-((O1780:AS1780=6)*(EMPLOYES!M26="5j")))))</f>
        <v/>
      </c>
      <c r="O1794" s="46" t="n"/>
      <c r="P1794" s="46" t="n"/>
      <c r="Q1794" s="46" t="n"/>
      <c r="R1794" s="46" t="n"/>
      <c r="S1794" s="46" t="n"/>
      <c r="T1794" s="46" t="n"/>
      <c r="U1794" s="46" t="n"/>
      <c r="V1794" s="46" t="n"/>
      <c r="W1794" s="46" t="n"/>
      <c r="X1794" s="46" t="n"/>
      <c r="Y1794" s="46" t="n"/>
      <c r="Z1794" s="46" t="n"/>
      <c r="AA1794" s="46" t="n"/>
      <c r="AB1794" s="46" t="n"/>
      <c r="AC1794" s="46" t="n"/>
      <c r="AD1794" s="46" t="n"/>
      <c r="AE1794" s="46" t="n"/>
      <c r="AF1794" s="46" t="n"/>
      <c r="AG1794" s="46" t="n"/>
      <c r="AH1794" s="46" t="n"/>
      <c r="AI1794" s="46" t="n"/>
      <c r="AJ1794" s="46" t="n"/>
      <c r="AK1794" s="46" t="n"/>
      <c r="AL1794" s="46" t="n"/>
      <c r="AM1794" s="46" t="n"/>
      <c r="AN1794" s="46" t="n"/>
      <c r="AO1794" s="46" t="n"/>
      <c r="AP1794" s="46" t="n"/>
      <c r="AQ1794" s="46" t="n"/>
      <c r="AR1794" s="46" t="n"/>
      <c r="AS1794" s="46" t="n"/>
      <c r="AV1794" s="36">
        <f>IF($C1794="","",EMPLOYES!M26)</f>
        <v/>
      </c>
      <c r="AW1794" s="36">
        <f>IF($C1794="",0,SUMPRODUCT(--(O1794:AS1794="C")))</f>
        <v/>
      </c>
      <c r="AX1794" s="36">
        <f>IF($C1794="",0,SUMPRODUCT(--(O1794:AS1794="R")))</f>
        <v/>
      </c>
      <c r="AY1794" s="44" t="n"/>
    </row>
    <row r="1795" hidden="1" outlineLevel="1" ht="15" customHeight="1" s="15">
      <c r="B1795" s="41" t="n">
        <v>8</v>
      </c>
      <c r="C1795" s="42">
        <f>IF(EMPLOYES!C27="","",EMPLOYES!C27)</f>
        <v/>
      </c>
      <c r="D1795" s="43">
        <f>IF(EMPLOYES!C27="","",EMPLOYES!D27)</f>
        <v/>
      </c>
      <c r="E1795" s="44" t="n"/>
      <c r="F1795" s="42" t="n"/>
      <c r="G1795" s="41">
        <f>IF($C1795="",0,MAX(0,$M1795-$N1795))</f>
        <v/>
      </c>
      <c r="H1795" s="45" t="n"/>
      <c r="I1795" s="41">
        <f>IF($C1795="","",IF(H1795="","OK",IF(H1795&gt;EMPLOYES!P27,"⚠ Avance &gt; salaire",IF(H1795&gt;EMPLOYES!P27*PARAMETRES!$C$218,"⚠ Avance élevée","OK"))))</f>
        <v/>
      </c>
      <c r="J1795" s="45" t="n"/>
      <c r="K1795" s="46" t="n"/>
      <c r="L1795" s="46" t="n"/>
      <c r="M1795" s="41">
        <f>IF($C1795="","",SUMPRODUCT((PARAMETRES!$B$38:$B$157=PARAMETRES!$C$29)*(PARAMETRES!$C$38:$C$157=8)*(IF(EMPLOYES!M27="5j",PARAMETRES!$I$38:$I$157,PARAMETRES!$H$38:$H$157))))</f>
        <v/>
      </c>
      <c r="N1795" s="41">
        <f>IF($C1795="","",SUMPRODUCT((O1795:AS1795="P")+(O1795:AS1795="F")+(O1795:AS1795="C")+0.5*(O1795:AS1795="D"),(1-((O1780:AS1780=6)*(EMPLOYES!M27="5j")))))</f>
        <v/>
      </c>
      <c r="O1795" s="46" t="n"/>
      <c r="P1795" s="46" t="n"/>
      <c r="Q1795" s="46" t="n"/>
      <c r="R1795" s="46" t="n"/>
      <c r="S1795" s="46" t="n"/>
      <c r="T1795" s="46" t="n"/>
      <c r="U1795" s="46" t="n"/>
      <c r="V1795" s="46" t="n"/>
      <c r="W1795" s="46" t="n"/>
      <c r="X1795" s="46" t="n"/>
      <c r="Y1795" s="46" t="n"/>
      <c r="Z1795" s="46" t="n"/>
      <c r="AA1795" s="46" t="n"/>
      <c r="AB1795" s="46" t="n"/>
      <c r="AC1795" s="46" t="n"/>
      <c r="AD1795" s="46" t="n"/>
      <c r="AE1795" s="46" t="n"/>
      <c r="AF1795" s="46" t="n"/>
      <c r="AG1795" s="46" t="n"/>
      <c r="AH1795" s="46" t="n"/>
      <c r="AI1795" s="46" t="n"/>
      <c r="AJ1795" s="46" t="n"/>
      <c r="AK1795" s="46" t="n"/>
      <c r="AL1795" s="46" t="n"/>
      <c r="AM1795" s="46" t="n"/>
      <c r="AN1795" s="46" t="n"/>
      <c r="AO1795" s="46" t="n"/>
      <c r="AP1795" s="46" t="n"/>
      <c r="AQ1795" s="46" t="n"/>
      <c r="AR1795" s="46" t="n"/>
      <c r="AS1795" s="46" t="n"/>
      <c r="AV1795" s="36">
        <f>IF($C1795="","",EMPLOYES!M27)</f>
        <v/>
      </c>
      <c r="AW1795" s="36">
        <f>IF($C1795="",0,SUMPRODUCT(--(O1795:AS1795="C")))</f>
        <v/>
      </c>
      <c r="AX1795" s="36">
        <f>IF($C1795="",0,SUMPRODUCT(--(O1795:AS1795="R")))</f>
        <v/>
      </c>
      <c r="AY1795" s="44" t="n"/>
    </row>
    <row r="1796" hidden="1" outlineLevel="1" ht="15" customHeight="1" s="15">
      <c r="B1796" s="41" t="n">
        <v>8</v>
      </c>
      <c r="C1796" s="42">
        <f>IF(EMPLOYES!C28="","",EMPLOYES!C28)</f>
        <v/>
      </c>
      <c r="D1796" s="43">
        <f>IF(EMPLOYES!C28="","",EMPLOYES!D28)</f>
        <v/>
      </c>
      <c r="E1796" s="44" t="n"/>
      <c r="F1796" s="42" t="n"/>
      <c r="G1796" s="41">
        <f>IF($C1796="",0,MAX(0,$M1796-$N1796))</f>
        <v/>
      </c>
      <c r="H1796" s="45" t="n"/>
      <c r="I1796" s="41">
        <f>IF($C1796="","",IF(H1796="","OK",IF(H1796&gt;EMPLOYES!P28,"⚠ Avance &gt; salaire",IF(H1796&gt;EMPLOYES!P28*PARAMETRES!$C$218,"⚠ Avance élevée","OK"))))</f>
        <v/>
      </c>
      <c r="J1796" s="45" t="n"/>
      <c r="K1796" s="46" t="n"/>
      <c r="L1796" s="46" t="n"/>
      <c r="M1796" s="41">
        <f>IF($C1796="","",SUMPRODUCT((PARAMETRES!$B$38:$B$157=PARAMETRES!$C$29)*(PARAMETRES!$C$38:$C$157=8)*(IF(EMPLOYES!M28="5j",PARAMETRES!$I$38:$I$157,PARAMETRES!$H$38:$H$157))))</f>
        <v/>
      </c>
      <c r="N1796" s="41">
        <f>IF($C1796="","",SUMPRODUCT((O1796:AS1796="P")+(O1796:AS1796="F")+(O1796:AS1796="C")+0.5*(O1796:AS1796="D"),(1-((O1780:AS1780=6)*(EMPLOYES!M28="5j")))))</f>
        <v/>
      </c>
      <c r="O1796" s="46" t="n"/>
      <c r="P1796" s="46" t="n"/>
      <c r="Q1796" s="46" t="n"/>
      <c r="R1796" s="46" t="n"/>
      <c r="S1796" s="46" t="n"/>
      <c r="T1796" s="46" t="n"/>
      <c r="U1796" s="46" t="n"/>
      <c r="V1796" s="46" t="n"/>
      <c r="W1796" s="46" t="n"/>
      <c r="X1796" s="46" t="n"/>
      <c r="Y1796" s="46" t="n"/>
      <c r="Z1796" s="46" t="n"/>
      <c r="AA1796" s="46" t="n"/>
      <c r="AB1796" s="46" t="n"/>
      <c r="AC1796" s="46" t="n"/>
      <c r="AD1796" s="46" t="n"/>
      <c r="AE1796" s="46" t="n"/>
      <c r="AF1796" s="46" t="n"/>
      <c r="AG1796" s="46" t="n"/>
      <c r="AH1796" s="46" t="n"/>
      <c r="AI1796" s="46" t="n"/>
      <c r="AJ1796" s="46" t="n"/>
      <c r="AK1796" s="46" t="n"/>
      <c r="AL1796" s="46" t="n"/>
      <c r="AM1796" s="46" t="n"/>
      <c r="AN1796" s="46" t="n"/>
      <c r="AO1796" s="46" t="n"/>
      <c r="AP1796" s="46" t="n"/>
      <c r="AQ1796" s="46" t="n"/>
      <c r="AR1796" s="46" t="n"/>
      <c r="AS1796" s="46" t="n"/>
      <c r="AV1796" s="36">
        <f>IF($C1796="","",EMPLOYES!M28)</f>
        <v/>
      </c>
      <c r="AW1796" s="36">
        <f>IF($C1796="",0,SUMPRODUCT(--(O1796:AS1796="C")))</f>
        <v/>
      </c>
      <c r="AX1796" s="36">
        <f>IF($C1796="",0,SUMPRODUCT(--(O1796:AS1796="R")))</f>
        <v/>
      </c>
      <c r="AY1796" s="44" t="n"/>
    </row>
    <row r="1797" hidden="1" outlineLevel="1" ht="15" customHeight="1" s="15">
      <c r="B1797" s="41" t="n">
        <v>8</v>
      </c>
      <c r="C1797" s="42">
        <f>IF(EMPLOYES!C29="","",EMPLOYES!C29)</f>
        <v/>
      </c>
      <c r="D1797" s="43">
        <f>IF(EMPLOYES!C29="","",EMPLOYES!D29)</f>
        <v/>
      </c>
      <c r="E1797" s="44" t="n"/>
      <c r="F1797" s="42" t="n"/>
      <c r="G1797" s="41">
        <f>IF($C1797="",0,MAX(0,$M1797-$N1797))</f>
        <v/>
      </c>
      <c r="H1797" s="45" t="n"/>
      <c r="I1797" s="41">
        <f>IF($C1797="","",IF(H1797="","OK",IF(H1797&gt;EMPLOYES!P29,"⚠ Avance &gt; salaire",IF(H1797&gt;EMPLOYES!P29*PARAMETRES!$C$218,"⚠ Avance élevée","OK"))))</f>
        <v/>
      </c>
      <c r="J1797" s="45" t="n"/>
      <c r="K1797" s="46" t="n"/>
      <c r="L1797" s="46" t="n"/>
      <c r="M1797" s="41">
        <f>IF($C1797="","",SUMPRODUCT((PARAMETRES!$B$38:$B$157=PARAMETRES!$C$29)*(PARAMETRES!$C$38:$C$157=8)*(IF(EMPLOYES!M29="5j",PARAMETRES!$I$38:$I$157,PARAMETRES!$H$38:$H$157))))</f>
        <v/>
      </c>
      <c r="N1797" s="41">
        <f>IF($C1797="","",SUMPRODUCT((O1797:AS1797="P")+(O1797:AS1797="F")+(O1797:AS1797="C")+0.5*(O1797:AS1797="D"),(1-((O1780:AS1780=6)*(EMPLOYES!M29="5j")))))</f>
        <v/>
      </c>
      <c r="O1797" s="46" t="n"/>
      <c r="P1797" s="46" t="n"/>
      <c r="Q1797" s="46" t="n"/>
      <c r="R1797" s="46" t="n"/>
      <c r="S1797" s="46" t="n"/>
      <c r="T1797" s="46" t="n"/>
      <c r="U1797" s="46" t="n"/>
      <c r="V1797" s="46" t="n"/>
      <c r="W1797" s="46" t="n"/>
      <c r="X1797" s="46" t="n"/>
      <c r="Y1797" s="46" t="n"/>
      <c r="Z1797" s="46" t="n"/>
      <c r="AA1797" s="46" t="n"/>
      <c r="AB1797" s="46" t="n"/>
      <c r="AC1797" s="46" t="n"/>
      <c r="AD1797" s="46" t="n"/>
      <c r="AE1797" s="46" t="n"/>
      <c r="AF1797" s="46" t="n"/>
      <c r="AG1797" s="46" t="n"/>
      <c r="AH1797" s="46" t="n"/>
      <c r="AI1797" s="46" t="n"/>
      <c r="AJ1797" s="46" t="n"/>
      <c r="AK1797" s="46" t="n"/>
      <c r="AL1797" s="46" t="n"/>
      <c r="AM1797" s="46" t="n"/>
      <c r="AN1797" s="46" t="n"/>
      <c r="AO1797" s="46" t="n"/>
      <c r="AP1797" s="46" t="n"/>
      <c r="AQ1797" s="46" t="n"/>
      <c r="AR1797" s="46" t="n"/>
      <c r="AS1797" s="46" t="n"/>
      <c r="AV1797" s="36">
        <f>IF($C1797="","",EMPLOYES!M29)</f>
        <v/>
      </c>
      <c r="AW1797" s="36">
        <f>IF($C1797="",0,SUMPRODUCT(--(O1797:AS1797="C")))</f>
        <v/>
      </c>
      <c r="AX1797" s="36">
        <f>IF($C1797="",0,SUMPRODUCT(--(O1797:AS1797="R")))</f>
        <v/>
      </c>
      <c r="AY1797" s="44" t="n"/>
    </row>
    <row r="1798" hidden="1" outlineLevel="1" ht="15" customHeight="1" s="15">
      <c r="B1798" s="41" t="n">
        <v>8</v>
      </c>
      <c r="C1798" s="42">
        <f>IF(EMPLOYES!C30="","",EMPLOYES!C30)</f>
        <v/>
      </c>
      <c r="D1798" s="43">
        <f>IF(EMPLOYES!C30="","",EMPLOYES!D30)</f>
        <v/>
      </c>
      <c r="E1798" s="44" t="n"/>
      <c r="F1798" s="42" t="n"/>
      <c r="G1798" s="41">
        <f>IF($C1798="",0,MAX(0,$M1798-$N1798))</f>
        <v/>
      </c>
      <c r="H1798" s="45" t="n"/>
      <c r="I1798" s="41">
        <f>IF($C1798="","",IF(H1798="","OK",IF(H1798&gt;EMPLOYES!P30,"⚠ Avance &gt; salaire",IF(H1798&gt;EMPLOYES!P30*PARAMETRES!$C$218,"⚠ Avance élevée","OK"))))</f>
        <v/>
      </c>
      <c r="J1798" s="45" t="n"/>
      <c r="K1798" s="46" t="n"/>
      <c r="L1798" s="46" t="n"/>
      <c r="M1798" s="41">
        <f>IF($C1798="","",SUMPRODUCT((PARAMETRES!$B$38:$B$157=PARAMETRES!$C$29)*(PARAMETRES!$C$38:$C$157=8)*(IF(EMPLOYES!M30="5j",PARAMETRES!$I$38:$I$157,PARAMETRES!$H$38:$H$157))))</f>
        <v/>
      </c>
      <c r="N1798" s="41">
        <f>IF($C1798="","",SUMPRODUCT((O1798:AS1798="P")+(O1798:AS1798="F")+(O1798:AS1798="C")+0.5*(O1798:AS1798="D"),(1-((O1780:AS1780=6)*(EMPLOYES!M30="5j")))))</f>
        <v/>
      </c>
      <c r="O1798" s="46" t="n"/>
      <c r="P1798" s="46" t="n"/>
      <c r="Q1798" s="46" t="n"/>
      <c r="R1798" s="46" t="n"/>
      <c r="S1798" s="46" t="n"/>
      <c r="T1798" s="46" t="n"/>
      <c r="U1798" s="46" t="n"/>
      <c r="V1798" s="46" t="n"/>
      <c r="W1798" s="46" t="n"/>
      <c r="X1798" s="46" t="n"/>
      <c r="Y1798" s="46" t="n"/>
      <c r="Z1798" s="46" t="n"/>
      <c r="AA1798" s="46" t="n"/>
      <c r="AB1798" s="46" t="n"/>
      <c r="AC1798" s="46" t="n"/>
      <c r="AD1798" s="46" t="n"/>
      <c r="AE1798" s="46" t="n"/>
      <c r="AF1798" s="46" t="n"/>
      <c r="AG1798" s="46" t="n"/>
      <c r="AH1798" s="46" t="n"/>
      <c r="AI1798" s="46" t="n"/>
      <c r="AJ1798" s="46" t="n"/>
      <c r="AK1798" s="46" t="n"/>
      <c r="AL1798" s="46" t="n"/>
      <c r="AM1798" s="46" t="n"/>
      <c r="AN1798" s="46" t="n"/>
      <c r="AO1798" s="46" t="n"/>
      <c r="AP1798" s="46" t="n"/>
      <c r="AQ1798" s="46" t="n"/>
      <c r="AR1798" s="46" t="n"/>
      <c r="AS1798" s="46" t="n"/>
      <c r="AV1798" s="36">
        <f>IF($C1798="","",EMPLOYES!M30)</f>
        <v/>
      </c>
      <c r="AW1798" s="36">
        <f>IF($C1798="",0,SUMPRODUCT(--(O1798:AS1798="C")))</f>
        <v/>
      </c>
      <c r="AX1798" s="36">
        <f>IF($C1798="",0,SUMPRODUCT(--(O1798:AS1798="R")))</f>
        <v/>
      </c>
      <c r="AY1798" s="44" t="n"/>
    </row>
    <row r="1799" hidden="1" outlineLevel="1" ht="15" customHeight="1" s="15">
      <c r="B1799" s="41" t="n">
        <v>8</v>
      </c>
      <c r="C1799" s="42">
        <f>IF(EMPLOYES!C31="","",EMPLOYES!C31)</f>
        <v/>
      </c>
      <c r="D1799" s="43">
        <f>IF(EMPLOYES!C31="","",EMPLOYES!D31)</f>
        <v/>
      </c>
      <c r="E1799" s="44" t="n"/>
      <c r="F1799" s="42" t="n"/>
      <c r="G1799" s="41">
        <f>IF($C1799="",0,MAX(0,$M1799-$N1799))</f>
        <v/>
      </c>
      <c r="H1799" s="45" t="n"/>
      <c r="I1799" s="41">
        <f>IF($C1799="","",IF(H1799="","OK",IF(H1799&gt;EMPLOYES!P31,"⚠ Avance &gt; salaire",IF(H1799&gt;EMPLOYES!P31*PARAMETRES!$C$218,"⚠ Avance élevée","OK"))))</f>
        <v/>
      </c>
      <c r="J1799" s="45" t="n"/>
      <c r="K1799" s="46" t="n"/>
      <c r="L1799" s="46" t="n"/>
      <c r="M1799" s="41">
        <f>IF($C1799="","",SUMPRODUCT((PARAMETRES!$B$38:$B$157=PARAMETRES!$C$29)*(PARAMETRES!$C$38:$C$157=8)*(IF(EMPLOYES!M31="5j",PARAMETRES!$I$38:$I$157,PARAMETRES!$H$38:$H$157))))</f>
        <v/>
      </c>
      <c r="N1799" s="41">
        <f>IF($C1799="","",SUMPRODUCT((O1799:AS1799="P")+(O1799:AS1799="F")+(O1799:AS1799="C")+0.5*(O1799:AS1799="D"),(1-((O1780:AS1780=6)*(EMPLOYES!M31="5j")))))</f>
        <v/>
      </c>
      <c r="O1799" s="46" t="n"/>
      <c r="P1799" s="46" t="n"/>
      <c r="Q1799" s="46" t="n"/>
      <c r="R1799" s="46" t="n"/>
      <c r="S1799" s="46" t="n"/>
      <c r="T1799" s="46" t="n"/>
      <c r="U1799" s="46" t="n"/>
      <c r="V1799" s="46" t="n"/>
      <c r="W1799" s="46" t="n"/>
      <c r="X1799" s="46" t="n"/>
      <c r="Y1799" s="46" t="n"/>
      <c r="Z1799" s="46" t="n"/>
      <c r="AA1799" s="46" t="n"/>
      <c r="AB1799" s="46" t="n"/>
      <c r="AC1799" s="46" t="n"/>
      <c r="AD1799" s="46" t="n"/>
      <c r="AE1799" s="46" t="n"/>
      <c r="AF1799" s="46" t="n"/>
      <c r="AG1799" s="46" t="n"/>
      <c r="AH1799" s="46" t="n"/>
      <c r="AI1799" s="46" t="n"/>
      <c r="AJ1799" s="46" t="n"/>
      <c r="AK1799" s="46" t="n"/>
      <c r="AL1799" s="46" t="n"/>
      <c r="AM1799" s="46" t="n"/>
      <c r="AN1799" s="46" t="n"/>
      <c r="AO1799" s="46" t="n"/>
      <c r="AP1799" s="46" t="n"/>
      <c r="AQ1799" s="46" t="n"/>
      <c r="AR1799" s="46" t="n"/>
      <c r="AS1799" s="46" t="n"/>
      <c r="AV1799" s="36">
        <f>IF($C1799="","",EMPLOYES!M31)</f>
        <v/>
      </c>
      <c r="AW1799" s="36">
        <f>IF($C1799="",0,SUMPRODUCT(--(O1799:AS1799="C")))</f>
        <v/>
      </c>
      <c r="AX1799" s="36">
        <f>IF($C1799="",0,SUMPRODUCT(--(O1799:AS1799="R")))</f>
        <v/>
      </c>
      <c r="AY1799" s="44" t="n"/>
    </row>
    <row r="1800" hidden="1" outlineLevel="1" ht="15" customHeight="1" s="15">
      <c r="B1800" s="41" t="n">
        <v>8</v>
      </c>
      <c r="C1800" s="42">
        <f>IF(EMPLOYES!C32="","",EMPLOYES!C32)</f>
        <v/>
      </c>
      <c r="D1800" s="43">
        <f>IF(EMPLOYES!C32="","",EMPLOYES!D32)</f>
        <v/>
      </c>
      <c r="E1800" s="44" t="n"/>
      <c r="F1800" s="42" t="n"/>
      <c r="G1800" s="41">
        <f>IF($C1800="",0,MAX(0,$M1800-$N1800))</f>
        <v/>
      </c>
      <c r="H1800" s="45" t="n"/>
      <c r="I1800" s="41">
        <f>IF($C1800="","",IF(H1800="","OK",IF(H1800&gt;EMPLOYES!P32,"⚠ Avance &gt; salaire",IF(H1800&gt;EMPLOYES!P32*PARAMETRES!$C$218,"⚠ Avance élevée","OK"))))</f>
        <v/>
      </c>
      <c r="J1800" s="45" t="n"/>
      <c r="K1800" s="46" t="n"/>
      <c r="L1800" s="46" t="n"/>
      <c r="M1800" s="41">
        <f>IF($C1800="","",SUMPRODUCT((PARAMETRES!$B$38:$B$157=PARAMETRES!$C$29)*(PARAMETRES!$C$38:$C$157=8)*(IF(EMPLOYES!M32="5j",PARAMETRES!$I$38:$I$157,PARAMETRES!$H$38:$H$157))))</f>
        <v/>
      </c>
      <c r="N1800" s="41">
        <f>IF($C1800="","",SUMPRODUCT((O1800:AS1800="P")+(O1800:AS1800="F")+(O1800:AS1800="C")+0.5*(O1800:AS1800="D"),(1-((O1780:AS1780=6)*(EMPLOYES!M32="5j")))))</f>
        <v/>
      </c>
      <c r="O1800" s="46" t="n"/>
      <c r="P1800" s="46" t="n"/>
      <c r="Q1800" s="46" t="n"/>
      <c r="R1800" s="46" t="n"/>
      <c r="S1800" s="46" t="n"/>
      <c r="T1800" s="46" t="n"/>
      <c r="U1800" s="46" t="n"/>
      <c r="V1800" s="46" t="n"/>
      <c r="W1800" s="46" t="n"/>
      <c r="X1800" s="46" t="n"/>
      <c r="Y1800" s="46" t="n"/>
      <c r="Z1800" s="46" t="n"/>
      <c r="AA1800" s="46" t="n"/>
      <c r="AB1800" s="46" t="n"/>
      <c r="AC1800" s="46" t="n"/>
      <c r="AD1800" s="46" t="n"/>
      <c r="AE1800" s="46" t="n"/>
      <c r="AF1800" s="46" t="n"/>
      <c r="AG1800" s="46" t="n"/>
      <c r="AH1800" s="46" t="n"/>
      <c r="AI1800" s="46" t="n"/>
      <c r="AJ1800" s="46" t="n"/>
      <c r="AK1800" s="46" t="n"/>
      <c r="AL1800" s="46" t="n"/>
      <c r="AM1800" s="46" t="n"/>
      <c r="AN1800" s="46" t="n"/>
      <c r="AO1800" s="46" t="n"/>
      <c r="AP1800" s="46" t="n"/>
      <c r="AQ1800" s="46" t="n"/>
      <c r="AR1800" s="46" t="n"/>
      <c r="AS1800" s="46" t="n"/>
      <c r="AV1800" s="36">
        <f>IF($C1800="","",EMPLOYES!M32)</f>
        <v/>
      </c>
      <c r="AW1800" s="36">
        <f>IF($C1800="",0,SUMPRODUCT(--(O1800:AS1800="C")))</f>
        <v/>
      </c>
      <c r="AX1800" s="36">
        <f>IF($C1800="",0,SUMPRODUCT(--(O1800:AS1800="R")))</f>
        <v/>
      </c>
      <c r="AY1800" s="44" t="n"/>
    </row>
    <row r="1801" hidden="1" outlineLevel="1" ht="15" customHeight="1" s="15">
      <c r="B1801" s="41" t="n">
        <v>8</v>
      </c>
      <c r="C1801" s="42">
        <f>IF(EMPLOYES!C33="","",EMPLOYES!C33)</f>
        <v/>
      </c>
      <c r="D1801" s="43">
        <f>IF(EMPLOYES!C33="","",EMPLOYES!D33)</f>
        <v/>
      </c>
      <c r="E1801" s="44" t="n"/>
      <c r="F1801" s="42" t="n"/>
      <c r="G1801" s="41">
        <f>IF($C1801="",0,MAX(0,$M1801-$N1801))</f>
        <v/>
      </c>
      <c r="H1801" s="45" t="n"/>
      <c r="I1801" s="41">
        <f>IF($C1801="","",IF(H1801="","OK",IF(H1801&gt;EMPLOYES!P33,"⚠ Avance &gt; salaire",IF(H1801&gt;EMPLOYES!P33*PARAMETRES!$C$218,"⚠ Avance élevée","OK"))))</f>
        <v/>
      </c>
      <c r="J1801" s="45" t="n"/>
      <c r="K1801" s="46" t="n"/>
      <c r="L1801" s="46" t="n"/>
      <c r="M1801" s="41">
        <f>IF($C1801="","",SUMPRODUCT((PARAMETRES!$B$38:$B$157=PARAMETRES!$C$29)*(PARAMETRES!$C$38:$C$157=8)*(IF(EMPLOYES!M33="5j",PARAMETRES!$I$38:$I$157,PARAMETRES!$H$38:$H$157))))</f>
        <v/>
      </c>
      <c r="N1801" s="41">
        <f>IF($C1801="","",SUMPRODUCT((O1801:AS1801="P")+(O1801:AS1801="F")+(O1801:AS1801="C")+0.5*(O1801:AS1801="D"),(1-((O1780:AS1780=6)*(EMPLOYES!M33="5j")))))</f>
        <v/>
      </c>
      <c r="O1801" s="46" t="n"/>
      <c r="P1801" s="46" t="n"/>
      <c r="Q1801" s="46" t="n"/>
      <c r="R1801" s="46" t="n"/>
      <c r="S1801" s="46" t="n"/>
      <c r="T1801" s="46" t="n"/>
      <c r="U1801" s="46" t="n"/>
      <c r="V1801" s="46" t="n"/>
      <c r="W1801" s="46" t="n"/>
      <c r="X1801" s="46" t="n"/>
      <c r="Y1801" s="46" t="n"/>
      <c r="Z1801" s="46" t="n"/>
      <c r="AA1801" s="46" t="n"/>
      <c r="AB1801" s="46" t="n"/>
      <c r="AC1801" s="46" t="n"/>
      <c r="AD1801" s="46" t="n"/>
      <c r="AE1801" s="46" t="n"/>
      <c r="AF1801" s="46" t="n"/>
      <c r="AG1801" s="46" t="n"/>
      <c r="AH1801" s="46" t="n"/>
      <c r="AI1801" s="46" t="n"/>
      <c r="AJ1801" s="46" t="n"/>
      <c r="AK1801" s="46" t="n"/>
      <c r="AL1801" s="46" t="n"/>
      <c r="AM1801" s="46" t="n"/>
      <c r="AN1801" s="46" t="n"/>
      <c r="AO1801" s="46" t="n"/>
      <c r="AP1801" s="46" t="n"/>
      <c r="AQ1801" s="46" t="n"/>
      <c r="AR1801" s="46" t="n"/>
      <c r="AS1801" s="46" t="n"/>
      <c r="AV1801" s="36">
        <f>IF($C1801="","",EMPLOYES!M33)</f>
        <v/>
      </c>
      <c r="AW1801" s="36">
        <f>IF($C1801="",0,SUMPRODUCT(--(O1801:AS1801="C")))</f>
        <v/>
      </c>
      <c r="AX1801" s="36">
        <f>IF($C1801="",0,SUMPRODUCT(--(O1801:AS1801="R")))</f>
        <v/>
      </c>
      <c r="AY1801" s="44" t="n"/>
    </row>
    <row r="1802" hidden="1" outlineLevel="1" ht="15" customHeight="1" s="15">
      <c r="B1802" s="41" t="n">
        <v>8</v>
      </c>
      <c r="C1802" s="42">
        <f>IF(EMPLOYES!C34="","",EMPLOYES!C34)</f>
        <v/>
      </c>
      <c r="D1802" s="43">
        <f>IF(EMPLOYES!C34="","",EMPLOYES!D34)</f>
        <v/>
      </c>
      <c r="E1802" s="44" t="n"/>
      <c r="F1802" s="42" t="n"/>
      <c r="G1802" s="41">
        <f>IF($C1802="",0,MAX(0,$M1802-$N1802))</f>
        <v/>
      </c>
      <c r="H1802" s="45" t="n"/>
      <c r="I1802" s="41">
        <f>IF($C1802="","",IF(H1802="","OK",IF(H1802&gt;EMPLOYES!P34,"⚠ Avance &gt; salaire",IF(H1802&gt;EMPLOYES!P34*PARAMETRES!$C$218,"⚠ Avance élevée","OK"))))</f>
        <v/>
      </c>
      <c r="J1802" s="45" t="n"/>
      <c r="K1802" s="46" t="n"/>
      <c r="L1802" s="46" t="n"/>
      <c r="M1802" s="41">
        <f>IF($C1802="","",SUMPRODUCT((PARAMETRES!$B$38:$B$157=PARAMETRES!$C$29)*(PARAMETRES!$C$38:$C$157=8)*(IF(EMPLOYES!M34="5j",PARAMETRES!$I$38:$I$157,PARAMETRES!$H$38:$H$157))))</f>
        <v/>
      </c>
      <c r="N1802" s="41">
        <f>IF($C1802="","",SUMPRODUCT((O1802:AS1802="P")+(O1802:AS1802="F")+(O1802:AS1802="C")+0.5*(O1802:AS1802="D"),(1-((O1780:AS1780=6)*(EMPLOYES!M34="5j")))))</f>
        <v/>
      </c>
      <c r="O1802" s="46" t="n"/>
      <c r="P1802" s="46" t="n"/>
      <c r="Q1802" s="46" t="n"/>
      <c r="R1802" s="46" t="n"/>
      <c r="S1802" s="46" t="n"/>
      <c r="T1802" s="46" t="n"/>
      <c r="U1802" s="46" t="n"/>
      <c r="V1802" s="46" t="n"/>
      <c r="W1802" s="46" t="n"/>
      <c r="X1802" s="46" t="n"/>
      <c r="Y1802" s="46" t="n"/>
      <c r="Z1802" s="46" t="n"/>
      <c r="AA1802" s="46" t="n"/>
      <c r="AB1802" s="46" t="n"/>
      <c r="AC1802" s="46" t="n"/>
      <c r="AD1802" s="46" t="n"/>
      <c r="AE1802" s="46" t="n"/>
      <c r="AF1802" s="46" t="n"/>
      <c r="AG1802" s="46" t="n"/>
      <c r="AH1802" s="46" t="n"/>
      <c r="AI1802" s="46" t="n"/>
      <c r="AJ1802" s="46" t="n"/>
      <c r="AK1802" s="46" t="n"/>
      <c r="AL1802" s="46" t="n"/>
      <c r="AM1802" s="46" t="n"/>
      <c r="AN1802" s="46" t="n"/>
      <c r="AO1802" s="46" t="n"/>
      <c r="AP1802" s="46" t="n"/>
      <c r="AQ1802" s="46" t="n"/>
      <c r="AR1802" s="46" t="n"/>
      <c r="AS1802" s="46" t="n"/>
      <c r="AV1802" s="36">
        <f>IF($C1802="","",EMPLOYES!M34)</f>
        <v/>
      </c>
      <c r="AW1802" s="36">
        <f>IF($C1802="",0,SUMPRODUCT(--(O1802:AS1802="C")))</f>
        <v/>
      </c>
      <c r="AX1802" s="36">
        <f>IF($C1802="",0,SUMPRODUCT(--(O1802:AS1802="R")))</f>
        <v/>
      </c>
      <c r="AY1802" s="44" t="n"/>
    </row>
    <row r="1803" hidden="1" outlineLevel="1" ht="15" customHeight="1" s="15">
      <c r="B1803" s="41" t="n">
        <v>8</v>
      </c>
      <c r="C1803" s="42">
        <f>IF(EMPLOYES!C35="","",EMPLOYES!C35)</f>
        <v/>
      </c>
      <c r="D1803" s="43">
        <f>IF(EMPLOYES!C35="","",EMPLOYES!D35)</f>
        <v/>
      </c>
      <c r="E1803" s="44" t="n"/>
      <c r="F1803" s="42" t="n"/>
      <c r="G1803" s="41">
        <f>IF($C1803="",0,MAX(0,$M1803-$N1803))</f>
        <v/>
      </c>
      <c r="H1803" s="45" t="n"/>
      <c r="I1803" s="41">
        <f>IF($C1803="","",IF(H1803="","OK",IF(H1803&gt;EMPLOYES!P35,"⚠ Avance &gt; salaire",IF(H1803&gt;EMPLOYES!P35*PARAMETRES!$C$218,"⚠ Avance élevée","OK"))))</f>
        <v/>
      </c>
      <c r="J1803" s="45" t="n"/>
      <c r="K1803" s="46" t="n"/>
      <c r="L1803" s="46" t="n"/>
      <c r="M1803" s="41">
        <f>IF($C1803="","",SUMPRODUCT((PARAMETRES!$B$38:$B$157=PARAMETRES!$C$29)*(PARAMETRES!$C$38:$C$157=8)*(IF(EMPLOYES!M35="5j",PARAMETRES!$I$38:$I$157,PARAMETRES!$H$38:$H$157))))</f>
        <v/>
      </c>
      <c r="N1803" s="41">
        <f>IF($C1803="","",SUMPRODUCT((O1803:AS1803="P")+(O1803:AS1803="F")+(O1803:AS1803="C")+0.5*(O1803:AS1803="D"),(1-((O1780:AS1780=6)*(EMPLOYES!M35="5j")))))</f>
        <v/>
      </c>
      <c r="O1803" s="46" t="n"/>
      <c r="P1803" s="46" t="n"/>
      <c r="Q1803" s="46" t="n"/>
      <c r="R1803" s="46" t="n"/>
      <c r="S1803" s="46" t="n"/>
      <c r="T1803" s="46" t="n"/>
      <c r="U1803" s="46" t="n"/>
      <c r="V1803" s="46" t="n"/>
      <c r="W1803" s="46" t="n"/>
      <c r="X1803" s="46" t="n"/>
      <c r="Y1803" s="46" t="n"/>
      <c r="Z1803" s="46" t="n"/>
      <c r="AA1803" s="46" t="n"/>
      <c r="AB1803" s="46" t="n"/>
      <c r="AC1803" s="46" t="n"/>
      <c r="AD1803" s="46" t="n"/>
      <c r="AE1803" s="46" t="n"/>
      <c r="AF1803" s="46" t="n"/>
      <c r="AG1803" s="46" t="n"/>
      <c r="AH1803" s="46" t="n"/>
      <c r="AI1803" s="46" t="n"/>
      <c r="AJ1803" s="46" t="n"/>
      <c r="AK1803" s="46" t="n"/>
      <c r="AL1803" s="46" t="n"/>
      <c r="AM1803" s="46" t="n"/>
      <c r="AN1803" s="46" t="n"/>
      <c r="AO1803" s="46" t="n"/>
      <c r="AP1803" s="46" t="n"/>
      <c r="AQ1803" s="46" t="n"/>
      <c r="AR1803" s="46" t="n"/>
      <c r="AS1803" s="46" t="n"/>
      <c r="AV1803" s="36">
        <f>IF($C1803="","",EMPLOYES!M35)</f>
        <v/>
      </c>
      <c r="AW1803" s="36">
        <f>IF($C1803="",0,SUMPRODUCT(--(O1803:AS1803="C")))</f>
        <v/>
      </c>
      <c r="AX1803" s="36">
        <f>IF($C1803="",0,SUMPRODUCT(--(O1803:AS1803="R")))</f>
        <v/>
      </c>
      <c r="AY1803" s="44" t="n"/>
    </row>
    <row r="1804" hidden="1" outlineLevel="1" ht="15" customHeight="1" s="15">
      <c r="B1804" s="41" t="n">
        <v>8</v>
      </c>
      <c r="C1804" s="42">
        <f>IF(EMPLOYES!C36="","",EMPLOYES!C36)</f>
        <v/>
      </c>
      <c r="D1804" s="43">
        <f>IF(EMPLOYES!C36="","",EMPLOYES!D36)</f>
        <v/>
      </c>
      <c r="E1804" s="44" t="n"/>
      <c r="F1804" s="42" t="n"/>
      <c r="G1804" s="41">
        <f>IF($C1804="",0,MAX(0,$M1804-$N1804))</f>
        <v/>
      </c>
      <c r="H1804" s="45" t="n"/>
      <c r="I1804" s="41">
        <f>IF($C1804="","",IF(H1804="","OK",IF(H1804&gt;EMPLOYES!P36,"⚠ Avance &gt; salaire",IF(H1804&gt;EMPLOYES!P36*PARAMETRES!$C$218,"⚠ Avance élevée","OK"))))</f>
        <v/>
      </c>
      <c r="J1804" s="45" t="n"/>
      <c r="K1804" s="46" t="n"/>
      <c r="L1804" s="46" t="n"/>
      <c r="M1804" s="41">
        <f>IF($C1804="","",SUMPRODUCT((PARAMETRES!$B$38:$B$157=PARAMETRES!$C$29)*(PARAMETRES!$C$38:$C$157=8)*(IF(EMPLOYES!M36="5j",PARAMETRES!$I$38:$I$157,PARAMETRES!$H$38:$H$157))))</f>
        <v/>
      </c>
      <c r="N1804" s="41">
        <f>IF($C1804="","",SUMPRODUCT((O1804:AS1804="P")+(O1804:AS1804="F")+(O1804:AS1804="C")+0.5*(O1804:AS1804="D"),(1-((O1780:AS1780=6)*(EMPLOYES!M36="5j")))))</f>
        <v/>
      </c>
      <c r="O1804" s="46" t="n"/>
      <c r="P1804" s="46" t="n"/>
      <c r="Q1804" s="46" t="n"/>
      <c r="R1804" s="46" t="n"/>
      <c r="S1804" s="46" t="n"/>
      <c r="T1804" s="46" t="n"/>
      <c r="U1804" s="46" t="n"/>
      <c r="V1804" s="46" t="n"/>
      <c r="W1804" s="46" t="n"/>
      <c r="X1804" s="46" t="n"/>
      <c r="Y1804" s="46" t="n"/>
      <c r="Z1804" s="46" t="n"/>
      <c r="AA1804" s="46" t="n"/>
      <c r="AB1804" s="46" t="n"/>
      <c r="AC1804" s="46" t="n"/>
      <c r="AD1804" s="46" t="n"/>
      <c r="AE1804" s="46" t="n"/>
      <c r="AF1804" s="46" t="n"/>
      <c r="AG1804" s="46" t="n"/>
      <c r="AH1804" s="46" t="n"/>
      <c r="AI1804" s="46" t="n"/>
      <c r="AJ1804" s="46" t="n"/>
      <c r="AK1804" s="46" t="n"/>
      <c r="AL1804" s="46" t="n"/>
      <c r="AM1804" s="46" t="n"/>
      <c r="AN1804" s="46" t="n"/>
      <c r="AO1804" s="46" t="n"/>
      <c r="AP1804" s="46" t="n"/>
      <c r="AQ1804" s="46" t="n"/>
      <c r="AR1804" s="46" t="n"/>
      <c r="AS1804" s="46" t="n"/>
      <c r="AV1804" s="36">
        <f>IF($C1804="","",EMPLOYES!M36)</f>
        <v/>
      </c>
      <c r="AW1804" s="36">
        <f>IF($C1804="",0,SUMPRODUCT(--(O1804:AS1804="C")))</f>
        <v/>
      </c>
      <c r="AX1804" s="36">
        <f>IF($C1804="",0,SUMPRODUCT(--(O1804:AS1804="R")))</f>
        <v/>
      </c>
      <c r="AY1804" s="44" t="n"/>
    </row>
    <row r="1805" hidden="1" outlineLevel="1" ht="15" customHeight="1" s="15">
      <c r="B1805" s="41" t="n">
        <v>8</v>
      </c>
      <c r="C1805" s="42">
        <f>IF(EMPLOYES!C37="","",EMPLOYES!C37)</f>
        <v/>
      </c>
      <c r="D1805" s="43">
        <f>IF(EMPLOYES!C37="","",EMPLOYES!D37)</f>
        <v/>
      </c>
      <c r="E1805" s="44" t="n"/>
      <c r="F1805" s="42" t="n"/>
      <c r="G1805" s="41">
        <f>IF($C1805="",0,MAX(0,$M1805-$N1805))</f>
        <v/>
      </c>
      <c r="H1805" s="45" t="n"/>
      <c r="I1805" s="41">
        <f>IF($C1805="","",IF(H1805="","OK",IF(H1805&gt;EMPLOYES!P37,"⚠ Avance &gt; salaire",IF(H1805&gt;EMPLOYES!P37*PARAMETRES!$C$218,"⚠ Avance élevée","OK"))))</f>
        <v/>
      </c>
      <c r="J1805" s="45" t="n"/>
      <c r="K1805" s="46" t="n"/>
      <c r="L1805" s="46" t="n"/>
      <c r="M1805" s="41">
        <f>IF($C1805="","",SUMPRODUCT((PARAMETRES!$B$38:$B$157=PARAMETRES!$C$29)*(PARAMETRES!$C$38:$C$157=8)*(IF(EMPLOYES!M37="5j",PARAMETRES!$I$38:$I$157,PARAMETRES!$H$38:$H$157))))</f>
        <v/>
      </c>
      <c r="N1805" s="41">
        <f>IF($C1805="","",SUMPRODUCT((O1805:AS1805="P")+(O1805:AS1805="F")+(O1805:AS1805="C")+0.5*(O1805:AS1805="D"),(1-((O1780:AS1780=6)*(EMPLOYES!M37="5j")))))</f>
        <v/>
      </c>
      <c r="O1805" s="46" t="n"/>
      <c r="P1805" s="46" t="n"/>
      <c r="Q1805" s="46" t="n"/>
      <c r="R1805" s="46" t="n"/>
      <c r="S1805" s="46" t="n"/>
      <c r="T1805" s="46" t="n"/>
      <c r="U1805" s="46" t="n"/>
      <c r="V1805" s="46" t="n"/>
      <c r="W1805" s="46" t="n"/>
      <c r="X1805" s="46" t="n"/>
      <c r="Y1805" s="46" t="n"/>
      <c r="Z1805" s="46" t="n"/>
      <c r="AA1805" s="46" t="n"/>
      <c r="AB1805" s="46" t="n"/>
      <c r="AC1805" s="46" t="n"/>
      <c r="AD1805" s="46" t="n"/>
      <c r="AE1805" s="46" t="n"/>
      <c r="AF1805" s="46" t="n"/>
      <c r="AG1805" s="46" t="n"/>
      <c r="AH1805" s="46" t="n"/>
      <c r="AI1805" s="46" t="n"/>
      <c r="AJ1805" s="46" t="n"/>
      <c r="AK1805" s="46" t="n"/>
      <c r="AL1805" s="46" t="n"/>
      <c r="AM1805" s="46" t="n"/>
      <c r="AN1805" s="46" t="n"/>
      <c r="AO1805" s="46" t="n"/>
      <c r="AP1805" s="46" t="n"/>
      <c r="AQ1805" s="46" t="n"/>
      <c r="AR1805" s="46" t="n"/>
      <c r="AS1805" s="46" t="n"/>
      <c r="AV1805" s="36">
        <f>IF($C1805="","",EMPLOYES!M37)</f>
        <v/>
      </c>
      <c r="AW1805" s="36">
        <f>IF($C1805="",0,SUMPRODUCT(--(O1805:AS1805="C")))</f>
        <v/>
      </c>
      <c r="AX1805" s="36">
        <f>IF($C1805="",0,SUMPRODUCT(--(O1805:AS1805="R")))</f>
        <v/>
      </c>
      <c r="AY1805" s="44" t="n"/>
    </row>
    <row r="1806" hidden="1" outlineLevel="1" ht="15" customHeight="1" s="15">
      <c r="B1806" s="41" t="n">
        <v>8</v>
      </c>
      <c r="C1806" s="42">
        <f>IF(EMPLOYES!C38="","",EMPLOYES!C38)</f>
        <v/>
      </c>
      <c r="D1806" s="43">
        <f>IF(EMPLOYES!C38="","",EMPLOYES!D38)</f>
        <v/>
      </c>
      <c r="E1806" s="44" t="n"/>
      <c r="F1806" s="42" t="n"/>
      <c r="G1806" s="41">
        <f>IF($C1806="",0,MAX(0,$M1806-$N1806))</f>
        <v/>
      </c>
      <c r="H1806" s="45" t="n"/>
      <c r="I1806" s="41">
        <f>IF($C1806="","",IF(H1806="","OK",IF(H1806&gt;EMPLOYES!P38,"⚠ Avance &gt; salaire",IF(H1806&gt;EMPLOYES!P38*PARAMETRES!$C$218,"⚠ Avance élevée","OK"))))</f>
        <v/>
      </c>
      <c r="J1806" s="45" t="n"/>
      <c r="K1806" s="46" t="n"/>
      <c r="L1806" s="46" t="n"/>
      <c r="M1806" s="41">
        <f>IF($C1806="","",SUMPRODUCT((PARAMETRES!$B$38:$B$157=PARAMETRES!$C$29)*(PARAMETRES!$C$38:$C$157=8)*(IF(EMPLOYES!M38="5j",PARAMETRES!$I$38:$I$157,PARAMETRES!$H$38:$H$157))))</f>
        <v/>
      </c>
      <c r="N1806" s="41">
        <f>IF($C1806="","",SUMPRODUCT((O1806:AS1806="P")+(O1806:AS1806="F")+(O1806:AS1806="C")+0.5*(O1806:AS1806="D"),(1-((O1780:AS1780=6)*(EMPLOYES!M38="5j")))))</f>
        <v/>
      </c>
      <c r="O1806" s="46" t="n"/>
      <c r="P1806" s="46" t="n"/>
      <c r="Q1806" s="46" t="n"/>
      <c r="R1806" s="46" t="n"/>
      <c r="S1806" s="46" t="n"/>
      <c r="T1806" s="46" t="n"/>
      <c r="U1806" s="46" t="n"/>
      <c r="V1806" s="46" t="n"/>
      <c r="W1806" s="46" t="n"/>
      <c r="X1806" s="46" t="n"/>
      <c r="Y1806" s="46" t="n"/>
      <c r="Z1806" s="46" t="n"/>
      <c r="AA1806" s="46" t="n"/>
      <c r="AB1806" s="46" t="n"/>
      <c r="AC1806" s="46" t="n"/>
      <c r="AD1806" s="46" t="n"/>
      <c r="AE1806" s="46" t="n"/>
      <c r="AF1806" s="46" t="n"/>
      <c r="AG1806" s="46" t="n"/>
      <c r="AH1806" s="46" t="n"/>
      <c r="AI1806" s="46" t="n"/>
      <c r="AJ1806" s="46" t="n"/>
      <c r="AK1806" s="46" t="n"/>
      <c r="AL1806" s="46" t="n"/>
      <c r="AM1806" s="46" t="n"/>
      <c r="AN1806" s="46" t="n"/>
      <c r="AO1806" s="46" t="n"/>
      <c r="AP1806" s="46" t="n"/>
      <c r="AQ1806" s="46" t="n"/>
      <c r="AR1806" s="46" t="n"/>
      <c r="AS1806" s="46" t="n"/>
      <c r="AV1806" s="36">
        <f>IF($C1806="","",EMPLOYES!M38)</f>
        <v/>
      </c>
      <c r="AW1806" s="36">
        <f>IF($C1806="",0,SUMPRODUCT(--(O1806:AS1806="C")))</f>
        <v/>
      </c>
      <c r="AX1806" s="36">
        <f>IF($C1806="",0,SUMPRODUCT(--(O1806:AS1806="R")))</f>
        <v/>
      </c>
      <c r="AY1806" s="44" t="n"/>
    </row>
    <row r="1807" hidden="1" outlineLevel="1" ht="15" customHeight="1" s="15">
      <c r="B1807" s="41" t="n">
        <v>8</v>
      </c>
      <c r="C1807" s="42">
        <f>IF(EMPLOYES!C39="","",EMPLOYES!C39)</f>
        <v/>
      </c>
      <c r="D1807" s="43">
        <f>IF(EMPLOYES!C39="","",EMPLOYES!D39)</f>
        <v/>
      </c>
      <c r="E1807" s="44" t="n"/>
      <c r="F1807" s="42" t="n"/>
      <c r="G1807" s="41">
        <f>IF($C1807="",0,MAX(0,$M1807-$N1807))</f>
        <v/>
      </c>
      <c r="H1807" s="45" t="n"/>
      <c r="I1807" s="41">
        <f>IF($C1807="","",IF(H1807="","OK",IF(H1807&gt;EMPLOYES!P39,"⚠ Avance &gt; salaire",IF(H1807&gt;EMPLOYES!P39*PARAMETRES!$C$218,"⚠ Avance élevée","OK"))))</f>
        <v/>
      </c>
      <c r="J1807" s="45" t="n"/>
      <c r="K1807" s="46" t="n"/>
      <c r="L1807" s="46" t="n"/>
      <c r="M1807" s="41">
        <f>IF($C1807="","",SUMPRODUCT((PARAMETRES!$B$38:$B$157=PARAMETRES!$C$29)*(PARAMETRES!$C$38:$C$157=8)*(IF(EMPLOYES!M39="5j",PARAMETRES!$I$38:$I$157,PARAMETRES!$H$38:$H$157))))</f>
        <v/>
      </c>
      <c r="N1807" s="41">
        <f>IF($C1807="","",SUMPRODUCT((O1807:AS1807="P")+(O1807:AS1807="F")+(O1807:AS1807="C")+0.5*(O1807:AS1807="D"),(1-((O1780:AS1780=6)*(EMPLOYES!M39="5j")))))</f>
        <v/>
      </c>
      <c r="O1807" s="46" t="n"/>
      <c r="P1807" s="46" t="n"/>
      <c r="Q1807" s="46" t="n"/>
      <c r="R1807" s="46" t="n"/>
      <c r="S1807" s="46" t="n"/>
      <c r="T1807" s="46" t="n"/>
      <c r="U1807" s="46" t="n"/>
      <c r="V1807" s="46" t="n"/>
      <c r="W1807" s="46" t="n"/>
      <c r="X1807" s="46" t="n"/>
      <c r="Y1807" s="46" t="n"/>
      <c r="Z1807" s="46" t="n"/>
      <c r="AA1807" s="46" t="n"/>
      <c r="AB1807" s="46" t="n"/>
      <c r="AC1807" s="46" t="n"/>
      <c r="AD1807" s="46" t="n"/>
      <c r="AE1807" s="46" t="n"/>
      <c r="AF1807" s="46" t="n"/>
      <c r="AG1807" s="46" t="n"/>
      <c r="AH1807" s="46" t="n"/>
      <c r="AI1807" s="46" t="n"/>
      <c r="AJ1807" s="46" t="n"/>
      <c r="AK1807" s="46" t="n"/>
      <c r="AL1807" s="46" t="n"/>
      <c r="AM1807" s="46" t="n"/>
      <c r="AN1807" s="46" t="n"/>
      <c r="AO1807" s="46" t="n"/>
      <c r="AP1807" s="46" t="n"/>
      <c r="AQ1807" s="46" t="n"/>
      <c r="AR1807" s="46" t="n"/>
      <c r="AS1807" s="46" t="n"/>
      <c r="AV1807" s="36">
        <f>IF($C1807="","",EMPLOYES!M39)</f>
        <v/>
      </c>
      <c r="AW1807" s="36">
        <f>IF($C1807="",0,SUMPRODUCT(--(O1807:AS1807="C")))</f>
        <v/>
      </c>
      <c r="AX1807" s="36">
        <f>IF($C1807="",0,SUMPRODUCT(--(O1807:AS1807="R")))</f>
        <v/>
      </c>
      <c r="AY1807" s="44" t="n"/>
    </row>
    <row r="1808" hidden="1" outlineLevel="1" ht="15" customHeight="1" s="15">
      <c r="B1808" s="41" t="n">
        <v>8</v>
      </c>
      <c r="C1808" s="42">
        <f>IF(EMPLOYES!C40="","",EMPLOYES!C40)</f>
        <v/>
      </c>
      <c r="D1808" s="43">
        <f>IF(EMPLOYES!C40="","",EMPLOYES!D40)</f>
        <v/>
      </c>
      <c r="E1808" s="44" t="n"/>
      <c r="F1808" s="42" t="n"/>
      <c r="G1808" s="41">
        <f>IF($C1808="",0,MAX(0,$M1808-$N1808))</f>
        <v/>
      </c>
      <c r="H1808" s="45" t="n"/>
      <c r="I1808" s="41">
        <f>IF($C1808="","",IF(H1808="","OK",IF(H1808&gt;EMPLOYES!P40,"⚠ Avance &gt; salaire",IF(H1808&gt;EMPLOYES!P40*PARAMETRES!$C$218,"⚠ Avance élevée","OK"))))</f>
        <v/>
      </c>
      <c r="J1808" s="45" t="n"/>
      <c r="K1808" s="46" t="n"/>
      <c r="L1808" s="46" t="n"/>
      <c r="M1808" s="41">
        <f>IF($C1808="","",SUMPRODUCT((PARAMETRES!$B$38:$B$157=PARAMETRES!$C$29)*(PARAMETRES!$C$38:$C$157=8)*(IF(EMPLOYES!M40="5j",PARAMETRES!$I$38:$I$157,PARAMETRES!$H$38:$H$157))))</f>
        <v/>
      </c>
      <c r="N1808" s="41">
        <f>IF($C1808="","",SUMPRODUCT((O1808:AS1808="P")+(O1808:AS1808="F")+(O1808:AS1808="C")+0.5*(O1808:AS1808="D"),(1-((O1780:AS1780=6)*(EMPLOYES!M40="5j")))))</f>
        <v/>
      </c>
      <c r="O1808" s="46" t="n"/>
      <c r="P1808" s="46" t="n"/>
      <c r="Q1808" s="46" t="n"/>
      <c r="R1808" s="46" t="n"/>
      <c r="S1808" s="46" t="n"/>
      <c r="T1808" s="46" t="n"/>
      <c r="U1808" s="46" t="n"/>
      <c r="V1808" s="46" t="n"/>
      <c r="W1808" s="46" t="n"/>
      <c r="X1808" s="46" t="n"/>
      <c r="Y1808" s="46" t="n"/>
      <c r="Z1808" s="46" t="n"/>
      <c r="AA1808" s="46" t="n"/>
      <c r="AB1808" s="46" t="n"/>
      <c r="AC1808" s="46" t="n"/>
      <c r="AD1808" s="46" t="n"/>
      <c r="AE1808" s="46" t="n"/>
      <c r="AF1808" s="46" t="n"/>
      <c r="AG1808" s="46" t="n"/>
      <c r="AH1808" s="46" t="n"/>
      <c r="AI1808" s="46" t="n"/>
      <c r="AJ1808" s="46" t="n"/>
      <c r="AK1808" s="46" t="n"/>
      <c r="AL1808" s="46" t="n"/>
      <c r="AM1808" s="46" t="n"/>
      <c r="AN1808" s="46" t="n"/>
      <c r="AO1808" s="46" t="n"/>
      <c r="AP1808" s="46" t="n"/>
      <c r="AQ1808" s="46" t="n"/>
      <c r="AR1808" s="46" t="n"/>
      <c r="AS1808" s="46" t="n"/>
      <c r="AV1808" s="36">
        <f>IF($C1808="","",EMPLOYES!M40)</f>
        <v/>
      </c>
      <c r="AW1808" s="36">
        <f>IF($C1808="",0,SUMPRODUCT(--(O1808:AS1808="C")))</f>
        <v/>
      </c>
      <c r="AX1808" s="36">
        <f>IF($C1808="",0,SUMPRODUCT(--(O1808:AS1808="R")))</f>
        <v/>
      </c>
      <c r="AY1808" s="44" t="n"/>
    </row>
    <row r="1809" hidden="1" outlineLevel="1" ht="15" customHeight="1" s="15">
      <c r="B1809" s="41" t="n">
        <v>8</v>
      </c>
      <c r="C1809" s="42">
        <f>IF(EMPLOYES!C41="","",EMPLOYES!C41)</f>
        <v/>
      </c>
      <c r="D1809" s="43">
        <f>IF(EMPLOYES!C41="","",EMPLOYES!D41)</f>
        <v/>
      </c>
      <c r="E1809" s="44" t="n"/>
      <c r="F1809" s="42" t="n"/>
      <c r="G1809" s="41">
        <f>IF($C1809="",0,MAX(0,$M1809-$N1809))</f>
        <v/>
      </c>
      <c r="H1809" s="45" t="n"/>
      <c r="I1809" s="41">
        <f>IF($C1809="","",IF(H1809="","OK",IF(H1809&gt;EMPLOYES!P41,"⚠ Avance &gt; salaire",IF(H1809&gt;EMPLOYES!P41*PARAMETRES!$C$218,"⚠ Avance élevée","OK"))))</f>
        <v/>
      </c>
      <c r="J1809" s="45" t="n"/>
      <c r="K1809" s="46" t="n"/>
      <c r="L1809" s="46" t="n"/>
      <c r="M1809" s="41">
        <f>IF($C1809="","",SUMPRODUCT((PARAMETRES!$B$38:$B$157=PARAMETRES!$C$29)*(PARAMETRES!$C$38:$C$157=8)*(IF(EMPLOYES!M41="5j",PARAMETRES!$I$38:$I$157,PARAMETRES!$H$38:$H$157))))</f>
        <v/>
      </c>
      <c r="N1809" s="41">
        <f>IF($C1809="","",SUMPRODUCT((O1809:AS1809="P")+(O1809:AS1809="F")+(O1809:AS1809="C")+0.5*(O1809:AS1809="D"),(1-((O1780:AS1780=6)*(EMPLOYES!M41="5j")))))</f>
        <v/>
      </c>
      <c r="O1809" s="46" t="n"/>
      <c r="P1809" s="46" t="n"/>
      <c r="Q1809" s="46" t="n"/>
      <c r="R1809" s="46" t="n"/>
      <c r="S1809" s="46" t="n"/>
      <c r="T1809" s="46" t="n"/>
      <c r="U1809" s="46" t="n"/>
      <c r="V1809" s="46" t="n"/>
      <c r="W1809" s="46" t="n"/>
      <c r="X1809" s="46" t="n"/>
      <c r="Y1809" s="46" t="n"/>
      <c r="Z1809" s="46" t="n"/>
      <c r="AA1809" s="46" t="n"/>
      <c r="AB1809" s="46" t="n"/>
      <c r="AC1809" s="46" t="n"/>
      <c r="AD1809" s="46" t="n"/>
      <c r="AE1809" s="46" t="n"/>
      <c r="AF1809" s="46" t="n"/>
      <c r="AG1809" s="46" t="n"/>
      <c r="AH1809" s="46" t="n"/>
      <c r="AI1809" s="46" t="n"/>
      <c r="AJ1809" s="46" t="n"/>
      <c r="AK1809" s="46" t="n"/>
      <c r="AL1809" s="46" t="n"/>
      <c r="AM1809" s="46" t="n"/>
      <c r="AN1809" s="46" t="n"/>
      <c r="AO1809" s="46" t="n"/>
      <c r="AP1809" s="46" t="n"/>
      <c r="AQ1809" s="46" t="n"/>
      <c r="AR1809" s="46" t="n"/>
      <c r="AS1809" s="46" t="n"/>
      <c r="AV1809" s="36">
        <f>IF($C1809="","",EMPLOYES!M41)</f>
        <v/>
      </c>
      <c r="AW1809" s="36">
        <f>IF($C1809="",0,SUMPRODUCT(--(O1809:AS1809="C")))</f>
        <v/>
      </c>
      <c r="AX1809" s="36">
        <f>IF($C1809="",0,SUMPRODUCT(--(O1809:AS1809="R")))</f>
        <v/>
      </c>
      <c r="AY1809" s="44" t="n"/>
    </row>
    <row r="1810" hidden="1" outlineLevel="1" ht="15" customHeight="1" s="15">
      <c r="B1810" s="41" t="n">
        <v>8</v>
      </c>
      <c r="C1810" s="42">
        <f>IF(EMPLOYES!C42="","",EMPLOYES!C42)</f>
        <v/>
      </c>
      <c r="D1810" s="43">
        <f>IF(EMPLOYES!C42="","",EMPLOYES!D42)</f>
        <v/>
      </c>
      <c r="E1810" s="44" t="n"/>
      <c r="F1810" s="42" t="n"/>
      <c r="G1810" s="41">
        <f>IF($C1810="",0,MAX(0,$M1810-$N1810))</f>
        <v/>
      </c>
      <c r="H1810" s="45" t="n"/>
      <c r="I1810" s="41">
        <f>IF($C1810="","",IF(H1810="","OK",IF(H1810&gt;EMPLOYES!P42,"⚠ Avance &gt; salaire",IF(H1810&gt;EMPLOYES!P42*PARAMETRES!$C$218,"⚠ Avance élevée","OK"))))</f>
        <v/>
      </c>
      <c r="J1810" s="45" t="n"/>
      <c r="K1810" s="46" t="n"/>
      <c r="L1810" s="46" t="n"/>
      <c r="M1810" s="41">
        <f>IF($C1810="","",SUMPRODUCT((PARAMETRES!$B$38:$B$157=PARAMETRES!$C$29)*(PARAMETRES!$C$38:$C$157=8)*(IF(EMPLOYES!M42="5j",PARAMETRES!$I$38:$I$157,PARAMETRES!$H$38:$H$157))))</f>
        <v/>
      </c>
      <c r="N1810" s="41">
        <f>IF($C1810="","",SUMPRODUCT((O1810:AS1810="P")+(O1810:AS1810="F")+(O1810:AS1810="C")+0.5*(O1810:AS1810="D"),(1-((O1780:AS1780=6)*(EMPLOYES!M42="5j")))))</f>
        <v/>
      </c>
      <c r="O1810" s="46" t="n"/>
      <c r="P1810" s="46" t="n"/>
      <c r="Q1810" s="46" t="n"/>
      <c r="R1810" s="46" t="n"/>
      <c r="S1810" s="46" t="n"/>
      <c r="T1810" s="46" t="n"/>
      <c r="U1810" s="46" t="n"/>
      <c r="V1810" s="46" t="n"/>
      <c r="W1810" s="46" t="n"/>
      <c r="X1810" s="46" t="n"/>
      <c r="Y1810" s="46" t="n"/>
      <c r="Z1810" s="46" t="n"/>
      <c r="AA1810" s="46" t="n"/>
      <c r="AB1810" s="46" t="n"/>
      <c r="AC1810" s="46" t="n"/>
      <c r="AD1810" s="46" t="n"/>
      <c r="AE1810" s="46" t="n"/>
      <c r="AF1810" s="46" t="n"/>
      <c r="AG1810" s="46" t="n"/>
      <c r="AH1810" s="46" t="n"/>
      <c r="AI1810" s="46" t="n"/>
      <c r="AJ1810" s="46" t="n"/>
      <c r="AK1810" s="46" t="n"/>
      <c r="AL1810" s="46" t="n"/>
      <c r="AM1810" s="46" t="n"/>
      <c r="AN1810" s="46" t="n"/>
      <c r="AO1810" s="46" t="n"/>
      <c r="AP1810" s="46" t="n"/>
      <c r="AQ1810" s="46" t="n"/>
      <c r="AR1810" s="46" t="n"/>
      <c r="AS1810" s="46" t="n"/>
      <c r="AV1810" s="36">
        <f>IF($C1810="","",EMPLOYES!M42)</f>
        <v/>
      </c>
      <c r="AW1810" s="36">
        <f>IF($C1810="",0,SUMPRODUCT(--(O1810:AS1810="C")))</f>
        <v/>
      </c>
      <c r="AX1810" s="36">
        <f>IF($C1810="",0,SUMPRODUCT(--(O1810:AS1810="R")))</f>
        <v/>
      </c>
      <c r="AY1810" s="44" t="n"/>
    </row>
    <row r="1811" hidden="1" outlineLevel="1" ht="15" customHeight="1" s="15">
      <c r="B1811" s="41" t="n">
        <v>8</v>
      </c>
      <c r="C1811" s="42">
        <f>IF(EMPLOYES!C43="","",EMPLOYES!C43)</f>
        <v/>
      </c>
      <c r="D1811" s="43">
        <f>IF(EMPLOYES!C43="","",EMPLOYES!D43)</f>
        <v/>
      </c>
      <c r="E1811" s="44" t="n"/>
      <c r="F1811" s="42" t="n"/>
      <c r="G1811" s="41">
        <f>IF($C1811="",0,MAX(0,$M1811-$N1811))</f>
        <v/>
      </c>
      <c r="H1811" s="45" t="n"/>
      <c r="I1811" s="41">
        <f>IF($C1811="","",IF(H1811="","OK",IF(H1811&gt;EMPLOYES!P43,"⚠ Avance &gt; salaire",IF(H1811&gt;EMPLOYES!P43*PARAMETRES!$C$218,"⚠ Avance élevée","OK"))))</f>
        <v/>
      </c>
      <c r="J1811" s="45" t="n"/>
      <c r="K1811" s="46" t="n"/>
      <c r="L1811" s="46" t="n"/>
      <c r="M1811" s="41">
        <f>IF($C1811="","",SUMPRODUCT((PARAMETRES!$B$38:$B$157=PARAMETRES!$C$29)*(PARAMETRES!$C$38:$C$157=8)*(IF(EMPLOYES!M43="5j",PARAMETRES!$I$38:$I$157,PARAMETRES!$H$38:$H$157))))</f>
        <v/>
      </c>
      <c r="N1811" s="41">
        <f>IF($C1811="","",SUMPRODUCT((O1811:AS1811="P")+(O1811:AS1811="F")+(O1811:AS1811="C")+0.5*(O1811:AS1811="D"),(1-((O1780:AS1780=6)*(EMPLOYES!M43="5j")))))</f>
        <v/>
      </c>
      <c r="O1811" s="46" t="n"/>
      <c r="P1811" s="46" t="n"/>
      <c r="Q1811" s="46" t="n"/>
      <c r="R1811" s="46" t="n"/>
      <c r="S1811" s="46" t="n"/>
      <c r="T1811" s="46" t="n"/>
      <c r="U1811" s="46" t="n"/>
      <c r="V1811" s="46" t="n"/>
      <c r="W1811" s="46" t="n"/>
      <c r="X1811" s="46" t="n"/>
      <c r="Y1811" s="46" t="n"/>
      <c r="Z1811" s="46" t="n"/>
      <c r="AA1811" s="46" t="n"/>
      <c r="AB1811" s="46" t="n"/>
      <c r="AC1811" s="46" t="n"/>
      <c r="AD1811" s="46" t="n"/>
      <c r="AE1811" s="46" t="n"/>
      <c r="AF1811" s="46" t="n"/>
      <c r="AG1811" s="46" t="n"/>
      <c r="AH1811" s="46" t="n"/>
      <c r="AI1811" s="46" t="n"/>
      <c r="AJ1811" s="46" t="n"/>
      <c r="AK1811" s="46" t="n"/>
      <c r="AL1811" s="46" t="n"/>
      <c r="AM1811" s="46" t="n"/>
      <c r="AN1811" s="46" t="n"/>
      <c r="AO1811" s="46" t="n"/>
      <c r="AP1811" s="46" t="n"/>
      <c r="AQ1811" s="46" t="n"/>
      <c r="AR1811" s="46" t="n"/>
      <c r="AS1811" s="46" t="n"/>
      <c r="AV1811" s="36">
        <f>IF($C1811="","",EMPLOYES!M43)</f>
        <v/>
      </c>
      <c r="AW1811" s="36">
        <f>IF($C1811="",0,SUMPRODUCT(--(O1811:AS1811="C")))</f>
        <v/>
      </c>
      <c r="AX1811" s="36">
        <f>IF($C1811="",0,SUMPRODUCT(--(O1811:AS1811="R")))</f>
        <v/>
      </c>
      <c r="AY1811" s="44" t="n"/>
    </row>
    <row r="1812" hidden="1" outlineLevel="1" ht="15" customHeight="1" s="15">
      <c r="B1812" s="41" t="n">
        <v>8</v>
      </c>
      <c r="C1812" s="42">
        <f>IF(EMPLOYES!C44="","",EMPLOYES!C44)</f>
        <v/>
      </c>
      <c r="D1812" s="43">
        <f>IF(EMPLOYES!C44="","",EMPLOYES!D44)</f>
        <v/>
      </c>
      <c r="E1812" s="44" t="n"/>
      <c r="F1812" s="42" t="n"/>
      <c r="G1812" s="41">
        <f>IF($C1812="",0,MAX(0,$M1812-$N1812))</f>
        <v/>
      </c>
      <c r="H1812" s="45" t="n"/>
      <c r="I1812" s="41">
        <f>IF($C1812="","",IF(H1812="","OK",IF(H1812&gt;EMPLOYES!P44,"⚠ Avance &gt; salaire",IF(H1812&gt;EMPLOYES!P44*PARAMETRES!$C$218,"⚠ Avance élevée","OK"))))</f>
        <v/>
      </c>
      <c r="J1812" s="45" t="n"/>
      <c r="K1812" s="46" t="n"/>
      <c r="L1812" s="46" t="n"/>
      <c r="M1812" s="41">
        <f>IF($C1812="","",SUMPRODUCT((PARAMETRES!$B$38:$B$157=PARAMETRES!$C$29)*(PARAMETRES!$C$38:$C$157=8)*(IF(EMPLOYES!M44="5j",PARAMETRES!$I$38:$I$157,PARAMETRES!$H$38:$H$157))))</f>
        <v/>
      </c>
      <c r="N1812" s="41">
        <f>IF($C1812="","",SUMPRODUCT((O1812:AS1812="P")+(O1812:AS1812="F")+(O1812:AS1812="C")+0.5*(O1812:AS1812="D"),(1-((O1780:AS1780=6)*(EMPLOYES!M44="5j")))))</f>
        <v/>
      </c>
      <c r="O1812" s="46" t="n"/>
      <c r="P1812" s="46" t="n"/>
      <c r="Q1812" s="46" t="n"/>
      <c r="R1812" s="46" t="n"/>
      <c r="S1812" s="46" t="n"/>
      <c r="T1812" s="46" t="n"/>
      <c r="U1812" s="46" t="n"/>
      <c r="V1812" s="46" t="n"/>
      <c r="W1812" s="46" t="n"/>
      <c r="X1812" s="46" t="n"/>
      <c r="Y1812" s="46" t="n"/>
      <c r="Z1812" s="46" t="n"/>
      <c r="AA1812" s="46" t="n"/>
      <c r="AB1812" s="46" t="n"/>
      <c r="AC1812" s="46" t="n"/>
      <c r="AD1812" s="46" t="n"/>
      <c r="AE1812" s="46" t="n"/>
      <c r="AF1812" s="46" t="n"/>
      <c r="AG1812" s="46" t="n"/>
      <c r="AH1812" s="46" t="n"/>
      <c r="AI1812" s="46" t="n"/>
      <c r="AJ1812" s="46" t="n"/>
      <c r="AK1812" s="46" t="n"/>
      <c r="AL1812" s="46" t="n"/>
      <c r="AM1812" s="46" t="n"/>
      <c r="AN1812" s="46" t="n"/>
      <c r="AO1812" s="46" t="n"/>
      <c r="AP1812" s="46" t="n"/>
      <c r="AQ1812" s="46" t="n"/>
      <c r="AR1812" s="46" t="n"/>
      <c r="AS1812" s="46" t="n"/>
      <c r="AV1812" s="36">
        <f>IF($C1812="","",EMPLOYES!M44)</f>
        <v/>
      </c>
      <c r="AW1812" s="36">
        <f>IF($C1812="",0,SUMPRODUCT(--(O1812:AS1812="C")))</f>
        <v/>
      </c>
      <c r="AX1812" s="36">
        <f>IF($C1812="",0,SUMPRODUCT(--(O1812:AS1812="R")))</f>
        <v/>
      </c>
      <c r="AY1812" s="44" t="n"/>
    </row>
    <row r="1813" hidden="1" outlineLevel="1" ht="15" customHeight="1" s="15">
      <c r="B1813" s="41" t="n">
        <v>8</v>
      </c>
      <c r="C1813" s="42">
        <f>IF(EMPLOYES!C45="","",EMPLOYES!C45)</f>
        <v/>
      </c>
      <c r="D1813" s="43">
        <f>IF(EMPLOYES!C45="","",EMPLOYES!D45)</f>
        <v/>
      </c>
      <c r="E1813" s="44" t="n"/>
      <c r="F1813" s="42" t="n"/>
      <c r="G1813" s="41">
        <f>IF($C1813="",0,MAX(0,$M1813-$N1813))</f>
        <v/>
      </c>
      <c r="H1813" s="45" t="n"/>
      <c r="I1813" s="41">
        <f>IF($C1813="","",IF(H1813="","OK",IF(H1813&gt;EMPLOYES!P45,"⚠ Avance &gt; salaire",IF(H1813&gt;EMPLOYES!P45*PARAMETRES!$C$218,"⚠ Avance élevée","OK"))))</f>
        <v/>
      </c>
      <c r="J1813" s="45" t="n"/>
      <c r="K1813" s="46" t="n"/>
      <c r="L1813" s="46" t="n"/>
      <c r="M1813" s="41">
        <f>IF($C1813="","",SUMPRODUCT((PARAMETRES!$B$38:$B$157=PARAMETRES!$C$29)*(PARAMETRES!$C$38:$C$157=8)*(IF(EMPLOYES!M45="5j",PARAMETRES!$I$38:$I$157,PARAMETRES!$H$38:$H$157))))</f>
        <v/>
      </c>
      <c r="N1813" s="41">
        <f>IF($C1813="","",SUMPRODUCT((O1813:AS1813="P")+(O1813:AS1813="F")+(O1813:AS1813="C")+0.5*(O1813:AS1813="D"),(1-((O1780:AS1780=6)*(EMPLOYES!M45="5j")))))</f>
        <v/>
      </c>
      <c r="O1813" s="46" t="n"/>
      <c r="P1813" s="46" t="n"/>
      <c r="Q1813" s="46" t="n"/>
      <c r="R1813" s="46" t="n"/>
      <c r="S1813" s="46" t="n"/>
      <c r="T1813" s="46" t="n"/>
      <c r="U1813" s="46" t="n"/>
      <c r="V1813" s="46" t="n"/>
      <c r="W1813" s="46" t="n"/>
      <c r="X1813" s="46" t="n"/>
      <c r="Y1813" s="46" t="n"/>
      <c r="Z1813" s="46" t="n"/>
      <c r="AA1813" s="46" t="n"/>
      <c r="AB1813" s="46" t="n"/>
      <c r="AC1813" s="46" t="n"/>
      <c r="AD1813" s="46" t="n"/>
      <c r="AE1813" s="46" t="n"/>
      <c r="AF1813" s="46" t="n"/>
      <c r="AG1813" s="46" t="n"/>
      <c r="AH1813" s="46" t="n"/>
      <c r="AI1813" s="46" t="n"/>
      <c r="AJ1813" s="46" t="n"/>
      <c r="AK1813" s="46" t="n"/>
      <c r="AL1813" s="46" t="n"/>
      <c r="AM1813" s="46" t="n"/>
      <c r="AN1813" s="46" t="n"/>
      <c r="AO1813" s="46" t="n"/>
      <c r="AP1813" s="46" t="n"/>
      <c r="AQ1813" s="46" t="n"/>
      <c r="AR1813" s="46" t="n"/>
      <c r="AS1813" s="46" t="n"/>
      <c r="AV1813" s="36">
        <f>IF($C1813="","",EMPLOYES!M45)</f>
        <v/>
      </c>
      <c r="AW1813" s="36">
        <f>IF($C1813="",0,SUMPRODUCT(--(O1813:AS1813="C")))</f>
        <v/>
      </c>
      <c r="AX1813" s="36">
        <f>IF($C1813="",0,SUMPRODUCT(--(O1813:AS1813="R")))</f>
        <v/>
      </c>
      <c r="AY1813" s="44" t="n"/>
    </row>
    <row r="1814" hidden="1" outlineLevel="1" ht="15" customHeight="1" s="15">
      <c r="B1814" s="41" t="n">
        <v>8</v>
      </c>
      <c r="C1814" s="42">
        <f>IF(EMPLOYES!C46="","",EMPLOYES!C46)</f>
        <v/>
      </c>
      <c r="D1814" s="43">
        <f>IF(EMPLOYES!C46="","",EMPLOYES!D46)</f>
        <v/>
      </c>
      <c r="E1814" s="44" t="n"/>
      <c r="F1814" s="42" t="n"/>
      <c r="G1814" s="41">
        <f>IF($C1814="",0,MAX(0,$M1814-$N1814))</f>
        <v/>
      </c>
      <c r="H1814" s="45" t="n"/>
      <c r="I1814" s="41">
        <f>IF($C1814="","",IF(H1814="","OK",IF(H1814&gt;EMPLOYES!P46,"⚠ Avance &gt; salaire",IF(H1814&gt;EMPLOYES!P46*PARAMETRES!$C$218,"⚠ Avance élevée","OK"))))</f>
        <v/>
      </c>
      <c r="J1814" s="45" t="n"/>
      <c r="K1814" s="46" t="n"/>
      <c r="L1814" s="46" t="n"/>
      <c r="M1814" s="41">
        <f>IF($C1814="","",SUMPRODUCT((PARAMETRES!$B$38:$B$157=PARAMETRES!$C$29)*(PARAMETRES!$C$38:$C$157=8)*(IF(EMPLOYES!M46="5j",PARAMETRES!$I$38:$I$157,PARAMETRES!$H$38:$H$157))))</f>
        <v/>
      </c>
      <c r="N1814" s="41">
        <f>IF($C1814="","",SUMPRODUCT((O1814:AS1814="P")+(O1814:AS1814="F")+(O1814:AS1814="C")+0.5*(O1814:AS1814="D"),(1-((O1780:AS1780=6)*(EMPLOYES!M46="5j")))))</f>
        <v/>
      </c>
      <c r="O1814" s="46" t="n"/>
      <c r="P1814" s="46" t="n"/>
      <c r="Q1814" s="46" t="n"/>
      <c r="R1814" s="46" t="n"/>
      <c r="S1814" s="46" t="n"/>
      <c r="T1814" s="46" t="n"/>
      <c r="U1814" s="46" t="n"/>
      <c r="V1814" s="46" t="n"/>
      <c r="W1814" s="46" t="n"/>
      <c r="X1814" s="46" t="n"/>
      <c r="Y1814" s="46" t="n"/>
      <c r="Z1814" s="46" t="n"/>
      <c r="AA1814" s="46" t="n"/>
      <c r="AB1814" s="46" t="n"/>
      <c r="AC1814" s="46" t="n"/>
      <c r="AD1814" s="46" t="n"/>
      <c r="AE1814" s="46" t="n"/>
      <c r="AF1814" s="46" t="n"/>
      <c r="AG1814" s="46" t="n"/>
      <c r="AH1814" s="46" t="n"/>
      <c r="AI1814" s="46" t="n"/>
      <c r="AJ1814" s="46" t="n"/>
      <c r="AK1814" s="46" t="n"/>
      <c r="AL1814" s="46" t="n"/>
      <c r="AM1814" s="46" t="n"/>
      <c r="AN1814" s="46" t="n"/>
      <c r="AO1814" s="46" t="n"/>
      <c r="AP1814" s="46" t="n"/>
      <c r="AQ1814" s="46" t="n"/>
      <c r="AR1814" s="46" t="n"/>
      <c r="AS1814" s="46" t="n"/>
      <c r="AV1814" s="36">
        <f>IF($C1814="","",EMPLOYES!M46)</f>
        <v/>
      </c>
      <c r="AW1814" s="36">
        <f>IF($C1814="",0,SUMPRODUCT(--(O1814:AS1814="C")))</f>
        <v/>
      </c>
      <c r="AX1814" s="36">
        <f>IF($C1814="",0,SUMPRODUCT(--(O1814:AS1814="R")))</f>
        <v/>
      </c>
      <c r="AY1814" s="44" t="n"/>
    </row>
    <row r="1815" hidden="1" outlineLevel="1" ht="15" customHeight="1" s="15">
      <c r="B1815" s="41" t="n">
        <v>8</v>
      </c>
      <c r="C1815" s="42">
        <f>IF(EMPLOYES!C47="","",EMPLOYES!C47)</f>
        <v/>
      </c>
      <c r="D1815" s="43">
        <f>IF(EMPLOYES!C47="","",EMPLOYES!D47)</f>
        <v/>
      </c>
      <c r="E1815" s="44" t="n"/>
      <c r="F1815" s="42" t="n"/>
      <c r="G1815" s="41">
        <f>IF($C1815="",0,MAX(0,$M1815-$N1815))</f>
        <v/>
      </c>
      <c r="H1815" s="45" t="n"/>
      <c r="I1815" s="41">
        <f>IF($C1815="","",IF(H1815="","OK",IF(H1815&gt;EMPLOYES!P47,"⚠ Avance &gt; salaire",IF(H1815&gt;EMPLOYES!P47*PARAMETRES!$C$218,"⚠ Avance élevée","OK"))))</f>
        <v/>
      </c>
      <c r="J1815" s="45" t="n"/>
      <c r="K1815" s="46" t="n"/>
      <c r="L1815" s="46" t="n"/>
      <c r="M1815" s="41">
        <f>IF($C1815="","",SUMPRODUCT((PARAMETRES!$B$38:$B$157=PARAMETRES!$C$29)*(PARAMETRES!$C$38:$C$157=8)*(IF(EMPLOYES!M47="5j",PARAMETRES!$I$38:$I$157,PARAMETRES!$H$38:$H$157))))</f>
        <v/>
      </c>
      <c r="N1815" s="41">
        <f>IF($C1815="","",SUMPRODUCT((O1815:AS1815="P")+(O1815:AS1815="F")+(O1815:AS1815="C")+0.5*(O1815:AS1815="D"),(1-((O1780:AS1780=6)*(EMPLOYES!M47="5j")))))</f>
        <v/>
      </c>
      <c r="O1815" s="46" t="n"/>
      <c r="P1815" s="46" t="n"/>
      <c r="Q1815" s="46" t="n"/>
      <c r="R1815" s="46" t="n"/>
      <c r="S1815" s="46" t="n"/>
      <c r="T1815" s="46" t="n"/>
      <c r="U1815" s="46" t="n"/>
      <c r="V1815" s="46" t="n"/>
      <c r="W1815" s="46" t="n"/>
      <c r="X1815" s="46" t="n"/>
      <c r="Y1815" s="46" t="n"/>
      <c r="Z1815" s="46" t="n"/>
      <c r="AA1815" s="46" t="n"/>
      <c r="AB1815" s="46" t="n"/>
      <c r="AC1815" s="46" t="n"/>
      <c r="AD1815" s="46" t="n"/>
      <c r="AE1815" s="46" t="n"/>
      <c r="AF1815" s="46" t="n"/>
      <c r="AG1815" s="46" t="n"/>
      <c r="AH1815" s="46" t="n"/>
      <c r="AI1815" s="46" t="n"/>
      <c r="AJ1815" s="46" t="n"/>
      <c r="AK1815" s="46" t="n"/>
      <c r="AL1815" s="46" t="n"/>
      <c r="AM1815" s="46" t="n"/>
      <c r="AN1815" s="46" t="n"/>
      <c r="AO1815" s="46" t="n"/>
      <c r="AP1815" s="46" t="n"/>
      <c r="AQ1815" s="46" t="n"/>
      <c r="AR1815" s="46" t="n"/>
      <c r="AS1815" s="46" t="n"/>
      <c r="AV1815" s="36">
        <f>IF($C1815="","",EMPLOYES!M47)</f>
        <v/>
      </c>
      <c r="AW1815" s="36">
        <f>IF($C1815="",0,SUMPRODUCT(--(O1815:AS1815="C")))</f>
        <v/>
      </c>
      <c r="AX1815" s="36">
        <f>IF($C1815="",0,SUMPRODUCT(--(O1815:AS1815="R")))</f>
        <v/>
      </c>
      <c r="AY1815" s="44" t="n"/>
    </row>
    <row r="1816" hidden="1" outlineLevel="1" ht="15" customHeight="1" s="15">
      <c r="B1816" s="41" t="n">
        <v>8</v>
      </c>
      <c r="C1816" s="42">
        <f>IF(EMPLOYES!C48="","",EMPLOYES!C48)</f>
        <v/>
      </c>
      <c r="D1816" s="43">
        <f>IF(EMPLOYES!C48="","",EMPLOYES!D48)</f>
        <v/>
      </c>
      <c r="E1816" s="44" t="n"/>
      <c r="F1816" s="42" t="n"/>
      <c r="G1816" s="41">
        <f>IF($C1816="",0,MAX(0,$M1816-$N1816))</f>
        <v/>
      </c>
      <c r="H1816" s="45" t="n"/>
      <c r="I1816" s="41">
        <f>IF($C1816="","",IF(H1816="","OK",IF(H1816&gt;EMPLOYES!P48,"⚠ Avance &gt; salaire",IF(H1816&gt;EMPLOYES!P48*PARAMETRES!$C$218,"⚠ Avance élevée","OK"))))</f>
        <v/>
      </c>
      <c r="J1816" s="45" t="n"/>
      <c r="K1816" s="46" t="n"/>
      <c r="L1816" s="46" t="n"/>
      <c r="M1816" s="41">
        <f>IF($C1816="","",SUMPRODUCT((PARAMETRES!$B$38:$B$157=PARAMETRES!$C$29)*(PARAMETRES!$C$38:$C$157=8)*(IF(EMPLOYES!M48="5j",PARAMETRES!$I$38:$I$157,PARAMETRES!$H$38:$H$157))))</f>
        <v/>
      </c>
      <c r="N1816" s="41">
        <f>IF($C1816="","",SUMPRODUCT((O1816:AS1816="P")+(O1816:AS1816="F")+(O1816:AS1816="C")+0.5*(O1816:AS1816="D"),(1-((O1780:AS1780=6)*(EMPLOYES!M48="5j")))))</f>
        <v/>
      </c>
      <c r="O1816" s="46" t="n"/>
      <c r="P1816" s="46" t="n"/>
      <c r="Q1816" s="46" t="n"/>
      <c r="R1816" s="46" t="n"/>
      <c r="S1816" s="46" t="n"/>
      <c r="T1816" s="46" t="n"/>
      <c r="U1816" s="46" t="n"/>
      <c r="V1816" s="46" t="n"/>
      <c r="W1816" s="46" t="n"/>
      <c r="X1816" s="46" t="n"/>
      <c r="Y1816" s="46" t="n"/>
      <c r="Z1816" s="46" t="n"/>
      <c r="AA1816" s="46" t="n"/>
      <c r="AB1816" s="46" t="n"/>
      <c r="AC1816" s="46" t="n"/>
      <c r="AD1816" s="46" t="n"/>
      <c r="AE1816" s="46" t="n"/>
      <c r="AF1816" s="46" t="n"/>
      <c r="AG1816" s="46" t="n"/>
      <c r="AH1816" s="46" t="n"/>
      <c r="AI1816" s="46" t="n"/>
      <c r="AJ1816" s="46" t="n"/>
      <c r="AK1816" s="46" t="n"/>
      <c r="AL1816" s="46" t="n"/>
      <c r="AM1816" s="46" t="n"/>
      <c r="AN1816" s="46" t="n"/>
      <c r="AO1816" s="46" t="n"/>
      <c r="AP1816" s="46" t="n"/>
      <c r="AQ1816" s="46" t="n"/>
      <c r="AR1816" s="46" t="n"/>
      <c r="AS1816" s="46" t="n"/>
      <c r="AV1816" s="36">
        <f>IF($C1816="","",EMPLOYES!M48)</f>
        <v/>
      </c>
      <c r="AW1816" s="36">
        <f>IF($C1816="",0,SUMPRODUCT(--(O1816:AS1816="C")))</f>
        <v/>
      </c>
      <c r="AX1816" s="36">
        <f>IF($C1816="",0,SUMPRODUCT(--(O1816:AS1816="R")))</f>
        <v/>
      </c>
      <c r="AY1816" s="44" t="n"/>
    </row>
    <row r="1817" hidden="1" outlineLevel="1" ht="15" customHeight="1" s="15">
      <c r="B1817" s="41" t="n">
        <v>8</v>
      </c>
      <c r="C1817" s="42">
        <f>IF(EMPLOYES!C49="","",EMPLOYES!C49)</f>
        <v/>
      </c>
      <c r="D1817" s="43">
        <f>IF(EMPLOYES!C49="","",EMPLOYES!D49)</f>
        <v/>
      </c>
      <c r="E1817" s="44" t="n"/>
      <c r="F1817" s="42" t="n"/>
      <c r="G1817" s="41">
        <f>IF($C1817="",0,MAX(0,$M1817-$N1817))</f>
        <v/>
      </c>
      <c r="H1817" s="45" t="n"/>
      <c r="I1817" s="41">
        <f>IF($C1817="","",IF(H1817="","OK",IF(H1817&gt;EMPLOYES!P49,"⚠ Avance &gt; salaire",IF(H1817&gt;EMPLOYES!P49*PARAMETRES!$C$218,"⚠ Avance élevée","OK"))))</f>
        <v/>
      </c>
      <c r="J1817" s="45" t="n"/>
      <c r="K1817" s="46" t="n"/>
      <c r="L1817" s="46" t="n"/>
      <c r="M1817" s="41">
        <f>IF($C1817="","",SUMPRODUCT((PARAMETRES!$B$38:$B$157=PARAMETRES!$C$29)*(PARAMETRES!$C$38:$C$157=8)*(IF(EMPLOYES!M49="5j",PARAMETRES!$I$38:$I$157,PARAMETRES!$H$38:$H$157))))</f>
        <v/>
      </c>
      <c r="N1817" s="41">
        <f>IF($C1817="","",SUMPRODUCT((O1817:AS1817="P")+(O1817:AS1817="F")+(O1817:AS1817="C")+0.5*(O1817:AS1817="D"),(1-((O1780:AS1780=6)*(EMPLOYES!M49="5j")))))</f>
        <v/>
      </c>
      <c r="O1817" s="46" t="n"/>
      <c r="P1817" s="46" t="n"/>
      <c r="Q1817" s="46" t="n"/>
      <c r="R1817" s="46" t="n"/>
      <c r="S1817" s="46" t="n"/>
      <c r="T1817" s="46" t="n"/>
      <c r="U1817" s="46" t="n"/>
      <c r="V1817" s="46" t="n"/>
      <c r="W1817" s="46" t="n"/>
      <c r="X1817" s="46" t="n"/>
      <c r="Y1817" s="46" t="n"/>
      <c r="Z1817" s="46" t="n"/>
      <c r="AA1817" s="46" t="n"/>
      <c r="AB1817" s="46" t="n"/>
      <c r="AC1817" s="46" t="n"/>
      <c r="AD1817" s="46" t="n"/>
      <c r="AE1817" s="46" t="n"/>
      <c r="AF1817" s="46" t="n"/>
      <c r="AG1817" s="46" t="n"/>
      <c r="AH1817" s="46" t="n"/>
      <c r="AI1817" s="46" t="n"/>
      <c r="AJ1817" s="46" t="n"/>
      <c r="AK1817" s="46" t="n"/>
      <c r="AL1817" s="46" t="n"/>
      <c r="AM1817" s="46" t="n"/>
      <c r="AN1817" s="46" t="n"/>
      <c r="AO1817" s="46" t="n"/>
      <c r="AP1817" s="46" t="n"/>
      <c r="AQ1817" s="46" t="n"/>
      <c r="AR1817" s="46" t="n"/>
      <c r="AS1817" s="46" t="n"/>
      <c r="AV1817" s="36">
        <f>IF($C1817="","",EMPLOYES!M49)</f>
        <v/>
      </c>
      <c r="AW1817" s="36">
        <f>IF($C1817="",0,SUMPRODUCT(--(O1817:AS1817="C")))</f>
        <v/>
      </c>
      <c r="AX1817" s="36">
        <f>IF($C1817="",0,SUMPRODUCT(--(O1817:AS1817="R")))</f>
        <v/>
      </c>
      <c r="AY1817" s="44" t="n"/>
    </row>
    <row r="1818" hidden="1" outlineLevel="1" ht="15" customHeight="1" s="15">
      <c r="B1818" s="41" t="n">
        <v>8</v>
      </c>
      <c r="C1818" s="42">
        <f>IF(EMPLOYES!C50="","",EMPLOYES!C50)</f>
        <v/>
      </c>
      <c r="D1818" s="43">
        <f>IF(EMPLOYES!C50="","",EMPLOYES!D50)</f>
        <v/>
      </c>
      <c r="E1818" s="44" t="n"/>
      <c r="F1818" s="42" t="n"/>
      <c r="G1818" s="41">
        <f>IF($C1818="",0,MAX(0,$M1818-$N1818))</f>
        <v/>
      </c>
      <c r="H1818" s="45" t="n"/>
      <c r="I1818" s="41">
        <f>IF($C1818="","",IF(H1818="","OK",IF(H1818&gt;EMPLOYES!P50,"⚠ Avance &gt; salaire",IF(H1818&gt;EMPLOYES!P50*PARAMETRES!$C$218,"⚠ Avance élevée","OK"))))</f>
        <v/>
      </c>
      <c r="J1818" s="45" t="n"/>
      <c r="K1818" s="46" t="n"/>
      <c r="L1818" s="46" t="n"/>
      <c r="M1818" s="41">
        <f>IF($C1818="","",SUMPRODUCT((PARAMETRES!$B$38:$B$157=PARAMETRES!$C$29)*(PARAMETRES!$C$38:$C$157=8)*(IF(EMPLOYES!M50="5j",PARAMETRES!$I$38:$I$157,PARAMETRES!$H$38:$H$157))))</f>
        <v/>
      </c>
      <c r="N1818" s="41">
        <f>IF($C1818="","",SUMPRODUCT((O1818:AS1818="P")+(O1818:AS1818="F")+(O1818:AS1818="C")+0.5*(O1818:AS1818="D"),(1-((O1780:AS1780=6)*(EMPLOYES!M50="5j")))))</f>
        <v/>
      </c>
      <c r="O1818" s="46" t="n"/>
      <c r="P1818" s="46" t="n"/>
      <c r="Q1818" s="46" t="n"/>
      <c r="R1818" s="46" t="n"/>
      <c r="S1818" s="46" t="n"/>
      <c r="T1818" s="46" t="n"/>
      <c r="U1818" s="46" t="n"/>
      <c r="V1818" s="46" t="n"/>
      <c r="W1818" s="46" t="n"/>
      <c r="X1818" s="46" t="n"/>
      <c r="Y1818" s="46" t="n"/>
      <c r="Z1818" s="46" t="n"/>
      <c r="AA1818" s="46" t="n"/>
      <c r="AB1818" s="46" t="n"/>
      <c r="AC1818" s="46" t="n"/>
      <c r="AD1818" s="46" t="n"/>
      <c r="AE1818" s="46" t="n"/>
      <c r="AF1818" s="46" t="n"/>
      <c r="AG1818" s="46" t="n"/>
      <c r="AH1818" s="46" t="n"/>
      <c r="AI1818" s="46" t="n"/>
      <c r="AJ1818" s="46" t="n"/>
      <c r="AK1818" s="46" t="n"/>
      <c r="AL1818" s="46" t="n"/>
      <c r="AM1818" s="46" t="n"/>
      <c r="AN1818" s="46" t="n"/>
      <c r="AO1818" s="46" t="n"/>
      <c r="AP1818" s="46" t="n"/>
      <c r="AQ1818" s="46" t="n"/>
      <c r="AR1818" s="46" t="n"/>
      <c r="AS1818" s="46" t="n"/>
      <c r="AV1818" s="36">
        <f>IF($C1818="","",EMPLOYES!M50)</f>
        <v/>
      </c>
      <c r="AW1818" s="36">
        <f>IF($C1818="",0,SUMPRODUCT(--(O1818:AS1818="C")))</f>
        <v/>
      </c>
      <c r="AX1818" s="36">
        <f>IF($C1818="",0,SUMPRODUCT(--(O1818:AS1818="R")))</f>
        <v/>
      </c>
      <c r="AY1818" s="44" t="n"/>
    </row>
    <row r="1819" hidden="1" outlineLevel="1" ht="15" customHeight="1" s="15">
      <c r="B1819" s="41" t="n">
        <v>8</v>
      </c>
      <c r="C1819" s="42">
        <f>IF(EMPLOYES!C51="","",EMPLOYES!C51)</f>
        <v/>
      </c>
      <c r="D1819" s="43">
        <f>IF(EMPLOYES!C51="","",EMPLOYES!D51)</f>
        <v/>
      </c>
      <c r="E1819" s="44" t="n"/>
      <c r="F1819" s="42" t="n"/>
      <c r="G1819" s="41">
        <f>IF($C1819="",0,MAX(0,$M1819-$N1819))</f>
        <v/>
      </c>
      <c r="H1819" s="45" t="n"/>
      <c r="I1819" s="41">
        <f>IF($C1819="","",IF(H1819="","OK",IF(H1819&gt;EMPLOYES!P51,"⚠ Avance &gt; salaire",IF(H1819&gt;EMPLOYES!P51*PARAMETRES!$C$218,"⚠ Avance élevée","OK"))))</f>
        <v/>
      </c>
      <c r="J1819" s="45" t="n"/>
      <c r="K1819" s="46" t="n"/>
      <c r="L1819" s="46" t="n"/>
      <c r="M1819" s="41">
        <f>IF($C1819="","",SUMPRODUCT((PARAMETRES!$B$38:$B$157=PARAMETRES!$C$29)*(PARAMETRES!$C$38:$C$157=8)*(IF(EMPLOYES!M51="5j",PARAMETRES!$I$38:$I$157,PARAMETRES!$H$38:$H$157))))</f>
        <v/>
      </c>
      <c r="N1819" s="41">
        <f>IF($C1819="","",SUMPRODUCT((O1819:AS1819="P")+(O1819:AS1819="F")+(O1819:AS1819="C")+0.5*(O1819:AS1819="D"),(1-((O1780:AS1780=6)*(EMPLOYES!M51="5j")))))</f>
        <v/>
      </c>
      <c r="O1819" s="46" t="n"/>
      <c r="P1819" s="46" t="n"/>
      <c r="Q1819" s="46" t="n"/>
      <c r="R1819" s="46" t="n"/>
      <c r="S1819" s="46" t="n"/>
      <c r="T1819" s="46" t="n"/>
      <c r="U1819" s="46" t="n"/>
      <c r="V1819" s="46" t="n"/>
      <c r="W1819" s="46" t="n"/>
      <c r="X1819" s="46" t="n"/>
      <c r="Y1819" s="46" t="n"/>
      <c r="Z1819" s="46" t="n"/>
      <c r="AA1819" s="46" t="n"/>
      <c r="AB1819" s="46" t="n"/>
      <c r="AC1819" s="46" t="n"/>
      <c r="AD1819" s="46" t="n"/>
      <c r="AE1819" s="46" t="n"/>
      <c r="AF1819" s="46" t="n"/>
      <c r="AG1819" s="46" t="n"/>
      <c r="AH1819" s="46" t="n"/>
      <c r="AI1819" s="46" t="n"/>
      <c r="AJ1819" s="46" t="n"/>
      <c r="AK1819" s="46" t="n"/>
      <c r="AL1819" s="46" t="n"/>
      <c r="AM1819" s="46" t="n"/>
      <c r="AN1819" s="46" t="n"/>
      <c r="AO1819" s="46" t="n"/>
      <c r="AP1819" s="46" t="n"/>
      <c r="AQ1819" s="46" t="n"/>
      <c r="AR1819" s="46" t="n"/>
      <c r="AS1819" s="46" t="n"/>
      <c r="AV1819" s="36">
        <f>IF($C1819="","",EMPLOYES!M51)</f>
        <v/>
      </c>
      <c r="AW1819" s="36">
        <f>IF($C1819="",0,SUMPRODUCT(--(O1819:AS1819="C")))</f>
        <v/>
      </c>
      <c r="AX1819" s="36">
        <f>IF($C1819="",0,SUMPRODUCT(--(O1819:AS1819="R")))</f>
        <v/>
      </c>
      <c r="AY1819" s="44" t="n"/>
    </row>
    <row r="1820" hidden="1" outlineLevel="1" ht="15" customHeight="1" s="15">
      <c r="B1820" s="41" t="n">
        <v>8</v>
      </c>
      <c r="C1820" s="42">
        <f>IF(EMPLOYES!C52="","",EMPLOYES!C52)</f>
        <v/>
      </c>
      <c r="D1820" s="43">
        <f>IF(EMPLOYES!C52="","",EMPLOYES!D52)</f>
        <v/>
      </c>
      <c r="E1820" s="44" t="n"/>
      <c r="F1820" s="42" t="n"/>
      <c r="G1820" s="41">
        <f>IF($C1820="",0,MAX(0,$M1820-$N1820))</f>
        <v/>
      </c>
      <c r="H1820" s="45" t="n"/>
      <c r="I1820" s="41">
        <f>IF($C1820="","",IF(H1820="","OK",IF(H1820&gt;EMPLOYES!P52,"⚠ Avance &gt; salaire",IF(H1820&gt;EMPLOYES!P52*PARAMETRES!$C$218,"⚠ Avance élevée","OK"))))</f>
        <v/>
      </c>
      <c r="J1820" s="45" t="n"/>
      <c r="K1820" s="46" t="n"/>
      <c r="L1820" s="46" t="n"/>
      <c r="M1820" s="41">
        <f>IF($C1820="","",SUMPRODUCT((PARAMETRES!$B$38:$B$157=PARAMETRES!$C$29)*(PARAMETRES!$C$38:$C$157=8)*(IF(EMPLOYES!M52="5j",PARAMETRES!$I$38:$I$157,PARAMETRES!$H$38:$H$157))))</f>
        <v/>
      </c>
      <c r="N1820" s="41">
        <f>IF($C1820="","",SUMPRODUCT((O1820:AS1820="P")+(O1820:AS1820="F")+(O1820:AS1820="C")+0.5*(O1820:AS1820="D"),(1-((O1780:AS1780=6)*(EMPLOYES!M52="5j")))))</f>
        <v/>
      </c>
      <c r="O1820" s="46" t="n"/>
      <c r="P1820" s="46" t="n"/>
      <c r="Q1820" s="46" t="n"/>
      <c r="R1820" s="46" t="n"/>
      <c r="S1820" s="46" t="n"/>
      <c r="T1820" s="46" t="n"/>
      <c r="U1820" s="46" t="n"/>
      <c r="V1820" s="46" t="n"/>
      <c r="W1820" s="46" t="n"/>
      <c r="X1820" s="46" t="n"/>
      <c r="Y1820" s="46" t="n"/>
      <c r="Z1820" s="46" t="n"/>
      <c r="AA1820" s="46" t="n"/>
      <c r="AB1820" s="46" t="n"/>
      <c r="AC1820" s="46" t="n"/>
      <c r="AD1820" s="46" t="n"/>
      <c r="AE1820" s="46" t="n"/>
      <c r="AF1820" s="46" t="n"/>
      <c r="AG1820" s="46" t="n"/>
      <c r="AH1820" s="46" t="n"/>
      <c r="AI1820" s="46" t="n"/>
      <c r="AJ1820" s="46" t="n"/>
      <c r="AK1820" s="46" t="n"/>
      <c r="AL1820" s="46" t="n"/>
      <c r="AM1820" s="46" t="n"/>
      <c r="AN1820" s="46" t="n"/>
      <c r="AO1820" s="46" t="n"/>
      <c r="AP1820" s="46" t="n"/>
      <c r="AQ1820" s="46" t="n"/>
      <c r="AR1820" s="46" t="n"/>
      <c r="AS1820" s="46" t="n"/>
      <c r="AV1820" s="36">
        <f>IF($C1820="","",EMPLOYES!M52)</f>
        <v/>
      </c>
      <c r="AW1820" s="36">
        <f>IF($C1820="",0,SUMPRODUCT(--(O1820:AS1820="C")))</f>
        <v/>
      </c>
      <c r="AX1820" s="36">
        <f>IF($C1820="",0,SUMPRODUCT(--(O1820:AS1820="R")))</f>
        <v/>
      </c>
      <c r="AY1820" s="44" t="n"/>
    </row>
    <row r="1821" hidden="1" outlineLevel="1" ht="15" customHeight="1" s="15">
      <c r="B1821" s="41" t="n">
        <v>8</v>
      </c>
      <c r="C1821" s="42">
        <f>IF(EMPLOYES!C53="","",EMPLOYES!C53)</f>
        <v/>
      </c>
      <c r="D1821" s="43">
        <f>IF(EMPLOYES!C53="","",EMPLOYES!D53)</f>
        <v/>
      </c>
      <c r="E1821" s="44" t="n"/>
      <c r="F1821" s="42" t="n"/>
      <c r="G1821" s="41">
        <f>IF($C1821="",0,MAX(0,$M1821-$N1821))</f>
        <v/>
      </c>
      <c r="H1821" s="45" t="n"/>
      <c r="I1821" s="41">
        <f>IF($C1821="","",IF(H1821="","OK",IF(H1821&gt;EMPLOYES!P53,"⚠ Avance &gt; salaire",IF(H1821&gt;EMPLOYES!P53*PARAMETRES!$C$218,"⚠ Avance élevée","OK"))))</f>
        <v/>
      </c>
      <c r="J1821" s="45" t="n"/>
      <c r="K1821" s="46" t="n"/>
      <c r="L1821" s="46" t="n"/>
      <c r="M1821" s="41">
        <f>IF($C1821="","",SUMPRODUCT((PARAMETRES!$B$38:$B$157=PARAMETRES!$C$29)*(PARAMETRES!$C$38:$C$157=8)*(IF(EMPLOYES!M53="5j",PARAMETRES!$I$38:$I$157,PARAMETRES!$H$38:$H$157))))</f>
        <v/>
      </c>
      <c r="N1821" s="41">
        <f>IF($C1821="","",SUMPRODUCT((O1821:AS1821="P")+(O1821:AS1821="F")+(O1821:AS1821="C")+0.5*(O1821:AS1821="D"),(1-((O1780:AS1780=6)*(EMPLOYES!M53="5j")))))</f>
        <v/>
      </c>
      <c r="O1821" s="46" t="n"/>
      <c r="P1821" s="46" t="n"/>
      <c r="Q1821" s="46" t="n"/>
      <c r="R1821" s="46" t="n"/>
      <c r="S1821" s="46" t="n"/>
      <c r="T1821" s="46" t="n"/>
      <c r="U1821" s="46" t="n"/>
      <c r="V1821" s="46" t="n"/>
      <c r="W1821" s="46" t="n"/>
      <c r="X1821" s="46" t="n"/>
      <c r="Y1821" s="46" t="n"/>
      <c r="Z1821" s="46" t="n"/>
      <c r="AA1821" s="46" t="n"/>
      <c r="AB1821" s="46" t="n"/>
      <c r="AC1821" s="46" t="n"/>
      <c r="AD1821" s="46" t="n"/>
      <c r="AE1821" s="46" t="n"/>
      <c r="AF1821" s="46" t="n"/>
      <c r="AG1821" s="46" t="n"/>
      <c r="AH1821" s="46" t="n"/>
      <c r="AI1821" s="46" t="n"/>
      <c r="AJ1821" s="46" t="n"/>
      <c r="AK1821" s="46" t="n"/>
      <c r="AL1821" s="46" t="n"/>
      <c r="AM1821" s="46" t="n"/>
      <c r="AN1821" s="46" t="n"/>
      <c r="AO1821" s="46" t="n"/>
      <c r="AP1821" s="46" t="n"/>
      <c r="AQ1821" s="46" t="n"/>
      <c r="AR1821" s="46" t="n"/>
      <c r="AS1821" s="46" t="n"/>
      <c r="AV1821" s="36">
        <f>IF($C1821="","",EMPLOYES!M53)</f>
        <v/>
      </c>
      <c r="AW1821" s="36">
        <f>IF($C1821="",0,SUMPRODUCT(--(O1821:AS1821="C")))</f>
        <v/>
      </c>
      <c r="AX1821" s="36">
        <f>IF($C1821="",0,SUMPRODUCT(--(O1821:AS1821="R")))</f>
        <v/>
      </c>
      <c r="AY1821" s="44" t="n"/>
    </row>
    <row r="1822" hidden="1" outlineLevel="1" ht="15" customHeight="1" s="15">
      <c r="B1822" s="41" t="n">
        <v>8</v>
      </c>
      <c r="C1822" s="42">
        <f>IF(EMPLOYES!C54="","",EMPLOYES!C54)</f>
        <v/>
      </c>
      <c r="D1822" s="43">
        <f>IF(EMPLOYES!C54="","",EMPLOYES!D54)</f>
        <v/>
      </c>
      <c r="E1822" s="44" t="n"/>
      <c r="F1822" s="42" t="n"/>
      <c r="G1822" s="41">
        <f>IF($C1822="",0,MAX(0,$M1822-$N1822))</f>
        <v/>
      </c>
      <c r="H1822" s="45" t="n"/>
      <c r="I1822" s="41">
        <f>IF($C1822="","",IF(H1822="","OK",IF(H1822&gt;EMPLOYES!P54,"⚠ Avance &gt; salaire",IF(H1822&gt;EMPLOYES!P54*PARAMETRES!$C$218,"⚠ Avance élevée","OK"))))</f>
        <v/>
      </c>
      <c r="J1822" s="45" t="n"/>
      <c r="K1822" s="46" t="n"/>
      <c r="L1822" s="46" t="n"/>
      <c r="M1822" s="41">
        <f>IF($C1822="","",SUMPRODUCT((PARAMETRES!$B$38:$B$157=PARAMETRES!$C$29)*(PARAMETRES!$C$38:$C$157=8)*(IF(EMPLOYES!M54="5j",PARAMETRES!$I$38:$I$157,PARAMETRES!$H$38:$H$157))))</f>
        <v/>
      </c>
      <c r="N1822" s="41">
        <f>IF($C1822="","",SUMPRODUCT((O1822:AS1822="P")+(O1822:AS1822="F")+(O1822:AS1822="C")+0.5*(O1822:AS1822="D"),(1-((O1780:AS1780=6)*(EMPLOYES!M54="5j")))))</f>
        <v/>
      </c>
      <c r="O1822" s="46" t="n"/>
      <c r="P1822" s="46" t="n"/>
      <c r="Q1822" s="46" t="n"/>
      <c r="R1822" s="46" t="n"/>
      <c r="S1822" s="46" t="n"/>
      <c r="T1822" s="46" t="n"/>
      <c r="U1822" s="46" t="n"/>
      <c r="V1822" s="46" t="n"/>
      <c r="W1822" s="46" t="n"/>
      <c r="X1822" s="46" t="n"/>
      <c r="Y1822" s="46" t="n"/>
      <c r="Z1822" s="46" t="n"/>
      <c r="AA1822" s="46" t="n"/>
      <c r="AB1822" s="46" t="n"/>
      <c r="AC1822" s="46" t="n"/>
      <c r="AD1822" s="46" t="n"/>
      <c r="AE1822" s="46" t="n"/>
      <c r="AF1822" s="46" t="n"/>
      <c r="AG1822" s="46" t="n"/>
      <c r="AH1822" s="46" t="n"/>
      <c r="AI1822" s="46" t="n"/>
      <c r="AJ1822" s="46" t="n"/>
      <c r="AK1822" s="46" t="n"/>
      <c r="AL1822" s="46" t="n"/>
      <c r="AM1822" s="46" t="n"/>
      <c r="AN1822" s="46" t="n"/>
      <c r="AO1822" s="46" t="n"/>
      <c r="AP1822" s="46" t="n"/>
      <c r="AQ1822" s="46" t="n"/>
      <c r="AR1822" s="46" t="n"/>
      <c r="AS1822" s="46" t="n"/>
      <c r="AV1822" s="36">
        <f>IF($C1822="","",EMPLOYES!M54)</f>
        <v/>
      </c>
      <c r="AW1822" s="36">
        <f>IF($C1822="",0,SUMPRODUCT(--(O1822:AS1822="C")))</f>
        <v/>
      </c>
      <c r="AX1822" s="36">
        <f>IF($C1822="",0,SUMPRODUCT(--(O1822:AS1822="R")))</f>
        <v/>
      </c>
      <c r="AY1822" s="44" t="n"/>
    </row>
    <row r="1823" hidden="1" outlineLevel="1" ht="15" customHeight="1" s="15">
      <c r="B1823" s="41" t="n">
        <v>8</v>
      </c>
      <c r="C1823" s="42">
        <f>IF(EMPLOYES!C55="","",EMPLOYES!C55)</f>
        <v/>
      </c>
      <c r="D1823" s="43">
        <f>IF(EMPLOYES!C55="","",EMPLOYES!D55)</f>
        <v/>
      </c>
      <c r="E1823" s="44" t="n"/>
      <c r="F1823" s="42" t="n"/>
      <c r="G1823" s="41">
        <f>IF($C1823="",0,MAX(0,$M1823-$N1823))</f>
        <v/>
      </c>
      <c r="H1823" s="45" t="n"/>
      <c r="I1823" s="41">
        <f>IF($C1823="","",IF(H1823="","OK",IF(H1823&gt;EMPLOYES!P55,"⚠ Avance &gt; salaire",IF(H1823&gt;EMPLOYES!P55*PARAMETRES!$C$218,"⚠ Avance élevée","OK"))))</f>
        <v/>
      </c>
      <c r="J1823" s="45" t="n"/>
      <c r="K1823" s="46" t="n"/>
      <c r="L1823" s="46" t="n"/>
      <c r="M1823" s="41">
        <f>IF($C1823="","",SUMPRODUCT((PARAMETRES!$B$38:$B$157=PARAMETRES!$C$29)*(PARAMETRES!$C$38:$C$157=8)*(IF(EMPLOYES!M55="5j",PARAMETRES!$I$38:$I$157,PARAMETRES!$H$38:$H$157))))</f>
        <v/>
      </c>
      <c r="N1823" s="41">
        <f>IF($C1823="","",SUMPRODUCT((O1823:AS1823="P")+(O1823:AS1823="F")+(O1823:AS1823="C")+0.5*(O1823:AS1823="D"),(1-((O1780:AS1780=6)*(EMPLOYES!M55="5j")))))</f>
        <v/>
      </c>
      <c r="O1823" s="46" t="n"/>
      <c r="P1823" s="46" t="n"/>
      <c r="Q1823" s="46" t="n"/>
      <c r="R1823" s="46" t="n"/>
      <c r="S1823" s="46" t="n"/>
      <c r="T1823" s="46" t="n"/>
      <c r="U1823" s="46" t="n"/>
      <c r="V1823" s="46" t="n"/>
      <c r="W1823" s="46" t="n"/>
      <c r="X1823" s="46" t="n"/>
      <c r="Y1823" s="46" t="n"/>
      <c r="Z1823" s="46" t="n"/>
      <c r="AA1823" s="46" t="n"/>
      <c r="AB1823" s="46" t="n"/>
      <c r="AC1823" s="46" t="n"/>
      <c r="AD1823" s="46" t="n"/>
      <c r="AE1823" s="46" t="n"/>
      <c r="AF1823" s="46" t="n"/>
      <c r="AG1823" s="46" t="n"/>
      <c r="AH1823" s="46" t="n"/>
      <c r="AI1823" s="46" t="n"/>
      <c r="AJ1823" s="46" t="n"/>
      <c r="AK1823" s="46" t="n"/>
      <c r="AL1823" s="46" t="n"/>
      <c r="AM1823" s="46" t="n"/>
      <c r="AN1823" s="46" t="n"/>
      <c r="AO1823" s="46" t="n"/>
      <c r="AP1823" s="46" t="n"/>
      <c r="AQ1823" s="46" t="n"/>
      <c r="AR1823" s="46" t="n"/>
      <c r="AS1823" s="46" t="n"/>
      <c r="AV1823" s="36">
        <f>IF($C1823="","",EMPLOYES!M55)</f>
        <v/>
      </c>
      <c r="AW1823" s="36">
        <f>IF($C1823="",0,SUMPRODUCT(--(O1823:AS1823="C")))</f>
        <v/>
      </c>
      <c r="AX1823" s="36">
        <f>IF($C1823="",0,SUMPRODUCT(--(O1823:AS1823="R")))</f>
        <v/>
      </c>
      <c r="AY1823" s="44" t="n"/>
    </row>
    <row r="1824" hidden="1" outlineLevel="1" ht="15" customHeight="1" s="15">
      <c r="B1824" s="41" t="n">
        <v>8</v>
      </c>
      <c r="C1824" s="42">
        <f>IF(EMPLOYES!C56="","",EMPLOYES!C56)</f>
        <v/>
      </c>
      <c r="D1824" s="43">
        <f>IF(EMPLOYES!C56="","",EMPLOYES!D56)</f>
        <v/>
      </c>
      <c r="E1824" s="44" t="n"/>
      <c r="F1824" s="42" t="n"/>
      <c r="G1824" s="41">
        <f>IF($C1824="",0,MAX(0,$M1824-$N1824))</f>
        <v/>
      </c>
      <c r="H1824" s="45" t="n"/>
      <c r="I1824" s="41">
        <f>IF($C1824="","",IF(H1824="","OK",IF(H1824&gt;EMPLOYES!P56,"⚠ Avance &gt; salaire",IF(H1824&gt;EMPLOYES!P56*PARAMETRES!$C$218,"⚠ Avance élevée","OK"))))</f>
        <v/>
      </c>
      <c r="J1824" s="45" t="n"/>
      <c r="K1824" s="46" t="n"/>
      <c r="L1824" s="46" t="n"/>
      <c r="M1824" s="41">
        <f>IF($C1824="","",SUMPRODUCT((PARAMETRES!$B$38:$B$157=PARAMETRES!$C$29)*(PARAMETRES!$C$38:$C$157=8)*(IF(EMPLOYES!M56="5j",PARAMETRES!$I$38:$I$157,PARAMETRES!$H$38:$H$157))))</f>
        <v/>
      </c>
      <c r="N1824" s="41">
        <f>IF($C1824="","",SUMPRODUCT((O1824:AS1824="P")+(O1824:AS1824="F")+(O1824:AS1824="C")+0.5*(O1824:AS1824="D"),(1-((O1780:AS1780=6)*(EMPLOYES!M56="5j")))))</f>
        <v/>
      </c>
      <c r="O1824" s="46" t="n"/>
      <c r="P1824" s="46" t="n"/>
      <c r="Q1824" s="46" t="n"/>
      <c r="R1824" s="46" t="n"/>
      <c r="S1824" s="46" t="n"/>
      <c r="T1824" s="46" t="n"/>
      <c r="U1824" s="46" t="n"/>
      <c r="V1824" s="46" t="n"/>
      <c r="W1824" s="46" t="n"/>
      <c r="X1824" s="46" t="n"/>
      <c r="Y1824" s="46" t="n"/>
      <c r="Z1824" s="46" t="n"/>
      <c r="AA1824" s="46" t="n"/>
      <c r="AB1824" s="46" t="n"/>
      <c r="AC1824" s="46" t="n"/>
      <c r="AD1824" s="46" t="n"/>
      <c r="AE1824" s="46" t="n"/>
      <c r="AF1824" s="46" t="n"/>
      <c r="AG1824" s="46" t="n"/>
      <c r="AH1824" s="46" t="n"/>
      <c r="AI1824" s="46" t="n"/>
      <c r="AJ1824" s="46" t="n"/>
      <c r="AK1824" s="46" t="n"/>
      <c r="AL1824" s="46" t="n"/>
      <c r="AM1824" s="46" t="n"/>
      <c r="AN1824" s="46" t="n"/>
      <c r="AO1824" s="46" t="n"/>
      <c r="AP1824" s="46" t="n"/>
      <c r="AQ1824" s="46" t="n"/>
      <c r="AR1824" s="46" t="n"/>
      <c r="AS1824" s="46" t="n"/>
      <c r="AV1824" s="36">
        <f>IF($C1824="","",EMPLOYES!M56)</f>
        <v/>
      </c>
      <c r="AW1824" s="36">
        <f>IF($C1824="",0,SUMPRODUCT(--(O1824:AS1824="C")))</f>
        <v/>
      </c>
      <c r="AX1824" s="36">
        <f>IF($C1824="",0,SUMPRODUCT(--(O1824:AS1824="R")))</f>
        <v/>
      </c>
      <c r="AY1824" s="44" t="n"/>
    </row>
    <row r="1825" hidden="1" outlineLevel="1" ht="15" customHeight="1" s="15">
      <c r="B1825" s="41" t="n">
        <v>8</v>
      </c>
      <c r="C1825" s="42">
        <f>IF(EMPLOYES!C57="","",EMPLOYES!C57)</f>
        <v/>
      </c>
      <c r="D1825" s="43">
        <f>IF(EMPLOYES!C57="","",EMPLOYES!D57)</f>
        <v/>
      </c>
      <c r="E1825" s="44" t="n"/>
      <c r="F1825" s="42" t="n"/>
      <c r="G1825" s="41">
        <f>IF($C1825="",0,MAX(0,$M1825-$N1825))</f>
        <v/>
      </c>
      <c r="H1825" s="45" t="n"/>
      <c r="I1825" s="41">
        <f>IF($C1825="","",IF(H1825="","OK",IF(H1825&gt;EMPLOYES!P57,"⚠ Avance &gt; salaire",IF(H1825&gt;EMPLOYES!P57*PARAMETRES!$C$218,"⚠ Avance élevée","OK"))))</f>
        <v/>
      </c>
      <c r="J1825" s="45" t="n"/>
      <c r="K1825" s="46" t="n"/>
      <c r="L1825" s="46" t="n"/>
      <c r="M1825" s="41">
        <f>IF($C1825="","",SUMPRODUCT((PARAMETRES!$B$38:$B$157=PARAMETRES!$C$29)*(PARAMETRES!$C$38:$C$157=8)*(IF(EMPLOYES!M57="5j",PARAMETRES!$I$38:$I$157,PARAMETRES!$H$38:$H$157))))</f>
        <v/>
      </c>
      <c r="N1825" s="41">
        <f>IF($C1825="","",SUMPRODUCT((O1825:AS1825="P")+(O1825:AS1825="F")+(O1825:AS1825="C")+0.5*(O1825:AS1825="D"),(1-((O1780:AS1780=6)*(EMPLOYES!M57="5j")))))</f>
        <v/>
      </c>
      <c r="O1825" s="46" t="n"/>
      <c r="P1825" s="46" t="n"/>
      <c r="Q1825" s="46" t="n"/>
      <c r="R1825" s="46" t="n"/>
      <c r="S1825" s="46" t="n"/>
      <c r="T1825" s="46" t="n"/>
      <c r="U1825" s="46" t="n"/>
      <c r="V1825" s="46" t="n"/>
      <c r="W1825" s="46" t="n"/>
      <c r="X1825" s="46" t="n"/>
      <c r="Y1825" s="46" t="n"/>
      <c r="Z1825" s="46" t="n"/>
      <c r="AA1825" s="46" t="n"/>
      <c r="AB1825" s="46" t="n"/>
      <c r="AC1825" s="46" t="n"/>
      <c r="AD1825" s="46" t="n"/>
      <c r="AE1825" s="46" t="n"/>
      <c r="AF1825" s="46" t="n"/>
      <c r="AG1825" s="46" t="n"/>
      <c r="AH1825" s="46" t="n"/>
      <c r="AI1825" s="46" t="n"/>
      <c r="AJ1825" s="46" t="n"/>
      <c r="AK1825" s="46" t="n"/>
      <c r="AL1825" s="46" t="n"/>
      <c r="AM1825" s="46" t="n"/>
      <c r="AN1825" s="46" t="n"/>
      <c r="AO1825" s="46" t="n"/>
      <c r="AP1825" s="46" t="n"/>
      <c r="AQ1825" s="46" t="n"/>
      <c r="AR1825" s="46" t="n"/>
      <c r="AS1825" s="46" t="n"/>
      <c r="AV1825" s="36">
        <f>IF($C1825="","",EMPLOYES!M57)</f>
        <v/>
      </c>
      <c r="AW1825" s="36">
        <f>IF($C1825="",0,SUMPRODUCT(--(O1825:AS1825="C")))</f>
        <v/>
      </c>
      <c r="AX1825" s="36">
        <f>IF($C1825="",0,SUMPRODUCT(--(O1825:AS1825="R")))</f>
        <v/>
      </c>
      <c r="AY1825" s="44" t="n"/>
    </row>
    <row r="1826" hidden="1" outlineLevel="1" ht="15" customHeight="1" s="15">
      <c r="B1826" s="41" t="n">
        <v>8</v>
      </c>
      <c r="C1826" s="42">
        <f>IF(EMPLOYES!C58="","",EMPLOYES!C58)</f>
        <v/>
      </c>
      <c r="D1826" s="43">
        <f>IF(EMPLOYES!C58="","",EMPLOYES!D58)</f>
        <v/>
      </c>
      <c r="E1826" s="44" t="n"/>
      <c r="F1826" s="42" t="n"/>
      <c r="G1826" s="41">
        <f>IF($C1826="",0,MAX(0,$M1826-$N1826))</f>
        <v/>
      </c>
      <c r="H1826" s="45" t="n"/>
      <c r="I1826" s="41">
        <f>IF($C1826="","",IF(H1826="","OK",IF(H1826&gt;EMPLOYES!P58,"⚠ Avance &gt; salaire",IF(H1826&gt;EMPLOYES!P58*PARAMETRES!$C$218,"⚠ Avance élevée","OK"))))</f>
        <v/>
      </c>
      <c r="J1826" s="45" t="n"/>
      <c r="K1826" s="46" t="n"/>
      <c r="L1826" s="46" t="n"/>
      <c r="M1826" s="41">
        <f>IF($C1826="","",SUMPRODUCT((PARAMETRES!$B$38:$B$157=PARAMETRES!$C$29)*(PARAMETRES!$C$38:$C$157=8)*(IF(EMPLOYES!M58="5j",PARAMETRES!$I$38:$I$157,PARAMETRES!$H$38:$H$157))))</f>
        <v/>
      </c>
      <c r="N1826" s="41">
        <f>IF($C1826="","",SUMPRODUCT((O1826:AS1826="P")+(O1826:AS1826="F")+(O1826:AS1826="C")+0.5*(O1826:AS1826="D"),(1-((O1780:AS1780=6)*(EMPLOYES!M58="5j")))))</f>
        <v/>
      </c>
      <c r="O1826" s="46" t="n"/>
      <c r="P1826" s="46" t="n"/>
      <c r="Q1826" s="46" t="n"/>
      <c r="R1826" s="46" t="n"/>
      <c r="S1826" s="46" t="n"/>
      <c r="T1826" s="46" t="n"/>
      <c r="U1826" s="46" t="n"/>
      <c r="V1826" s="46" t="n"/>
      <c r="W1826" s="46" t="n"/>
      <c r="X1826" s="46" t="n"/>
      <c r="Y1826" s="46" t="n"/>
      <c r="Z1826" s="46" t="n"/>
      <c r="AA1826" s="46" t="n"/>
      <c r="AB1826" s="46" t="n"/>
      <c r="AC1826" s="46" t="n"/>
      <c r="AD1826" s="46" t="n"/>
      <c r="AE1826" s="46" t="n"/>
      <c r="AF1826" s="46" t="n"/>
      <c r="AG1826" s="46" t="n"/>
      <c r="AH1826" s="46" t="n"/>
      <c r="AI1826" s="46" t="n"/>
      <c r="AJ1826" s="46" t="n"/>
      <c r="AK1826" s="46" t="n"/>
      <c r="AL1826" s="46" t="n"/>
      <c r="AM1826" s="46" t="n"/>
      <c r="AN1826" s="46" t="n"/>
      <c r="AO1826" s="46" t="n"/>
      <c r="AP1826" s="46" t="n"/>
      <c r="AQ1826" s="46" t="n"/>
      <c r="AR1826" s="46" t="n"/>
      <c r="AS1826" s="46" t="n"/>
      <c r="AV1826" s="36">
        <f>IF($C1826="","",EMPLOYES!M58)</f>
        <v/>
      </c>
      <c r="AW1826" s="36">
        <f>IF($C1826="",0,SUMPRODUCT(--(O1826:AS1826="C")))</f>
        <v/>
      </c>
      <c r="AX1826" s="36">
        <f>IF($C1826="",0,SUMPRODUCT(--(O1826:AS1826="R")))</f>
        <v/>
      </c>
      <c r="AY1826" s="44" t="n"/>
    </row>
    <row r="1827" hidden="1" outlineLevel="1" ht="15" customHeight="1" s="15">
      <c r="B1827" s="41" t="n">
        <v>8</v>
      </c>
      <c r="C1827" s="42">
        <f>IF(EMPLOYES!C59="","",EMPLOYES!C59)</f>
        <v/>
      </c>
      <c r="D1827" s="43">
        <f>IF(EMPLOYES!C59="","",EMPLOYES!D59)</f>
        <v/>
      </c>
      <c r="E1827" s="44" t="n"/>
      <c r="F1827" s="42" t="n"/>
      <c r="G1827" s="41">
        <f>IF($C1827="",0,MAX(0,$M1827-$N1827))</f>
        <v/>
      </c>
      <c r="H1827" s="45" t="n"/>
      <c r="I1827" s="41">
        <f>IF($C1827="","",IF(H1827="","OK",IF(H1827&gt;EMPLOYES!P59,"⚠ Avance &gt; salaire",IF(H1827&gt;EMPLOYES!P59*PARAMETRES!$C$218,"⚠ Avance élevée","OK"))))</f>
        <v/>
      </c>
      <c r="J1827" s="45" t="n"/>
      <c r="K1827" s="46" t="n"/>
      <c r="L1827" s="46" t="n"/>
      <c r="M1827" s="41">
        <f>IF($C1827="","",SUMPRODUCT((PARAMETRES!$B$38:$B$157=PARAMETRES!$C$29)*(PARAMETRES!$C$38:$C$157=8)*(IF(EMPLOYES!M59="5j",PARAMETRES!$I$38:$I$157,PARAMETRES!$H$38:$H$157))))</f>
        <v/>
      </c>
      <c r="N1827" s="41">
        <f>IF($C1827="","",SUMPRODUCT((O1827:AS1827="P")+(O1827:AS1827="F")+(O1827:AS1827="C")+0.5*(O1827:AS1827="D"),(1-((O1780:AS1780=6)*(EMPLOYES!M59="5j")))))</f>
        <v/>
      </c>
      <c r="O1827" s="46" t="n"/>
      <c r="P1827" s="46" t="n"/>
      <c r="Q1827" s="46" t="n"/>
      <c r="R1827" s="46" t="n"/>
      <c r="S1827" s="46" t="n"/>
      <c r="T1827" s="46" t="n"/>
      <c r="U1827" s="46" t="n"/>
      <c r="V1827" s="46" t="n"/>
      <c r="W1827" s="46" t="n"/>
      <c r="X1827" s="46" t="n"/>
      <c r="Y1827" s="46" t="n"/>
      <c r="Z1827" s="46" t="n"/>
      <c r="AA1827" s="46" t="n"/>
      <c r="AB1827" s="46" t="n"/>
      <c r="AC1827" s="46" t="n"/>
      <c r="AD1827" s="46" t="n"/>
      <c r="AE1827" s="46" t="n"/>
      <c r="AF1827" s="46" t="n"/>
      <c r="AG1827" s="46" t="n"/>
      <c r="AH1827" s="46" t="n"/>
      <c r="AI1827" s="46" t="n"/>
      <c r="AJ1827" s="46" t="n"/>
      <c r="AK1827" s="46" t="n"/>
      <c r="AL1827" s="46" t="n"/>
      <c r="AM1827" s="46" t="n"/>
      <c r="AN1827" s="46" t="n"/>
      <c r="AO1827" s="46" t="n"/>
      <c r="AP1827" s="46" t="n"/>
      <c r="AQ1827" s="46" t="n"/>
      <c r="AR1827" s="46" t="n"/>
      <c r="AS1827" s="46" t="n"/>
      <c r="AV1827" s="36">
        <f>IF($C1827="","",EMPLOYES!M59)</f>
        <v/>
      </c>
      <c r="AW1827" s="36">
        <f>IF($C1827="",0,SUMPRODUCT(--(O1827:AS1827="C")))</f>
        <v/>
      </c>
      <c r="AX1827" s="36">
        <f>IF($C1827="",0,SUMPRODUCT(--(O1827:AS1827="R")))</f>
        <v/>
      </c>
      <c r="AY1827" s="44" t="n"/>
    </row>
    <row r="1828" hidden="1" outlineLevel="1" ht="15" customHeight="1" s="15">
      <c r="B1828" s="41" t="n">
        <v>8</v>
      </c>
      <c r="C1828" s="42">
        <f>IF(EMPLOYES!C60="","",EMPLOYES!C60)</f>
        <v/>
      </c>
      <c r="D1828" s="43">
        <f>IF(EMPLOYES!C60="","",EMPLOYES!D60)</f>
        <v/>
      </c>
      <c r="E1828" s="44" t="n"/>
      <c r="F1828" s="42" t="n"/>
      <c r="G1828" s="41">
        <f>IF($C1828="",0,MAX(0,$M1828-$N1828))</f>
        <v/>
      </c>
      <c r="H1828" s="45" t="n"/>
      <c r="I1828" s="41">
        <f>IF($C1828="","",IF(H1828="","OK",IF(H1828&gt;EMPLOYES!P60,"⚠ Avance &gt; salaire",IF(H1828&gt;EMPLOYES!P60*PARAMETRES!$C$218,"⚠ Avance élevée","OK"))))</f>
        <v/>
      </c>
      <c r="J1828" s="45" t="n"/>
      <c r="K1828" s="46" t="n"/>
      <c r="L1828" s="46" t="n"/>
      <c r="M1828" s="41">
        <f>IF($C1828="","",SUMPRODUCT((PARAMETRES!$B$38:$B$157=PARAMETRES!$C$29)*(PARAMETRES!$C$38:$C$157=8)*(IF(EMPLOYES!M60="5j",PARAMETRES!$I$38:$I$157,PARAMETRES!$H$38:$H$157))))</f>
        <v/>
      </c>
      <c r="N1828" s="41">
        <f>IF($C1828="","",SUMPRODUCT((O1828:AS1828="P")+(O1828:AS1828="F")+(O1828:AS1828="C")+0.5*(O1828:AS1828="D"),(1-((O1780:AS1780=6)*(EMPLOYES!M60="5j")))))</f>
        <v/>
      </c>
      <c r="O1828" s="46" t="n"/>
      <c r="P1828" s="46" t="n"/>
      <c r="Q1828" s="46" t="n"/>
      <c r="R1828" s="46" t="n"/>
      <c r="S1828" s="46" t="n"/>
      <c r="T1828" s="46" t="n"/>
      <c r="U1828" s="46" t="n"/>
      <c r="V1828" s="46" t="n"/>
      <c r="W1828" s="46" t="n"/>
      <c r="X1828" s="46" t="n"/>
      <c r="Y1828" s="46" t="n"/>
      <c r="Z1828" s="46" t="n"/>
      <c r="AA1828" s="46" t="n"/>
      <c r="AB1828" s="46" t="n"/>
      <c r="AC1828" s="46" t="n"/>
      <c r="AD1828" s="46" t="n"/>
      <c r="AE1828" s="46" t="n"/>
      <c r="AF1828" s="46" t="n"/>
      <c r="AG1828" s="46" t="n"/>
      <c r="AH1828" s="46" t="n"/>
      <c r="AI1828" s="46" t="n"/>
      <c r="AJ1828" s="46" t="n"/>
      <c r="AK1828" s="46" t="n"/>
      <c r="AL1828" s="46" t="n"/>
      <c r="AM1828" s="46" t="n"/>
      <c r="AN1828" s="46" t="n"/>
      <c r="AO1828" s="46" t="n"/>
      <c r="AP1828" s="46" t="n"/>
      <c r="AQ1828" s="46" t="n"/>
      <c r="AR1828" s="46" t="n"/>
      <c r="AS1828" s="46" t="n"/>
      <c r="AV1828" s="36">
        <f>IF($C1828="","",EMPLOYES!M60)</f>
        <v/>
      </c>
      <c r="AW1828" s="36">
        <f>IF($C1828="",0,SUMPRODUCT(--(O1828:AS1828="C")))</f>
        <v/>
      </c>
      <c r="AX1828" s="36">
        <f>IF($C1828="",0,SUMPRODUCT(--(O1828:AS1828="R")))</f>
        <v/>
      </c>
      <c r="AY1828" s="44" t="n"/>
    </row>
    <row r="1829" hidden="1" outlineLevel="1" ht="15" customHeight="1" s="15">
      <c r="B1829" s="41" t="n">
        <v>8</v>
      </c>
      <c r="C1829" s="42">
        <f>IF(EMPLOYES!C61="","",EMPLOYES!C61)</f>
        <v/>
      </c>
      <c r="D1829" s="43">
        <f>IF(EMPLOYES!C61="","",EMPLOYES!D61)</f>
        <v/>
      </c>
      <c r="E1829" s="44" t="n"/>
      <c r="F1829" s="42" t="n"/>
      <c r="G1829" s="41">
        <f>IF($C1829="",0,MAX(0,$M1829-$N1829))</f>
        <v/>
      </c>
      <c r="H1829" s="45" t="n"/>
      <c r="I1829" s="41">
        <f>IF($C1829="","",IF(H1829="","OK",IF(H1829&gt;EMPLOYES!P61,"⚠ Avance &gt; salaire",IF(H1829&gt;EMPLOYES!P61*PARAMETRES!$C$218,"⚠ Avance élevée","OK"))))</f>
        <v/>
      </c>
      <c r="J1829" s="45" t="n"/>
      <c r="K1829" s="46" t="n"/>
      <c r="L1829" s="46" t="n"/>
      <c r="M1829" s="41">
        <f>IF($C1829="","",SUMPRODUCT((PARAMETRES!$B$38:$B$157=PARAMETRES!$C$29)*(PARAMETRES!$C$38:$C$157=8)*(IF(EMPLOYES!M61="5j",PARAMETRES!$I$38:$I$157,PARAMETRES!$H$38:$H$157))))</f>
        <v/>
      </c>
      <c r="N1829" s="41">
        <f>IF($C1829="","",SUMPRODUCT((O1829:AS1829="P")+(O1829:AS1829="F")+(O1829:AS1829="C")+0.5*(O1829:AS1829="D"),(1-((O1780:AS1780=6)*(EMPLOYES!M61="5j")))))</f>
        <v/>
      </c>
      <c r="O1829" s="46" t="n"/>
      <c r="P1829" s="46" t="n"/>
      <c r="Q1829" s="46" t="n"/>
      <c r="R1829" s="46" t="n"/>
      <c r="S1829" s="46" t="n"/>
      <c r="T1829" s="46" t="n"/>
      <c r="U1829" s="46" t="n"/>
      <c r="V1829" s="46" t="n"/>
      <c r="W1829" s="46" t="n"/>
      <c r="X1829" s="46" t="n"/>
      <c r="Y1829" s="46" t="n"/>
      <c r="Z1829" s="46" t="n"/>
      <c r="AA1829" s="46" t="n"/>
      <c r="AB1829" s="46" t="n"/>
      <c r="AC1829" s="46" t="n"/>
      <c r="AD1829" s="46" t="n"/>
      <c r="AE1829" s="46" t="n"/>
      <c r="AF1829" s="46" t="n"/>
      <c r="AG1829" s="46" t="n"/>
      <c r="AH1829" s="46" t="n"/>
      <c r="AI1829" s="46" t="n"/>
      <c r="AJ1829" s="46" t="n"/>
      <c r="AK1829" s="46" t="n"/>
      <c r="AL1829" s="46" t="n"/>
      <c r="AM1829" s="46" t="n"/>
      <c r="AN1829" s="46" t="n"/>
      <c r="AO1829" s="46" t="n"/>
      <c r="AP1829" s="46" t="n"/>
      <c r="AQ1829" s="46" t="n"/>
      <c r="AR1829" s="46" t="n"/>
      <c r="AS1829" s="46" t="n"/>
      <c r="AV1829" s="36">
        <f>IF($C1829="","",EMPLOYES!M61)</f>
        <v/>
      </c>
      <c r="AW1829" s="36">
        <f>IF($C1829="",0,SUMPRODUCT(--(O1829:AS1829="C")))</f>
        <v/>
      </c>
      <c r="AX1829" s="36">
        <f>IF($C1829="",0,SUMPRODUCT(--(O1829:AS1829="R")))</f>
        <v/>
      </c>
      <c r="AY1829" s="44" t="n"/>
    </row>
    <row r="1830" hidden="1" outlineLevel="1" ht="15" customHeight="1" s="15">
      <c r="B1830" s="41" t="n">
        <v>8</v>
      </c>
      <c r="C1830" s="42">
        <f>IF(EMPLOYES!C62="","",EMPLOYES!C62)</f>
        <v/>
      </c>
      <c r="D1830" s="43">
        <f>IF(EMPLOYES!C62="","",EMPLOYES!D62)</f>
        <v/>
      </c>
      <c r="E1830" s="44" t="n"/>
      <c r="F1830" s="42" t="n"/>
      <c r="G1830" s="41">
        <f>IF($C1830="",0,MAX(0,$M1830-$N1830))</f>
        <v/>
      </c>
      <c r="H1830" s="45" t="n"/>
      <c r="I1830" s="41">
        <f>IF($C1830="","",IF(H1830="","OK",IF(H1830&gt;EMPLOYES!P62,"⚠ Avance &gt; salaire",IF(H1830&gt;EMPLOYES!P62*PARAMETRES!$C$218,"⚠ Avance élevée","OK"))))</f>
        <v/>
      </c>
      <c r="J1830" s="45" t="n"/>
      <c r="K1830" s="46" t="n"/>
      <c r="L1830" s="46" t="n"/>
      <c r="M1830" s="41">
        <f>IF($C1830="","",SUMPRODUCT((PARAMETRES!$B$38:$B$157=PARAMETRES!$C$29)*(PARAMETRES!$C$38:$C$157=8)*(IF(EMPLOYES!M62="5j",PARAMETRES!$I$38:$I$157,PARAMETRES!$H$38:$H$157))))</f>
        <v/>
      </c>
      <c r="N1830" s="41">
        <f>IF($C1830="","",SUMPRODUCT((O1830:AS1830="P")+(O1830:AS1830="F")+(O1830:AS1830="C")+0.5*(O1830:AS1830="D"),(1-((O1780:AS1780=6)*(EMPLOYES!M62="5j")))))</f>
        <v/>
      </c>
      <c r="O1830" s="46" t="n"/>
      <c r="P1830" s="46" t="n"/>
      <c r="Q1830" s="46" t="n"/>
      <c r="R1830" s="46" t="n"/>
      <c r="S1830" s="46" t="n"/>
      <c r="T1830" s="46" t="n"/>
      <c r="U1830" s="46" t="n"/>
      <c r="V1830" s="46" t="n"/>
      <c r="W1830" s="46" t="n"/>
      <c r="X1830" s="46" t="n"/>
      <c r="Y1830" s="46" t="n"/>
      <c r="Z1830" s="46" t="n"/>
      <c r="AA1830" s="46" t="n"/>
      <c r="AB1830" s="46" t="n"/>
      <c r="AC1830" s="46" t="n"/>
      <c r="AD1830" s="46" t="n"/>
      <c r="AE1830" s="46" t="n"/>
      <c r="AF1830" s="46" t="n"/>
      <c r="AG1830" s="46" t="n"/>
      <c r="AH1830" s="46" t="n"/>
      <c r="AI1830" s="46" t="n"/>
      <c r="AJ1830" s="46" t="n"/>
      <c r="AK1830" s="46" t="n"/>
      <c r="AL1830" s="46" t="n"/>
      <c r="AM1830" s="46" t="n"/>
      <c r="AN1830" s="46" t="n"/>
      <c r="AO1830" s="46" t="n"/>
      <c r="AP1830" s="46" t="n"/>
      <c r="AQ1830" s="46" t="n"/>
      <c r="AR1830" s="46" t="n"/>
      <c r="AS1830" s="46" t="n"/>
      <c r="AV1830" s="36">
        <f>IF($C1830="","",EMPLOYES!M62)</f>
        <v/>
      </c>
      <c r="AW1830" s="36">
        <f>IF($C1830="",0,SUMPRODUCT(--(O1830:AS1830="C")))</f>
        <v/>
      </c>
      <c r="AX1830" s="36">
        <f>IF($C1830="",0,SUMPRODUCT(--(O1830:AS1830="R")))</f>
        <v/>
      </c>
      <c r="AY1830" s="44" t="n"/>
    </row>
    <row r="1831" hidden="1" outlineLevel="1" ht="15" customHeight="1" s="15">
      <c r="B1831" s="41" t="n">
        <v>8</v>
      </c>
      <c r="C1831" s="42">
        <f>IF(EMPLOYES!C63="","",EMPLOYES!C63)</f>
        <v/>
      </c>
      <c r="D1831" s="43">
        <f>IF(EMPLOYES!C63="","",EMPLOYES!D63)</f>
        <v/>
      </c>
      <c r="E1831" s="44" t="n"/>
      <c r="F1831" s="42" t="n"/>
      <c r="G1831" s="41">
        <f>IF($C1831="",0,MAX(0,$M1831-$N1831))</f>
        <v/>
      </c>
      <c r="H1831" s="45" t="n"/>
      <c r="I1831" s="41">
        <f>IF($C1831="","",IF(H1831="","OK",IF(H1831&gt;EMPLOYES!P63,"⚠ Avance &gt; salaire",IF(H1831&gt;EMPLOYES!P63*PARAMETRES!$C$218,"⚠ Avance élevée","OK"))))</f>
        <v/>
      </c>
      <c r="J1831" s="45" t="n"/>
      <c r="K1831" s="46" t="n"/>
      <c r="L1831" s="46" t="n"/>
      <c r="M1831" s="41">
        <f>IF($C1831="","",SUMPRODUCT((PARAMETRES!$B$38:$B$157=PARAMETRES!$C$29)*(PARAMETRES!$C$38:$C$157=8)*(IF(EMPLOYES!M63="5j",PARAMETRES!$I$38:$I$157,PARAMETRES!$H$38:$H$157))))</f>
        <v/>
      </c>
      <c r="N1831" s="41">
        <f>IF($C1831="","",SUMPRODUCT((O1831:AS1831="P")+(O1831:AS1831="F")+(O1831:AS1831="C")+0.5*(O1831:AS1831="D"),(1-((O1780:AS1780=6)*(EMPLOYES!M63="5j")))))</f>
        <v/>
      </c>
      <c r="O1831" s="46" t="n"/>
      <c r="P1831" s="46" t="n"/>
      <c r="Q1831" s="46" t="n"/>
      <c r="R1831" s="46" t="n"/>
      <c r="S1831" s="46" t="n"/>
      <c r="T1831" s="46" t="n"/>
      <c r="U1831" s="46" t="n"/>
      <c r="V1831" s="46" t="n"/>
      <c r="W1831" s="46" t="n"/>
      <c r="X1831" s="46" t="n"/>
      <c r="Y1831" s="46" t="n"/>
      <c r="Z1831" s="46" t="n"/>
      <c r="AA1831" s="46" t="n"/>
      <c r="AB1831" s="46" t="n"/>
      <c r="AC1831" s="46" t="n"/>
      <c r="AD1831" s="46" t="n"/>
      <c r="AE1831" s="46" t="n"/>
      <c r="AF1831" s="46" t="n"/>
      <c r="AG1831" s="46" t="n"/>
      <c r="AH1831" s="46" t="n"/>
      <c r="AI1831" s="46" t="n"/>
      <c r="AJ1831" s="46" t="n"/>
      <c r="AK1831" s="46" t="n"/>
      <c r="AL1831" s="46" t="n"/>
      <c r="AM1831" s="46" t="n"/>
      <c r="AN1831" s="46" t="n"/>
      <c r="AO1831" s="46" t="n"/>
      <c r="AP1831" s="46" t="n"/>
      <c r="AQ1831" s="46" t="n"/>
      <c r="AR1831" s="46" t="n"/>
      <c r="AS1831" s="46" t="n"/>
      <c r="AV1831" s="36">
        <f>IF($C1831="","",EMPLOYES!M63)</f>
        <v/>
      </c>
      <c r="AW1831" s="36">
        <f>IF($C1831="",0,SUMPRODUCT(--(O1831:AS1831="C")))</f>
        <v/>
      </c>
      <c r="AX1831" s="36">
        <f>IF($C1831="",0,SUMPRODUCT(--(O1831:AS1831="R")))</f>
        <v/>
      </c>
      <c r="AY1831" s="44" t="n"/>
    </row>
    <row r="1832" hidden="1" outlineLevel="1" ht="15" customHeight="1" s="15">
      <c r="B1832" s="41" t="n">
        <v>8</v>
      </c>
      <c r="C1832" s="42">
        <f>IF(EMPLOYES!C64="","",EMPLOYES!C64)</f>
        <v/>
      </c>
      <c r="D1832" s="43">
        <f>IF(EMPLOYES!C64="","",EMPLOYES!D64)</f>
        <v/>
      </c>
      <c r="E1832" s="44" t="n"/>
      <c r="F1832" s="42" t="n"/>
      <c r="G1832" s="41">
        <f>IF($C1832="",0,MAX(0,$M1832-$N1832))</f>
        <v/>
      </c>
      <c r="H1832" s="45" t="n"/>
      <c r="I1832" s="41">
        <f>IF($C1832="","",IF(H1832="","OK",IF(H1832&gt;EMPLOYES!P64,"⚠ Avance &gt; salaire",IF(H1832&gt;EMPLOYES!P64*PARAMETRES!$C$218,"⚠ Avance élevée","OK"))))</f>
        <v/>
      </c>
      <c r="J1832" s="45" t="n"/>
      <c r="K1832" s="46" t="n"/>
      <c r="L1832" s="46" t="n"/>
      <c r="M1832" s="41">
        <f>IF($C1832="","",SUMPRODUCT((PARAMETRES!$B$38:$B$157=PARAMETRES!$C$29)*(PARAMETRES!$C$38:$C$157=8)*(IF(EMPLOYES!M64="5j",PARAMETRES!$I$38:$I$157,PARAMETRES!$H$38:$H$157))))</f>
        <v/>
      </c>
      <c r="N1832" s="41">
        <f>IF($C1832="","",SUMPRODUCT((O1832:AS1832="P")+(O1832:AS1832="F")+(O1832:AS1832="C")+0.5*(O1832:AS1832="D"),(1-((O1780:AS1780=6)*(EMPLOYES!M64="5j")))))</f>
        <v/>
      </c>
      <c r="O1832" s="46" t="n"/>
      <c r="P1832" s="46" t="n"/>
      <c r="Q1832" s="46" t="n"/>
      <c r="R1832" s="46" t="n"/>
      <c r="S1832" s="46" t="n"/>
      <c r="T1832" s="46" t="n"/>
      <c r="U1832" s="46" t="n"/>
      <c r="V1832" s="46" t="n"/>
      <c r="W1832" s="46" t="n"/>
      <c r="X1832" s="46" t="n"/>
      <c r="Y1832" s="46" t="n"/>
      <c r="Z1832" s="46" t="n"/>
      <c r="AA1832" s="46" t="n"/>
      <c r="AB1832" s="46" t="n"/>
      <c r="AC1832" s="46" t="n"/>
      <c r="AD1832" s="46" t="n"/>
      <c r="AE1832" s="46" t="n"/>
      <c r="AF1832" s="46" t="n"/>
      <c r="AG1832" s="46" t="n"/>
      <c r="AH1832" s="46" t="n"/>
      <c r="AI1832" s="46" t="n"/>
      <c r="AJ1832" s="46" t="n"/>
      <c r="AK1832" s="46" t="n"/>
      <c r="AL1832" s="46" t="n"/>
      <c r="AM1832" s="46" t="n"/>
      <c r="AN1832" s="46" t="n"/>
      <c r="AO1832" s="46" t="n"/>
      <c r="AP1832" s="46" t="n"/>
      <c r="AQ1832" s="46" t="n"/>
      <c r="AR1832" s="46" t="n"/>
      <c r="AS1832" s="46" t="n"/>
      <c r="AV1832" s="36">
        <f>IF($C1832="","",EMPLOYES!M64)</f>
        <v/>
      </c>
      <c r="AW1832" s="36">
        <f>IF($C1832="",0,SUMPRODUCT(--(O1832:AS1832="C")))</f>
        <v/>
      </c>
      <c r="AX1832" s="36">
        <f>IF($C1832="",0,SUMPRODUCT(--(O1832:AS1832="R")))</f>
        <v/>
      </c>
      <c r="AY1832" s="44" t="n"/>
    </row>
    <row r="1833" hidden="1" outlineLevel="1" ht="15" customHeight="1" s="15">
      <c r="B1833" s="41" t="n">
        <v>8</v>
      </c>
      <c r="C1833" s="42">
        <f>IF(EMPLOYES!C65="","",EMPLOYES!C65)</f>
        <v/>
      </c>
      <c r="D1833" s="43">
        <f>IF(EMPLOYES!C65="","",EMPLOYES!D65)</f>
        <v/>
      </c>
      <c r="E1833" s="44" t="n"/>
      <c r="F1833" s="42" t="n"/>
      <c r="G1833" s="41">
        <f>IF($C1833="",0,MAX(0,$M1833-$N1833))</f>
        <v/>
      </c>
      <c r="H1833" s="45" t="n"/>
      <c r="I1833" s="41">
        <f>IF($C1833="","",IF(H1833="","OK",IF(H1833&gt;EMPLOYES!P65,"⚠ Avance &gt; salaire",IF(H1833&gt;EMPLOYES!P65*PARAMETRES!$C$218,"⚠ Avance élevée","OK"))))</f>
        <v/>
      </c>
      <c r="J1833" s="45" t="n"/>
      <c r="K1833" s="46" t="n"/>
      <c r="L1833" s="46" t="n"/>
      <c r="M1833" s="41">
        <f>IF($C1833="","",SUMPRODUCT((PARAMETRES!$B$38:$B$157=PARAMETRES!$C$29)*(PARAMETRES!$C$38:$C$157=8)*(IF(EMPLOYES!M65="5j",PARAMETRES!$I$38:$I$157,PARAMETRES!$H$38:$H$157))))</f>
        <v/>
      </c>
      <c r="N1833" s="41">
        <f>IF($C1833="","",SUMPRODUCT((O1833:AS1833="P")+(O1833:AS1833="F")+(O1833:AS1833="C")+0.5*(O1833:AS1833="D"),(1-((O1780:AS1780=6)*(EMPLOYES!M65="5j")))))</f>
        <v/>
      </c>
      <c r="O1833" s="46" t="n"/>
      <c r="P1833" s="46" t="n"/>
      <c r="Q1833" s="46" t="n"/>
      <c r="R1833" s="46" t="n"/>
      <c r="S1833" s="46" t="n"/>
      <c r="T1833" s="46" t="n"/>
      <c r="U1833" s="46" t="n"/>
      <c r="V1833" s="46" t="n"/>
      <c r="W1833" s="46" t="n"/>
      <c r="X1833" s="46" t="n"/>
      <c r="Y1833" s="46" t="n"/>
      <c r="Z1833" s="46" t="n"/>
      <c r="AA1833" s="46" t="n"/>
      <c r="AB1833" s="46" t="n"/>
      <c r="AC1833" s="46" t="n"/>
      <c r="AD1833" s="46" t="n"/>
      <c r="AE1833" s="46" t="n"/>
      <c r="AF1833" s="46" t="n"/>
      <c r="AG1833" s="46" t="n"/>
      <c r="AH1833" s="46" t="n"/>
      <c r="AI1833" s="46" t="n"/>
      <c r="AJ1833" s="46" t="n"/>
      <c r="AK1833" s="46" t="n"/>
      <c r="AL1833" s="46" t="n"/>
      <c r="AM1833" s="46" t="n"/>
      <c r="AN1833" s="46" t="n"/>
      <c r="AO1833" s="46" t="n"/>
      <c r="AP1833" s="46" t="n"/>
      <c r="AQ1833" s="46" t="n"/>
      <c r="AR1833" s="46" t="n"/>
      <c r="AS1833" s="46" t="n"/>
      <c r="AV1833" s="36">
        <f>IF($C1833="","",EMPLOYES!M65)</f>
        <v/>
      </c>
      <c r="AW1833" s="36">
        <f>IF($C1833="",0,SUMPRODUCT(--(O1833:AS1833="C")))</f>
        <v/>
      </c>
      <c r="AX1833" s="36">
        <f>IF($C1833="",0,SUMPRODUCT(--(O1833:AS1833="R")))</f>
        <v/>
      </c>
      <c r="AY1833" s="44" t="n"/>
    </row>
    <row r="1834" hidden="1" outlineLevel="1" ht="15" customHeight="1" s="15">
      <c r="B1834" s="41" t="n">
        <v>8</v>
      </c>
      <c r="C1834" s="42">
        <f>IF(EMPLOYES!C66="","",EMPLOYES!C66)</f>
        <v/>
      </c>
      <c r="D1834" s="43">
        <f>IF(EMPLOYES!C66="","",EMPLOYES!D66)</f>
        <v/>
      </c>
      <c r="E1834" s="44" t="n"/>
      <c r="F1834" s="42" t="n"/>
      <c r="G1834" s="41">
        <f>IF($C1834="",0,MAX(0,$M1834-$N1834))</f>
        <v/>
      </c>
      <c r="H1834" s="45" t="n"/>
      <c r="I1834" s="41">
        <f>IF($C1834="","",IF(H1834="","OK",IF(H1834&gt;EMPLOYES!P66,"⚠ Avance &gt; salaire",IF(H1834&gt;EMPLOYES!P66*PARAMETRES!$C$218,"⚠ Avance élevée","OK"))))</f>
        <v/>
      </c>
      <c r="J1834" s="45" t="n"/>
      <c r="K1834" s="46" t="n"/>
      <c r="L1834" s="46" t="n"/>
      <c r="M1834" s="41">
        <f>IF($C1834="","",SUMPRODUCT((PARAMETRES!$B$38:$B$157=PARAMETRES!$C$29)*(PARAMETRES!$C$38:$C$157=8)*(IF(EMPLOYES!M66="5j",PARAMETRES!$I$38:$I$157,PARAMETRES!$H$38:$H$157))))</f>
        <v/>
      </c>
      <c r="N1834" s="41">
        <f>IF($C1834="","",SUMPRODUCT((O1834:AS1834="P")+(O1834:AS1834="F")+(O1834:AS1834="C")+0.5*(O1834:AS1834="D"),(1-((O1780:AS1780=6)*(EMPLOYES!M66="5j")))))</f>
        <v/>
      </c>
      <c r="O1834" s="46" t="n"/>
      <c r="P1834" s="46" t="n"/>
      <c r="Q1834" s="46" t="n"/>
      <c r="R1834" s="46" t="n"/>
      <c r="S1834" s="46" t="n"/>
      <c r="T1834" s="46" t="n"/>
      <c r="U1834" s="46" t="n"/>
      <c r="V1834" s="46" t="n"/>
      <c r="W1834" s="46" t="n"/>
      <c r="X1834" s="46" t="n"/>
      <c r="Y1834" s="46" t="n"/>
      <c r="Z1834" s="46" t="n"/>
      <c r="AA1834" s="46" t="n"/>
      <c r="AB1834" s="46" t="n"/>
      <c r="AC1834" s="46" t="n"/>
      <c r="AD1834" s="46" t="n"/>
      <c r="AE1834" s="46" t="n"/>
      <c r="AF1834" s="46" t="n"/>
      <c r="AG1834" s="46" t="n"/>
      <c r="AH1834" s="46" t="n"/>
      <c r="AI1834" s="46" t="n"/>
      <c r="AJ1834" s="46" t="n"/>
      <c r="AK1834" s="46" t="n"/>
      <c r="AL1834" s="46" t="n"/>
      <c r="AM1834" s="46" t="n"/>
      <c r="AN1834" s="46" t="n"/>
      <c r="AO1834" s="46" t="n"/>
      <c r="AP1834" s="46" t="n"/>
      <c r="AQ1834" s="46" t="n"/>
      <c r="AR1834" s="46" t="n"/>
      <c r="AS1834" s="46" t="n"/>
      <c r="AV1834" s="36">
        <f>IF($C1834="","",EMPLOYES!M66)</f>
        <v/>
      </c>
      <c r="AW1834" s="36">
        <f>IF($C1834="",0,SUMPRODUCT(--(O1834:AS1834="C")))</f>
        <v/>
      </c>
      <c r="AX1834" s="36">
        <f>IF($C1834="",0,SUMPRODUCT(--(O1834:AS1834="R")))</f>
        <v/>
      </c>
      <c r="AY1834" s="44" t="n"/>
    </row>
    <row r="1835" hidden="1" outlineLevel="1" ht="15" customHeight="1" s="15">
      <c r="B1835" s="41" t="n">
        <v>8</v>
      </c>
      <c r="C1835" s="42">
        <f>IF(EMPLOYES!C67="","",EMPLOYES!C67)</f>
        <v/>
      </c>
      <c r="D1835" s="43">
        <f>IF(EMPLOYES!C67="","",EMPLOYES!D67)</f>
        <v/>
      </c>
      <c r="E1835" s="44" t="n"/>
      <c r="F1835" s="42" t="n"/>
      <c r="G1835" s="41">
        <f>IF($C1835="",0,MAX(0,$M1835-$N1835))</f>
        <v/>
      </c>
      <c r="H1835" s="45" t="n"/>
      <c r="I1835" s="41">
        <f>IF($C1835="","",IF(H1835="","OK",IF(H1835&gt;EMPLOYES!P67,"⚠ Avance &gt; salaire",IF(H1835&gt;EMPLOYES!P67*PARAMETRES!$C$218,"⚠ Avance élevée","OK"))))</f>
        <v/>
      </c>
      <c r="J1835" s="45" t="n"/>
      <c r="K1835" s="46" t="n"/>
      <c r="L1835" s="46" t="n"/>
      <c r="M1835" s="41">
        <f>IF($C1835="","",SUMPRODUCT((PARAMETRES!$B$38:$B$157=PARAMETRES!$C$29)*(PARAMETRES!$C$38:$C$157=8)*(IF(EMPLOYES!M67="5j",PARAMETRES!$I$38:$I$157,PARAMETRES!$H$38:$H$157))))</f>
        <v/>
      </c>
      <c r="N1835" s="41">
        <f>IF($C1835="","",SUMPRODUCT((O1835:AS1835="P")+(O1835:AS1835="F")+(O1835:AS1835="C")+0.5*(O1835:AS1835="D"),(1-((O1780:AS1780=6)*(EMPLOYES!M67="5j")))))</f>
        <v/>
      </c>
      <c r="O1835" s="46" t="n"/>
      <c r="P1835" s="46" t="n"/>
      <c r="Q1835" s="46" t="n"/>
      <c r="R1835" s="46" t="n"/>
      <c r="S1835" s="46" t="n"/>
      <c r="T1835" s="46" t="n"/>
      <c r="U1835" s="46" t="n"/>
      <c r="V1835" s="46" t="n"/>
      <c r="W1835" s="46" t="n"/>
      <c r="X1835" s="46" t="n"/>
      <c r="Y1835" s="46" t="n"/>
      <c r="Z1835" s="46" t="n"/>
      <c r="AA1835" s="46" t="n"/>
      <c r="AB1835" s="46" t="n"/>
      <c r="AC1835" s="46" t="n"/>
      <c r="AD1835" s="46" t="n"/>
      <c r="AE1835" s="46" t="n"/>
      <c r="AF1835" s="46" t="n"/>
      <c r="AG1835" s="46" t="n"/>
      <c r="AH1835" s="46" t="n"/>
      <c r="AI1835" s="46" t="n"/>
      <c r="AJ1835" s="46" t="n"/>
      <c r="AK1835" s="46" t="n"/>
      <c r="AL1835" s="46" t="n"/>
      <c r="AM1835" s="46" t="n"/>
      <c r="AN1835" s="46" t="n"/>
      <c r="AO1835" s="46" t="n"/>
      <c r="AP1835" s="46" t="n"/>
      <c r="AQ1835" s="46" t="n"/>
      <c r="AR1835" s="46" t="n"/>
      <c r="AS1835" s="46" t="n"/>
      <c r="AV1835" s="36">
        <f>IF($C1835="","",EMPLOYES!M67)</f>
        <v/>
      </c>
      <c r="AW1835" s="36">
        <f>IF($C1835="",0,SUMPRODUCT(--(O1835:AS1835="C")))</f>
        <v/>
      </c>
      <c r="AX1835" s="36">
        <f>IF($C1835="",0,SUMPRODUCT(--(O1835:AS1835="R")))</f>
        <v/>
      </c>
      <c r="AY1835" s="44" t="n"/>
    </row>
    <row r="1836" hidden="1" outlineLevel="1" ht="15" customHeight="1" s="15">
      <c r="B1836" s="41" t="n">
        <v>8</v>
      </c>
      <c r="C1836" s="42">
        <f>IF(EMPLOYES!C68="","",EMPLOYES!C68)</f>
        <v/>
      </c>
      <c r="D1836" s="43">
        <f>IF(EMPLOYES!C68="","",EMPLOYES!D68)</f>
        <v/>
      </c>
      <c r="E1836" s="44" t="n"/>
      <c r="F1836" s="42" t="n"/>
      <c r="G1836" s="41">
        <f>IF($C1836="",0,MAX(0,$M1836-$N1836))</f>
        <v/>
      </c>
      <c r="H1836" s="45" t="n"/>
      <c r="I1836" s="41">
        <f>IF($C1836="","",IF(H1836="","OK",IF(H1836&gt;EMPLOYES!P68,"⚠ Avance &gt; salaire",IF(H1836&gt;EMPLOYES!P68*PARAMETRES!$C$218,"⚠ Avance élevée","OK"))))</f>
        <v/>
      </c>
      <c r="J1836" s="45" t="n"/>
      <c r="K1836" s="46" t="n"/>
      <c r="L1836" s="46" t="n"/>
      <c r="M1836" s="41">
        <f>IF($C1836="","",SUMPRODUCT((PARAMETRES!$B$38:$B$157=PARAMETRES!$C$29)*(PARAMETRES!$C$38:$C$157=8)*(IF(EMPLOYES!M68="5j",PARAMETRES!$I$38:$I$157,PARAMETRES!$H$38:$H$157))))</f>
        <v/>
      </c>
      <c r="N1836" s="41">
        <f>IF($C1836="","",SUMPRODUCT((O1836:AS1836="P")+(O1836:AS1836="F")+(O1836:AS1836="C")+0.5*(O1836:AS1836="D"),(1-((O1780:AS1780=6)*(EMPLOYES!M68="5j")))))</f>
        <v/>
      </c>
      <c r="O1836" s="46" t="n"/>
      <c r="P1836" s="46" t="n"/>
      <c r="Q1836" s="46" t="n"/>
      <c r="R1836" s="46" t="n"/>
      <c r="S1836" s="46" t="n"/>
      <c r="T1836" s="46" t="n"/>
      <c r="U1836" s="46" t="n"/>
      <c r="V1836" s="46" t="n"/>
      <c r="W1836" s="46" t="n"/>
      <c r="X1836" s="46" t="n"/>
      <c r="Y1836" s="46" t="n"/>
      <c r="Z1836" s="46" t="n"/>
      <c r="AA1836" s="46" t="n"/>
      <c r="AB1836" s="46" t="n"/>
      <c r="AC1836" s="46" t="n"/>
      <c r="AD1836" s="46" t="n"/>
      <c r="AE1836" s="46" t="n"/>
      <c r="AF1836" s="46" t="n"/>
      <c r="AG1836" s="46" t="n"/>
      <c r="AH1836" s="46" t="n"/>
      <c r="AI1836" s="46" t="n"/>
      <c r="AJ1836" s="46" t="n"/>
      <c r="AK1836" s="46" t="n"/>
      <c r="AL1836" s="46" t="n"/>
      <c r="AM1836" s="46" t="n"/>
      <c r="AN1836" s="46" t="n"/>
      <c r="AO1836" s="46" t="n"/>
      <c r="AP1836" s="46" t="n"/>
      <c r="AQ1836" s="46" t="n"/>
      <c r="AR1836" s="46" t="n"/>
      <c r="AS1836" s="46" t="n"/>
      <c r="AV1836" s="36">
        <f>IF($C1836="","",EMPLOYES!M68)</f>
        <v/>
      </c>
      <c r="AW1836" s="36">
        <f>IF($C1836="",0,SUMPRODUCT(--(O1836:AS1836="C")))</f>
        <v/>
      </c>
      <c r="AX1836" s="36">
        <f>IF($C1836="",0,SUMPRODUCT(--(O1836:AS1836="R")))</f>
        <v/>
      </c>
      <c r="AY1836" s="44" t="n"/>
    </row>
    <row r="1837" hidden="1" outlineLevel="1" ht="15" customHeight="1" s="15">
      <c r="B1837" s="41" t="n">
        <v>8</v>
      </c>
      <c r="C1837" s="42">
        <f>IF(EMPLOYES!C69="","",EMPLOYES!C69)</f>
        <v/>
      </c>
      <c r="D1837" s="43">
        <f>IF(EMPLOYES!C69="","",EMPLOYES!D69)</f>
        <v/>
      </c>
      <c r="E1837" s="44" t="n"/>
      <c r="F1837" s="42" t="n"/>
      <c r="G1837" s="41">
        <f>IF($C1837="",0,MAX(0,$M1837-$N1837))</f>
        <v/>
      </c>
      <c r="H1837" s="45" t="n"/>
      <c r="I1837" s="41">
        <f>IF($C1837="","",IF(H1837="","OK",IF(H1837&gt;EMPLOYES!P69,"⚠ Avance &gt; salaire",IF(H1837&gt;EMPLOYES!P69*PARAMETRES!$C$218,"⚠ Avance élevée","OK"))))</f>
        <v/>
      </c>
      <c r="J1837" s="45" t="n"/>
      <c r="K1837" s="46" t="n"/>
      <c r="L1837" s="46" t="n"/>
      <c r="M1837" s="41">
        <f>IF($C1837="","",SUMPRODUCT((PARAMETRES!$B$38:$B$157=PARAMETRES!$C$29)*(PARAMETRES!$C$38:$C$157=8)*(IF(EMPLOYES!M69="5j",PARAMETRES!$I$38:$I$157,PARAMETRES!$H$38:$H$157))))</f>
        <v/>
      </c>
      <c r="N1837" s="41">
        <f>IF($C1837="","",SUMPRODUCT((O1837:AS1837="P")+(O1837:AS1837="F")+(O1837:AS1837="C")+0.5*(O1837:AS1837="D"),(1-((O1780:AS1780=6)*(EMPLOYES!M69="5j")))))</f>
        <v/>
      </c>
      <c r="O1837" s="46" t="n"/>
      <c r="P1837" s="46" t="n"/>
      <c r="Q1837" s="46" t="n"/>
      <c r="R1837" s="46" t="n"/>
      <c r="S1837" s="46" t="n"/>
      <c r="T1837" s="46" t="n"/>
      <c r="U1837" s="46" t="n"/>
      <c r="V1837" s="46" t="n"/>
      <c r="W1837" s="46" t="n"/>
      <c r="X1837" s="46" t="n"/>
      <c r="Y1837" s="46" t="n"/>
      <c r="Z1837" s="46" t="n"/>
      <c r="AA1837" s="46" t="n"/>
      <c r="AB1837" s="46" t="n"/>
      <c r="AC1837" s="46" t="n"/>
      <c r="AD1837" s="46" t="n"/>
      <c r="AE1837" s="46" t="n"/>
      <c r="AF1837" s="46" t="n"/>
      <c r="AG1837" s="46" t="n"/>
      <c r="AH1837" s="46" t="n"/>
      <c r="AI1837" s="46" t="n"/>
      <c r="AJ1837" s="46" t="n"/>
      <c r="AK1837" s="46" t="n"/>
      <c r="AL1837" s="46" t="n"/>
      <c r="AM1837" s="46" t="n"/>
      <c r="AN1837" s="46" t="n"/>
      <c r="AO1837" s="46" t="n"/>
      <c r="AP1837" s="46" t="n"/>
      <c r="AQ1837" s="46" t="n"/>
      <c r="AR1837" s="46" t="n"/>
      <c r="AS1837" s="46" t="n"/>
      <c r="AV1837" s="36">
        <f>IF($C1837="","",EMPLOYES!M69)</f>
        <v/>
      </c>
      <c r="AW1837" s="36">
        <f>IF($C1837="",0,SUMPRODUCT(--(O1837:AS1837="C")))</f>
        <v/>
      </c>
      <c r="AX1837" s="36">
        <f>IF($C1837="",0,SUMPRODUCT(--(O1837:AS1837="R")))</f>
        <v/>
      </c>
      <c r="AY1837" s="44" t="n"/>
    </row>
    <row r="1838" hidden="1" outlineLevel="1" ht="15" customHeight="1" s="15">
      <c r="B1838" s="41" t="n">
        <v>8</v>
      </c>
      <c r="C1838" s="42">
        <f>IF(EMPLOYES!C70="","",EMPLOYES!C70)</f>
        <v/>
      </c>
      <c r="D1838" s="43">
        <f>IF(EMPLOYES!C70="","",EMPLOYES!D70)</f>
        <v/>
      </c>
      <c r="E1838" s="44" t="n"/>
      <c r="F1838" s="42" t="n"/>
      <c r="G1838" s="41">
        <f>IF($C1838="",0,MAX(0,$M1838-$N1838))</f>
        <v/>
      </c>
      <c r="H1838" s="45" t="n"/>
      <c r="I1838" s="41">
        <f>IF($C1838="","",IF(H1838="","OK",IF(H1838&gt;EMPLOYES!P70,"⚠ Avance &gt; salaire",IF(H1838&gt;EMPLOYES!P70*PARAMETRES!$C$218,"⚠ Avance élevée","OK"))))</f>
        <v/>
      </c>
      <c r="J1838" s="45" t="n"/>
      <c r="K1838" s="46" t="n"/>
      <c r="L1838" s="46" t="n"/>
      <c r="M1838" s="41">
        <f>IF($C1838="","",SUMPRODUCT((PARAMETRES!$B$38:$B$157=PARAMETRES!$C$29)*(PARAMETRES!$C$38:$C$157=8)*(IF(EMPLOYES!M70="5j",PARAMETRES!$I$38:$I$157,PARAMETRES!$H$38:$H$157))))</f>
        <v/>
      </c>
      <c r="N1838" s="41">
        <f>IF($C1838="","",SUMPRODUCT((O1838:AS1838="P")+(O1838:AS1838="F")+(O1838:AS1838="C")+0.5*(O1838:AS1838="D"),(1-((O1780:AS1780=6)*(EMPLOYES!M70="5j")))))</f>
        <v/>
      </c>
      <c r="O1838" s="46" t="n"/>
      <c r="P1838" s="46" t="n"/>
      <c r="Q1838" s="46" t="n"/>
      <c r="R1838" s="46" t="n"/>
      <c r="S1838" s="46" t="n"/>
      <c r="T1838" s="46" t="n"/>
      <c r="U1838" s="46" t="n"/>
      <c r="V1838" s="46" t="n"/>
      <c r="W1838" s="46" t="n"/>
      <c r="X1838" s="46" t="n"/>
      <c r="Y1838" s="46" t="n"/>
      <c r="Z1838" s="46" t="n"/>
      <c r="AA1838" s="46" t="n"/>
      <c r="AB1838" s="46" t="n"/>
      <c r="AC1838" s="46" t="n"/>
      <c r="AD1838" s="46" t="n"/>
      <c r="AE1838" s="46" t="n"/>
      <c r="AF1838" s="46" t="n"/>
      <c r="AG1838" s="46" t="n"/>
      <c r="AH1838" s="46" t="n"/>
      <c r="AI1838" s="46" t="n"/>
      <c r="AJ1838" s="46" t="n"/>
      <c r="AK1838" s="46" t="n"/>
      <c r="AL1838" s="46" t="n"/>
      <c r="AM1838" s="46" t="n"/>
      <c r="AN1838" s="46" t="n"/>
      <c r="AO1838" s="46" t="n"/>
      <c r="AP1838" s="46" t="n"/>
      <c r="AQ1838" s="46" t="n"/>
      <c r="AR1838" s="46" t="n"/>
      <c r="AS1838" s="46" t="n"/>
      <c r="AV1838" s="36">
        <f>IF($C1838="","",EMPLOYES!M70)</f>
        <v/>
      </c>
      <c r="AW1838" s="36">
        <f>IF($C1838="",0,SUMPRODUCT(--(O1838:AS1838="C")))</f>
        <v/>
      </c>
      <c r="AX1838" s="36">
        <f>IF($C1838="",0,SUMPRODUCT(--(O1838:AS1838="R")))</f>
        <v/>
      </c>
      <c r="AY1838" s="44" t="n"/>
    </row>
    <row r="1839" hidden="1" outlineLevel="1" ht="15" customHeight="1" s="15">
      <c r="B1839" s="41" t="n">
        <v>8</v>
      </c>
      <c r="C1839" s="42">
        <f>IF(EMPLOYES!C71="","",EMPLOYES!C71)</f>
        <v/>
      </c>
      <c r="D1839" s="43">
        <f>IF(EMPLOYES!C71="","",EMPLOYES!D71)</f>
        <v/>
      </c>
      <c r="E1839" s="44" t="n"/>
      <c r="F1839" s="42" t="n"/>
      <c r="G1839" s="41">
        <f>IF($C1839="",0,MAX(0,$M1839-$N1839))</f>
        <v/>
      </c>
      <c r="H1839" s="45" t="n"/>
      <c r="I1839" s="41">
        <f>IF($C1839="","",IF(H1839="","OK",IF(H1839&gt;EMPLOYES!P71,"⚠ Avance &gt; salaire",IF(H1839&gt;EMPLOYES!P71*PARAMETRES!$C$218,"⚠ Avance élevée","OK"))))</f>
        <v/>
      </c>
      <c r="J1839" s="45" t="n"/>
      <c r="K1839" s="46" t="n"/>
      <c r="L1839" s="46" t="n"/>
      <c r="M1839" s="41">
        <f>IF($C1839="","",SUMPRODUCT((PARAMETRES!$B$38:$B$157=PARAMETRES!$C$29)*(PARAMETRES!$C$38:$C$157=8)*(IF(EMPLOYES!M71="5j",PARAMETRES!$I$38:$I$157,PARAMETRES!$H$38:$H$157))))</f>
        <v/>
      </c>
      <c r="N1839" s="41">
        <f>IF($C1839="","",SUMPRODUCT((O1839:AS1839="P")+(O1839:AS1839="F")+(O1839:AS1839="C")+0.5*(O1839:AS1839="D"),(1-((O1780:AS1780=6)*(EMPLOYES!M71="5j")))))</f>
        <v/>
      </c>
      <c r="O1839" s="46" t="n"/>
      <c r="P1839" s="46" t="n"/>
      <c r="Q1839" s="46" t="n"/>
      <c r="R1839" s="46" t="n"/>
      <c r="S1839" s="46" t="n"/>
      <c r="T1839" s="46" t="n"/>
      <c r="U1839" s="46" t="n"/>
      <c r="V1839" s="46" t="n"/>
      <c r="W1839" s="46" t="n"/>
      <c r="X1839" s="46" t="n"/>
      <c r="Y1839" s="46" t="n"/>
      <c r="Z1839" s="46" t="n"/>
      <c r="AA1839" s="46" t="n"/>
      <c r="AB1839" s="46" t="n"/>
      <c r="AC1839" s="46" t="n"/>
      <c r="AD1839" s="46" t="n"/>
      <c r="AE1839" s="46" t="n"/>
      <c r="AF1839" s="46" t="n"/>
      <c r="AG1839" s="46" t="n"/>
      <c r="AH1839" s="46" t="n"/>
      <c r="AI1839" s="46" t="n"/>
      <c r="AJ1839" s="46" t="n"/>
      <c r="AK1839" s="46" t="n"/>
      <c r="AL1839" s="46" t="n"/>
      <c r="AM1839" s="46" t="n"/>
      <c r="AN1839" s="46" t="n"/>
      <c r="AO1839" s="46" t="n"/>
      <c r="AP1839" s="46" t="n"/>
      <c r="AQ1839" s="46" t="n"/>
      <c r="AR1839" s="46" t="n"/>
      <c r="AS1839" s="46" t="n"/>
      <c r="AV1839" s="36">
        <f>IF($C1839="","",EMPLOYES!M71)</f>
        <v/>
      </c>
      <c r="AW1839" s="36">
        <f>IF($C1839="",0,SUMPRODUCT(--(O1839:AS1839="C")))</f>
        <v/>
      </c>
      <c r="AX1839" s="36">
        <f>IF($C1839="",0,SUMPRODUCT(--(O1839:AS1839="R")))</f>
        <v/>
      </c>
      <c r="AY1839" s="44" t="n"/>
    </row>
    <row r="1840" hidden="1" outlineLevel="1" ht="15" customHeight="1" s="15">
      <c r="B1840" s="41" t="n">
        <v>8</v>
      </c>
      <c r="C1840" s="42">
        <f>IF(EMPLOYES!C72="","",EMPLOYES!C72)</f>
        <v/>
      </c>
      <c r="D1840" s="43">
        <f>IF(EMPLOYES!C72="","",EMPLOYES!D72)</f>
        <v/>
      </c>
      <c r="E1840" s="44" t="n"/>
      <c r="F1840" s="42" t="n"/>
      <c r="G1840" s="41">
        <f>IF($C1840="",0,MAX(0,$M1840-$N1840))</f>
        <v/>
      </c>
      <c r="H1840" s="45" t="n"/>
      <c r="I1840" s="41">
        <f>IF($C1840="","",IF(H1840="","OK",IF(H1840&gt;EMPLOYES!P72,"⚠ Avance &gt; salaire",IF(H1840&gt;EMPLOYES!P72*PARAMETRES!$C$218,"⚠ Avance élevée","OK"))))</f>
        <v/>
      </c>
      <c r="J1840" s="45" t="n"/>
      <c r="K1840" s="46" t="n"/>
      <c r="L1840" s="46" t="n"/>
      <c r="M1840" s="41">
        <f>IF($C1840="","",SUMPRODUCT((PARAMETRES!$B$38:$B$157=PARAMETRES!$C$29)*(PARAMETRES!$C$38:$C$157=8)*(IF(EMPLOYES!M72="5j",PARAMETRES!$I$38:$I$157,PARAMETRES!$H$38:$H$157))))</f>
        <v/>
      </c>
      <c r="N1840" s="41">
        <f>IF($C1840="","",SUMPRODUCT((O1840:AS1840="P")+(O1840:AS1840="F")+(O1840:AS1840="C")+0.5*(O1840:AS1840="D"),(1-((O1780:AS1780=6)*(EMPLOYES!M72="5j")))))</f>
        <v/>
      </c>
      <c r="O1840" s="46" t="n"/>
      <c r="P1840" s="46" t="n"/>
      <c r="Q1840" s="46" t="n"/>
      <c r="R1840" s="46" t="n"/>
      <c r="S1840" s="46" t="n"/>
      <c r="T1840" s="46" t="n"/>
      <c r="U1840" s="46" t="n"/>
      <c r="V1840" s="46" t="n"/>
      <c r="W1840" s="46" t="n"/>
      <c r="X1840" s="46" t="n"/>
      <c r="Y1840" s="46" t="n"/>
      <c r="Z1840" s="46" t="n"/>
      <c r="AA1840" s="46" t="n"/>
      <c r="AB1840" s="46" t="n"/>
      <c r="AC1840" s="46" t="n"/>
      <c r="AD1840" s="46" t="n"/>
      <c r="AE1840" s="46" t="n"/>
      <c r="AF1840" s="46" t="n"/>
      <c r="AG1840" s="46" t="n"/>
      <c r="AH1840" s="46" t="n"/>
      <c r="AI1840" s="46" t="n"/>
      <c r="AJ1840" s="46" t="n"/>
      <c r="AK1840" s="46" t="n"/>
      <c r="AL1840" s="46" t="n"/>
      <c r="AM1840" s="46" t="n"/>
      <c r="AN1840" s="46" t="n"/>
      <c r="AO1840" s="46" t="n"/>
      <c r="AP1840" s="46" t="n"/>
      <c r="AQ1840" s="46" t="n"/>
      <c r="AR1840" s="46" t="n"/>
      <c r="AS1840" s="46" t="n"/>
      <c r="AV1840" s="36">
        <f>IF($C1840="","",EMPLOYES!M72)</f>
        <v/>
      </c>
      <c r="AW1840" s="36">
        <f>IF($C1840="",0,SUMPRODUCT(--(O1840:AS1840="C")))</f>
        <v/>
      </c>
      <c r="AX1840" s="36">
        <f>IF($C1840="",0,SUMPRODUCT(--(O1840:AS1840="R")))</f>
        <v/>
      </c>
      <c r="AY1840" s="44" t="n"/>
    </row>
    <row r="1841" hidden="1" outlineLevel="1" ht="15" customHeight="1" s="15">
      <c r="B1841" s="41" t="n">
        <v>8</v>
      </c>
      <c r="C1841" s="42">
        <f>IF(EMPLOYES!C73="","",EMPLOYES!C73)</f>
        <v/>
      </c>
      <c r="D1841" s="43">
        <f>IF(EMPLOYES!C73="","",EMPLOYES!D73)</f>
        <v/>
      </c>
      <c r="E1841" s="44" t="n"/>
      <c r="F1841" s="42" t="n"/>
      <c r="G1841" s="41">
        <f>IF($C1841="",0,MAX(0,$M1841-$N1841))</f>
        <v/>
      </c>
      <c r="H1841" s="45" t="n"/>
      <c r="I1841" s="41">
        <f>IF($C1841="","",IF(H1841="","OK",IF(H1841&gt;EMPLOYES!P73,"⚠ Avance &gt; salaire",IF(H1841&gt;EMPLOYES!P73*PARAMETRES!$C$218,"⚠ Avance élevée","OK"))))</f>
        <v/>
      </c>
      <c r="J1841" s="45" t="n"/>
      <c r="K1841" s="46" t="n"/>
      <c r="L1841" s="46" t="n"/>
      <c r="M1841" s="41">
        <f>IF($C1841="","",SUMPRODUCT((PARAMETRES!$B$38:$B$157=PARAMETRES!$C$29)*(PARAMETRES!$C$38:$C$157=8)*(IF(EMPLOYES!M73="5j",PARAMETRES!$I$38:$I$157,PARAMETRES!$H$38:$H$157))))</f>
        <v/>
      </c>
      <c r="N1841" s="41">
        <f>IF($C1841="","",SUMPRODUCT((O1841:AS1841="P")+(O1841:AS1841="F")+(O1841:AS1841="C")+0.5*(O1841:AS1841="D"),(1-((O1780:AS1780=6)*(EMPLOYES!M73="5j")))))</f>
        <v/>
      </c>
      <c r="O1841" s="46" t="n"/>
      <c r="P1841" s="46" t="n"/>
      <c r="Q1841" s="46" t="n"/>
      <c r="R1841" s="46" t="n"/>
      <c r="S1841" s="46" t="n"/>
      <c r="T1841" s="46" t="n"/>
      <c r="U1841" s="46" t="n"/>
      <c r="V1841" s="46" t="n"/>
      <c r="W1841" s="46" t="n"/>
      <c r="X1841" s="46" t="n"/>
      <c r="Y1841" s="46" t="n"/>
      <c r="Z1841" s="46" t="n"/>
      <c r="AA1841" s="46" t="n"/>
      <c r="AB1841" s="46" t="n"/>
      <c r="AC1841" s="46" t="n"/>
      <c r="AD1841" s="46" t="n"/>
      <c r="AE1841" s="46" t="n"/>
      <c r="AF1841" s="46" t="n"/>
      <c r="AG1841" s="46" t="n"/>
      <c r="AH1841" s="46" t="n"/>
      <c r="AI1841" s="46" t="n"/>
      <c r="AJ1841" s="46" t="n"/>
      <c r="AK1841" s="46" t="n"/>
      <c r="AL1841" s="46" t="n"/>
      <c r="AM1841" s="46" t="n"/>
      <c r="AN1841" s="46" t="n"/>
      <c r="AO1841" s="46" t="n"/>
      <c r="AP1841" s="46" t="n"/>
      <c r="AQ1841" s="46" t="n"/>
      <c r="AR1841" s="46" t="n"/>
      <c r="AS1841" s="46" t="n"/>
      <c r="AV1841" s="36">
        <f>IF($C1841="","",EMPLOYES!M73)</f>
        <v/>
      </c>
      <c r="AW1841" s="36">
        <f>IF($C1841="",0,SUMPRODUCT(--(O1841:AS1841="C")))</f>
        <v/>
      </c>
      <c r="AX1841" s="36">
        <f>IF($C1841="",0,SUMPRODUCT(--(O1841:AS1841="R")))</f>
        <v/>
      </c>
      <c r="AY1841" s="44" t="n"/>
    </row>
    <row r="1842" hidden="1" outlineLevel="1" ht="15" customHeight="1" s="15">
      <c r="B1842" s="41" t="n">
        <v>8</v>
      </c>
      <c r="C1842" s="42">
        <f>IF(EMPLOYES!C74="","",EMPLOYES!C74)</f>
        <v/>
      </c>
      <c r="D1842" s="43">
        <f>IF(EMPLOYES!C74="","",EMPLOYES!D74)</f>
        <v/>
      </c>
      <c r="E1842" s="44" t="n"/>
      <c r="F1842" s="42" t="n"/>
      <c r="G1842" s="41">
        <f>IF($C1842="",0,MAX(0,$M1842-$N1842))</f>
        <v/>
      </c>
      <c r="H1842" s="45" t="n"/>
      <c r="I1842" s="41">
        <f>IF($C1842="","",IF(H1842="","OK",IF(H1842&gt;EMPLOYES!P74,"⚠ Avance &gt; salaire",IF(H1842&gt;EMPLOYES!P74*PARAMETRES!$C$218,"⚠ Avance élevée","OK"))))</f>
        <v/>
      </c>
      <c r="J1842" s="45" t="n"/>
      <c r="K1842" s="46" t="n"/>
      <c r="L1842" s="46" t="n"/>
      <c r="M1842" s="41">
        <f>IF($C1842="","",SUMPRODUCT((PARAMETRES!$B$38:$B$157=PARAMETRES!$C$29)*(PARAMETRES!$C$38:$C$157=8)*(IF(EMPLOYES!M74="5j",PARAMETRES!$I$38:$I$157,PARAMETRES!$H$38:$H$157))))</f>
        <v/>
      </c>
      <c r="N1842" s="41">
        <f>IF($C1842="","",SUMPRODUCT((O1842:AS1842="P")+(O1842:AS1842="F")+(O1842:AS1842="C")+0.5*(O1842:AS1842="D"),(1-((O1780:AS1780=6)*(EMPLOYES!M74="5j")))))</f>
        <v/>
      </c>
      <c r="O1842" s="46" t="n"/>
      <c r="P1842" s="46" t="n"/>
      <c r="Q1842" s="46" t="n"/>
      <c r="R1842" s="46" t="n"/>
      <c r="S1842" s="46" t="n"/>
      <c r="T1842" s="46" t="n"/>
      <c r="U1842" s="46" t="n"/>
      <c r="V1842" s="46" t="n"/>
      <c r="W1842" s="46" t="n"/>
      <c r="X1842" s="46" t="n"/>
      <c r="Y1842" s="46" t="n"/>
      <c r="Z1842" s="46" t="n"/>
      <c r="AA1842" s="46" t="n"/>
      <c r="AB1842" s="46" t="n"/>
      <c r="AC1842" s="46" t="n"/>
      <c r="AD1842" s="46" t="n"/>
      <c r="AE1842" s="46" t="n"/>
      <c r="AF1842" s="46" t="n"/>
      <c r="AG1842" s="46" t="n"/>
      <c r="AH1842" s="46" t="n"/>
      <c r="AI1842" s="46" t="n"/>
      <c r="AJ1842" s="46" t="n"/>
      <c r="AK1842" s="46" t="n"/>
      <c r="AL1842" s="46" t="n"/>
      <c r="AM1842" s="46" t="n"/>
      <c r="AN1842" s="46" t="n"/>
      <c r="AO1842" s="46" t="n"/>
      <c r="AP1842" s="46" t="n"/>
      <c r="AQ1842" s="46" t="n"/>
      <c r="AR1842" s="46" t="n"/>
      <c r="AS1842" s="46" t="n"/>
      <c r="AV1842" s="36">
        <f>IF($C1842="","",EMPLOYES!M74)</f>
        <v/>
      </c>
      <c r="AW1842" s="36">
        <f>IF($C1842="",0,SUMPRODUCT(--(O1842:AS1842="C")))</f>
        <v/>
      </c>
      <c r="AX1842" s="36">
        <f>IF($C1842="",0,SUMPRODUCT(--(O1842:AS1842="R")))</f>
        <v/>
      </c>
      <c r="AY1842" s="44" t="n"/>
    </row>
    <row r="1843" hidden="1" ht="15" customHeight="1" s="15">
      <c r="B1843" s="36" t="inlineStr">
        <is>
          <t>Jour sem. (réf. grisage)</t>
        </is>
      </c>
      <c r="O1843" s="37">
        <f>IF(1&gt;DAY(EOMONTH(DATE(PARAMETRES!$C$29,8,1),0)),"",WEEKDAY(DATE(PARAMETRES!$C$29,8,1),2))</f>
        <v/>
      </c>
      <c r="P1843" s="37">
        <f>IF(2&gt;DAY(EOMONTH(DATE(PARAMETRES!$C$29,8,1),0)),"",WEEKDAY(DATE(PARAMETRES!$C$29,8,2),2))</f>
        <v/>
      </c>
      <c r="Q1843" s="37">
        <f>IF(3&gt;DAY(EOMONTH(DATE(PARAMETRES!$C$29,8,1),0)),"",WEEKDAY(DATE(PARAMETRES!$C$29,8,3),2))</f>
        <v/>
      </c>
      <c r="R1843" s="37">
        <f>IF(4&gt;DAY(EOMONTH(DATE(PARAMETRES!$C$29,8,1),0)),"",WEEKDAY(DATE(PARAMETRES!$C$29,8,4),2))</f>
        <v/>
      </c>
      <c r="S1843" s="37">
        <f>IF(5&gt;DAY(EOMONTH(DATE(PARAMETRES!$C$29,8,1),0)),"",WEEKDAY(DATE(PARAMETRES!$C$29,8,5),2))</f>
        <v/>
      </c>
      <c r="T1843" s="37">
        <f>IF(6&gt;DAY(EOMONTH(DATE(PARAMETRES!$C$29,8,1),0)),"",WEEKDAY(DATE(PARAMETRES!$C$29,8,6),2))</f>
        <v/>
      </c>
      <c r="U1843" s="37">
        <f>IF(7&gt;DAY(EOMONTH(DATE(PARAMETRES!$C$29,8,1),0)),"",WEEKDAY(DATE(PARAMETRES!$C$29,8,7),2))</f>
        <v/>
      </c>
      <c r="V1843" s="37">
        <f>IF(8&gt;DAY(EOMONTH(DATE(PARAMETRES!$C$29,8,1),0)),"",WEEKDAY(DATE(PARAMETRES!$C$29,8,8),2))</f>
        <v/>
      </c>
      <c r="W1843" s="37">
        <f>IF(9&gt;DAY(EOMONTH(DATE(PARAMETRES!$C$29,8,1),0)),"",WEEKDAY(DATE(PARAMETRES!$C$29,8,9),2))</f>
        <v/>
      </c>
      <c r="X1843" s="37">
        <f>IF(10&gt;DAY(EOMONTH(DATE(PARAMETRES!$C$29,8,1),0)),"",WEEKDAY(DATE(PARAMETRES!$C$29,8,10),2))</f>
        <v/>
      </c>
      <c r="Y1843" s="37">
        <f>IF(11&gt;DAY(EOMONTH(DATE(PARAMETRES!$C$29,8,1),0)),"",WEEKDAY(DATE(PARAMETRES!$C$29,8,11),2))</f>
        <v/>
      </c>
      <c r="Z1843" s="37">
        <f>IF(12&gt;DAY(EOMONTH(DATE(PARAMETRES!$C$29,8,1),0)),"",WEEKDAY(DATE(PARAMETRES!$C$29,8,12),2))</f>
        <v/>
      </c>
      <c r="AA1843" s="37">
        <f>IF(13&gt;DAY(EOMONTH(DATE(PARAMETRES!$C$29,8,1),0)),"",WEEKDAY(DATE(PARAMETRES!$C$29,8,13),2))</f>
        <v/>
      </c>
      <c r="AB1843" s="37">
        <f>IF(14&gt;DAY(EOMONTH(DATE(PARAMETRES!$C$29,8,1),0)),"",WEEKDAY(DATE(PARAMETRES!$C$29,8,14),2))</f>
        <v/>
      </c>
      <c r="AC1843" s="37">
        <f>IF(15&gt;DAY(EOMONTH(DATE(PARAMETRES!$C$29,8,1),0)),"",WEEKDAY(DATE(PARAMETRES!$C$29,8,15),2))</f>
        <v/>
      </c>
      <c r="AD1843" s="37">
        <f>IF(16&gt;DAY(EOMONTH(DATE(PARAMETRES!$C$29,8,1),0)),"",WEEKDAY(DATE(PARAMETRES!$C$29,8,16),2))</f>
        <v/>
      </c>
      <c r="AE1843" s="37">
        <f>IF(17&gt;DAY(EOMONTH(DATE(PARAMETRES!$C$29,8,1),0)),"",WEEKDAY(DATE(PARAMETRES!$C$29,8,17),2))</f>
        <v/>
      </c>
      <c r="AF1843" s="37">
        <f>IF(18&gt;DAY(EOMONTH(DATE(PARAMETRES!$C$29,8,1),0)),"",WEEKDAY(DATE(PARAMETRES!$C$29,8,18),2))</f>
        <v/>
      </c>
      <c r="AG1843" s="37">
        <f>IF(19&gt;DAY(EOMONTH(DATE(PARAMETRES!$C$29,8,1),0)),"",WEEKDAY(DATE(PARAMETRES!$C$29,8,19),2))</f>
        <v/>
      </c>
      <c r="AH1843" s="37">
        <f>IF(20&gt;DAY(EOMONTH(DATE(PARAMETRES!$C$29,8,1),0)),"",WEEKDAY(DATE(PARAMETRES!$C$29,8,20),2))</f>
        <v/>
      </c>
      <c r="AI1843" s="37">
        <f>IF(21&gt;DAY(EOMONTH(DATE(PARAMETRES!$C$29,8,1),0)),"",WEEKDAY(DATE(PARAMETRES!$C$29,8,21),2))</f>
        <v/>
      </c>
      <c r="AJ1843" s="37">
        <f>IF(22&gt;DAY(EOMONTH(DATE(PARAMETRES!$C$29,8,1),0)),"",WEEKDAY(DATE(PARAMETRES!$C$29,8,22),2))</f>
        <v/>
      </c>
      <c r="AK1843" s="37">
        <f>IF(23&gt;DAY(EOMONTH(DATE(PARAMETRES!$C$29,8,1),0)),"",WEEKDAY(DATE(PARAMETRES!$C$29,8,23),2))</f>
        <v/>
      </c>
      <c r="AL1843" s="37">
        <f>IF(24&gt;DAY(EOMONTH(DATE(PARAMETRES!$C$29,8,1),0)),"",WEEKDAY(DATE(PARAMETRES!$C$29,8,24),2))</f>
        <v/>
      </c>
      <c r="AM1843" s="37">
        <f>IF(25&gt;DAY(EOMONTH(DATE(PARAMETRES!$C$29,8,1),0)),"",WEEKDAY(DATE(PARAMETRES!$C$29,8,25),2))</f>
        <v/>
      </c>
      <c r="AN1843" s="37">
        <f>IF(26&gt;DAY(EOMONTH(DATE(PARAMETRES!$C$29,8,1),0)),"",WEEKDAY(DATE(PARAMETRES!$C$29,8,26),2))</f>
        <v/>
      </c>
      <c r="AO1843" s="37">
        <f>IF(27&gt;DAY(EOMONTH(DATE(PARAMETRES!$C$29,8,1),0)),"",WEEKDAY(DATE(PARAMETRES!$C$29,8,27),2))</f>
        <v/>
      </c>
      <c r="AP1843" s="37">
        <f>IF(28&gt;DAY(EOMONTH(DATE(PARAMETRES!$C$29,8,1),0)),"",WEEKDAY(DATE(PARAMETRES!$C$29,8,28),2))</f>
        <v/>
      </c>
      <c r="AQ1843" s="37">
        <f>IF(29&gt;DAY(EOMONTH(DATE(PARAMETRES!$C$29,8,1),0)),"",WEEKDAY(DATE(PARAMETRES!$C$29,8,29),2))</f>
        <v/>
      </c>
      <c r="AR1843" s="37">
        <f>IF(30&gt;DAY(EOMONTH(DATE(PARAMETRES!$C$29,8,1),0)),"",WEEKDAY(DATE(PARAMETRES!$C$29,8,30),2))</f>
        <v/>
      </c>
      <c r="AS1843" s="37">
        <f>IF(31&gt;DAY(EOMONTH(DATE(PARAMETRES!$C$29,8,1),0)),"",WEEKDAY(DATE(PARAMETRES!$C$29,8,31),2))</f>
        <v/>
      </c>
    </row>
    <row r="1844" hidden="1" outlineLevel="1" ht="15" customHeight="1" s="15">
      <c r="AT1844" s="36">
        <f>IF(OR(O1780="",O1780=7),"","P")</f>
        <v/>
      </c>
      <c r="AU1844" s="36">
        <f>IF(OR(O1780="",O1780&gt;=6),"","P")</f>
        <v/>
      </c>
    </row>
    <row r="1845" hidden="1" outlineLevel="1" ht="15" customHeight="1" s="15">
      <c r="AT1845" s="36">
        <f>IF(OR(O1780="",O1780=7),"","D")</f>
        <v/>
      </c>
      <c r="AU1845" s="36">
        <f>IF(OR(O1780="",O1780&gt;=6),"","D")</f>
        <v/>
      </c>
    </row>
    <row r="1846" hidden="1" outlineLevel="1" ht="15" customHeight="1" s="15">
      <c r="AT1846" s="36">
        <f>IF(OR(O1780="",O1780=7),"","A")</f>
        <v/>
      </c>
      <c r="AU1846" s="36">
        <f>IF(OR(O1780="",O1780&gt;=6),"","A")</f>
        <v/>
      </c>
    </row>
    <row r="1847" hidden="1" outlineLevel="1" ht="15" customHeight="1" s="15">
      <c r="AT1847" s="36">
        <f>IF(OR(O1780="",O1780=7),"","F")</f>
        <v/>
      </c>
      <c r="AU1847" s="36">
        <f>IF(OR(O1780="",O1780&gt;=6),"","F")</f>
        <v/>
      </c>
    </row>
    <row r="1848" hidden="1" outlineLevel="1" ht="15" customHeight="1" s="15">
      <c r="AT1848" s="36">
        <f>IF(OR(O1780="",O1780=7),"","C")</f>
        <v/>
      </c>
      <c r="AU1848" s="36">
        <f>IF(OR(O1780="",O1780&gt;=6),"","C")</f>
        <v/>
      </c>
    </row>
    <row r="1849" hidden="1" outlineLevel="1" ht="15" customHeight="1" s="15">
      <c r="AT1849" s="36">
        <f>IF(AND(O1780&lt;&gt;"",O1780=7),"R","")</f>
        <v/>
      </c>
      <c r="AU1849" s="36">
        <f>IF(AND(O1780&lt;&gt;"",O1780&gt;=6),"R","")</f>
        <v/>
      </c>
    </row>
    <row r="1850" hidden="1" outlineLevel="1" ht="15" customHeight="1" s="15">
      <c r="AT1850" s="36">
        <f>IF(OR(P1780="",P1780=7),"","P")</f>
        <v/>
      </c>
      <c r="AU1850" s="36">
        <f>IF(OR(P1780="",P1780&gt;=6),"","P")</f>
        <v/>
      </c>
    </row>
    <row r="1851" hidden="1" outlineLevel="1" ht="15" customHeight="1" s="15">
      <c r="AT1851" s="36">
        <f>IF(OR(P1780="",P1780=7),"","D")</f>
        <v/>
      </c>
      <c r="AU1851" s="36">
        <f>IF(OR(P1780="",P1780&gt;=6),"","D")</f>
        <v/>
      </c>
    </row>
    <row r="1852" hidden="1" outlineLevel="1" ht="15" customHeight="1" s="15">
      <c r="AT1852" s="36">
        <f>IF(OR(P1780="",P1780=7),"","A")</f>
        <v/>
      </c>
      <c r="AU1852" s="36">
        <f>IF(OR(P1780="",P1780&gt;=6),"","A")</f>
        <v/>
      </c>
    </row>
    <row r="1853" hidden="1" outlineLevel="1" ht="15" customHeight="1" s="15">
      <c r="AT1853" s="36">
        <f>IF(OR(P1780="",P1780=7),"","F")</f>
        <v/>
      </c>
      <c r="AU1853" s="36">
        <f>IF(OR(P1780="",P1780&gt;=6),"","F")</f>
        <v/>
      </c>
    </row>
    <row r="1854" hidden="1" outlineLevel="1" ht="15" customHeight="1" s="15">
      <c r="AT1854" s="36">
        <f>IF(OR(P1780="",P1780=7),"","C")</f>
        <v/>
      </c>
      <c r="AU1854" s="36">
        <f>IF(OR(P1780="",P1780&gt;=6),"","C")</f>
        <v/>
      </c>
    </row>
    <row r="1855" hidden="1" outlineLevel="1" ht="15" customHeight="1" s="15">
      <c r="AT1855" s="36">
        <f>IF(AND(P1780&lt;&gt;"",P1780=7),"R","")</f>
        <v/>
      </c>
      <c r="AU1855" s="36">
        <f>IF(AND(P1780&lt;&gt;"",P1780&gt;=6),"R","")</f>
        <v/>
      </c>
    </row>
    <row r="1856" hidden="1" outlineLevel="1" ht="15" customHeight="1" s="15">
      <c r="AT1856" s="36">
        <f>IF(OR(Q1780="",Q1780=7),"","P")</f>
        <v/>
      </c>
      <c r="AU1856" s="36">
        <f>IF(OR(Q1780="",Q1780&gt;=6),"","P")</f>
        <v/>
      </c>
    </row>
    <row r="1857" hidden="1" outlineLevel="1" ht="15" customHeight="1" s="15">
      <c r="AT1857" s="36">
        <f>IF(OR(Q1780="",Q1780=7),"","D")</f>
        <v/>
      </c>
      <c r="AU1857" s="36">
        <f>IF(OR(Q1780="",Q1780&gt;=6),"","D")</f>
        <v/>
      </c>
    </row>
    <row r="1858" hidden="1" outlineLevel="1" ht="15" customHeight="1" s="15">
      <c r="AT1858" s="36">
        <f>IF(OR(Q1780="",Q1780=7),"","A")</f>
        <v/>
      </c>
      <c r="AU1858" s="36">
        <f>IF(OR(Q1780="",Q1780&gt;=6),"","A")</f>
        <v/>
      </c>
    </row>
    <row r="1859" hidden="1" outlineLevel="1" ht="15" customHeight="1" s="15">
      <c r="AT1859" s="36">
        <f>IF(OR(Q1780="",Q1780=7),"","F")</f>
        <v/>
      </c>
      <c r="AU1859" s="36">
        <f>IF(OR(Q1780="",Q1780&gt;=6),"","F")</f>
        <v/>
      </c>
    </row>
    <row r="1860" hidden="1" outlineLevel="1" ht="15" customHeight="1" s="15">
      <c r="AT1860" s="36">
        <f>IF(OR(Q1780="",Q1780=7),"","C")</f>
        <v/>
      </c>
      <c r="AU1860" s="36">
        <f>IF(OR(Q1780="",Q1780&gt;=6),"","C")</f>
        <v/>
      </c>
    </row>
    <row r="1861" hidden="1" outlineLevel="1" ht="15" customHeight="1" s="15">
      <c r="AT1861" s="36">
        <f>IF(AND(Q1780&lt;&gt;"",Q1780=7),"R","")</f>
        <v/>
      </c>
      <c r="AU1861" s="36">
        <f>IF(AND(Q1780&lt;&gt;"",Q1780&gt;=6),"R","")</f>
        <v/>
      </c>
    </row>
    <row r="1862" hidden="1" outlineLevel="1" ht="15" customHeight="1" s="15">
      <c r="AT1862" s="36">
        <f>IF(OR(R1780="",R1780=7),"","P")</f>
        <v/>
      </c>
      <c r="AU1862" s="36">
        <f>IF(OR(R1780="",R1780&gt;=6),"","P")</f>
        <v/>
      </c>
    </row>
    <row r="1863" hidden="1" outlineLevel="1" ht="15" customHeight="1" s="15">
      <c r="AT1863" s="36">
        <f>IF(OR(R1780="",R1780=7),"","D")</f>
        <v/>
      </c>
      <c r="AU1863" s="36">
        <f>IF(OR(R1780="",R1780&gt;=6),"","D")</f>
        <v/>
      </c>
    </row>
    <row r="1864" hidden="1" outlineLevel="1" ht="15" customHeight="1" s="15">
      <c r="AT1864" s="36">
        <f>IF(OR(R1780="",R1780=7),"","A")</f>
        <v/>
      </c>
      <c r="AU1864" s="36">
        <f>IF(OR(R1780="",R1780&gt;=6),"","A")</f>
        <v/>
      </c>
    </row>
    <row r="1865" hidden="1" outlineLevel="1" ht="15" customHeight="1" s="15">
      <c r="AT1865" s="36">
        <f>IF(OR(R1780="",R1780=7),"","F")</f>
        <v/>
      </c>
      <c r="AU1865" s="36">
        <f>IF(OR(R1780="",R1780&gt;=6),"","F")</f>
        <v/>
      </c>
    </row>
    <row r="1866" hidden="1" outlineLevel="1" ht="15" customHeight="1" s="15">
      <c r="AT1866" s="36">
        <f>IF(OR(R1780="",R1780=7),"","C")</f>
        <v/>
      </c>
      <c r="AU1866" s="36">
        <f>IF(OR(R1780="",R1780&gt;=6),"","C")</f>
        <v/>
      </c>
    </row>
    <row r="1867" hidden="1" outlineLevel="1" ht="15" customHeight="1" s="15">
      <c r="AT1867" s="36">
        <f>IF(AND(R1780&lt;&gt;"",R1780=7),"R","")</f>
        <v/>
      </c>
      <c r="AU1867" s="36">
        <f>IF(AND(R1780&lt;&gt;"",R1780&gt;=6),"R","")</f>
        <v/>
      </c>
    </row>
    <row r="1868" hidden="1" outlineLevel="1" ht="15" customHeight="1" s="15">
      <c r="AT1868" s="36">
        <f>IF(OR(S1780="",S1780=7),"","P")</f>
        <v/>
      </c>
      <c r="AU1868" s="36">
        <f>IF(OR(S1780="",S1780&gt;=6),"","P")</f>
        <v/>
      </c>
    </row>
    <row r="1869" hidden="1" outlineLevel="1" ht="15" customHeight="1" s="15">
      <c r="AT1869" s="36">
        <f>IF(OR(S1780="",S1780=7),"","D")</f>
        <v/>
      </c>
      <c r="AU1869" s="36">
        <f>IF(OR(S1780="",S1780&gt;=6),"","D")</f>
        <v/>
      </c>
    </row>
    <row r="1870" hidden="1" outlineLevel="1" ht="15" customHeight="1" s="15">
      <c r="AT1870" s="36">
        <f>IF(OR(S1780="",S1780=7),"","A")</f>
        <v/>
      </c>
      <c r="AU1870" s="36">
        <f>IF(OR(S1780="",S1780&gt;=6),"","A")</f>
        <v/>
      </c>
    </row>
    <row r="1871" hidden="1" outlineLevel="1" ht="15" customHeight="1" s="15">
      <c r="AT1871" s="36">
        <f>IF(OR(S1780="",S1780=7),"","F")</f>
        <v/>
      </c>
      <c r="AU1871" s="36">
        <f>IF(OR(S1780="",S1780&gt;=6),"","F")</f>
        <v/>
      </c>
    </row>
    <row r="1872" hidden="1" outlineLevel="1" ht="15" customHeight="1" s="15">
      <c r="AT1872" s="36">
        <f>IF(OR(S1780="",S1780=7),"","C")</f>
        <v/>
      </c>
      <c r="AU1872" s="36">
        <f>IF(OR(S1780="",S1780&gt;=6),"","C")</f>
        <v/>
      </c>
    </row>
    <row r="1873" hidden="1" outlineLevel="1" ht="15" customHeight="1" s="15">
      <c r="AT1873" s="36">
        <f>IF(AND(S1780&lt;&gt;"",S1780=7),"R","")</f>
        <v/>
      </c>
      <c r="AU1873" s="36">
        <f>IF(AND(S1780&lt;&gt;"",S1780&gt;=6),"R","")</f>
        <v/>
      </c>
    </row>
    <row r="1874" hidden="1" outlineLevel="1" ht="15" customHeight="1" s="15">
      <c r="AT1874" s="36">
        <f>IF(OR(T1780="",T1780=7),"","P")</f>
        <v/>
      </c>
      <c r="AU1874" s="36">
        <f>IF(OR(T1780="",T1780&gt;=6),"","P")</f>
        <v/>
      </c>
    </row>
    <row r="1875" hidden="1" outlineLevel="1" ht="15" customHeight="1" s="15">
      <c r="AT1875" s="36">
        <f>IF(OR(T1780="",T1780=7),"","D")</f>
        <v/>
      </c>
      <c r="AU1875" s="36">
        <f>IF(OR(T1780="",T1780&gt;=6),"","D")</f>
        <v/>
      </c>
    </row>
    <row r="1876" hidden="1" outlineLevel="1" ht="15" customHeight="1" s="15">
      <c r="AT1876" s="36">
        <f>IF(OR(T1780="",T1780=7),"","A")</f>
        <v/>
      </c>
      <c r="AU1876" s="36">
        <f>IF(OR(T1780="",T1780&gt;=6),"","A")</f>
        <v/>
      </c>
    </row>
    <row r="1877" hidden="1" outlineLevel="1" ht="15" customHeight="1" s="15">
      <c r="AT1877" s="36">
        <f>IF(OR(T1780="",T1780=7),"","F")</f>
        <v/>
      </c>
      <c r="AU1877" s="36">
        <f>IF(OR(T1780="",T1780&gt;=6),"","F")</f>
        <v/>
      </c>
    </row>
    <row r="1878" hidden="1" outlineLevel="1" ht="15" customHeight="1" s="15">
      <c r="AT1878" s="36">
        <f>IF(OR(T1780="",T1780=7),"","C")</f>
        <v/>
      </c>
      <c r="AU1878" s="36">
        <f>IF(OR(T1780="",T1780&gt;=6),"","C")</f>
        <v/>
      </c>
    </row>
    <row r="1879" hidden="1" outlineLevel="1" ht="15" customHeight="1" s="15">
      <c r="AT1879" s="36">
        <f>IF(AND(T1780&lt;&gt;"",T1780=7),"R","")</f>
        <v/>
      </c>
      <c r="AU1879" s="36">
        <f>IF(AND(T1780&lt;&gt;"",T1780&gt;=6),"R","")</f>
        <v/>
      </c>
    </row>
    <row r="1880" hidden="1" outlineLevel="1" ht="15" customHeight="1" s="15">
      <c r="AT1880" s="36">
        <f>IF(OR(U1780="",U1780=7),"","P")</f>
        <v/>
      </c>
      <c r="AU1880" s="36">
        <f>IF(OR(U1780="",U1780&gt;=6),"","P")</f>
        <v/>
      </c>
    </row>
    <row r="1881" hidden="1" outlineLevel="1" ht="15" customHeight="1" s="15">
      <c r="AT1881" s="36">
        <f>IF(OR(U1780="",U1780=7),"","D")</f>
        <v/>
      </c>
      <c r="AU1881" s="36">
        <f>IF(OR(U1780="",U1780&gt;=6),"","D")</f>
        <v/>
      </c>
    </row>
    <row r="1882" hidden="1" outlineLevel="1" ht="15" customHeight="1" s="15">
      <c r="AT1882" s="36">
        <f>IF(OR(U1780="",U1780=7),"","A")</f>
        <v/>
      </c>
      <c r="AU1882" s="36">
        <f>IF(OR(U1780="",U1780&gt;=6),"","A")</f>
        <v/>
      </c>
    </row>
    <row r="1883" hidden="1" outlineLevel="1" ht="15" customHeight="1" s="15">
      <c r="AT1883" s="36">
        <f>IF(OR(U1780="",U1780=7),"","F")</f>
        <v/>
      </c>
      <c r="AU1883" s="36">
        <f>IF(OR(U1780="",U1780&gt;=6),"","F")</f>
        <v/>
      </c>
    </row>
    <row r="1884" hidden="1" outlineLevel="1" ht="15" customHeight="1" s="15">
      <c r="AT1884" s="36">
        <f>IF(OR(U1780="",U1780=7),"","C")</f>
        <v/>
      </c>
      <c r="AU1884" s="36">
        <f>IF(OR(U1780="",U1780&gt;=6),"","C")</f>
        <v/>
      </c>
    </row>
    <row r="1885" hidden="1" outlineLevel="1" ht="15" customHeight="1" s="15">
      <c r="AT1885" s="36">
        <f>IF(AND(U1780&lt;&gt;"",U1780=7),"R","")</f>
        <v/>
      </c>
      <c r="AU1885" s="36">
        <f>IF(AND(U1780&lt;&gt;"",U1780&gt;=6),"R","")</f>
        <v/>
      </c>
    </row>
    <row r="1886" hidden="1" outlineLevel="1" ht="15" customHeight="1" s="15">
      <c r="AT1886" s="36">
        <f>IF(OR(V1780="",V1780=7),"","P")</f>
        <v/>
      </c>
      <c r="AU1886" s="36">
        <f>IF(OR(V1780="",V1780&gt;=6),"","P")</f>
        <v/>
      </c>
    </row>
    <row r="1887" hidden="1" outlineLevel="1" ht="15" customHeight="1" s="15">
      <c r="AT1887" s="36">
        <f>IF(OR(V1780="",V1780=7),"","D")</f>
        <v/>
      </c>
      <c r="AU1887" s="36">
        <f>IF(OR(V1780="",V1780&gt;=6),"","D")</f>
        <v/>
      </c>
    </row>
    <row r="1888" hidden="1" outlineLevel="1" ht="15" customHeight="1" s="15">
      <c r="AT1888" s="36">
        <f>IF(OR(V1780="",V1780=7),"","A")</f>
        <v/>
      </c>
      <c r="AU1888" s="36">
        <f>IF(OR(V1780="",V1780&gt;=6),"","A")</f>
        <v/>
      </c>
    </row>
    <row r="1889" hidden="1" outlineLevel="1" ht="15" customHeight="1" s="15">
      <c r="AT1889" s="36">
        <f>IF(OR(V1780="",V1780=7),"","F")</f>
        <v/>
      </c>
      <c r="AU1889" s="36">
        <f>IF(OR(V1780="",V1780&gt;=6),"","F")</f>
        <v/>
      </c>
    </row>
    <row r="1890" hidden="1" outlineLevel="1" ht="15" customHeight="1" s="15">
      <c r="AT1890" s="36">
        <f>IF(OR(V1780="",V1780=7),"","C")</f>
        <v/>
      </c>
      <c r="AU1890" s="36">
        <f>IF(OR(V1780="",V1780&gt;=6),"","C")</f>
        <v/>
      </c>
    </row>
    <row r="1891" hidden="1" outlineLevel="1" ht="15" customHeight="1" s="15">
      <c r="AT1891" s="36">
        <f>IF(AND(V1780&lt;&gt;"",V1780=7),"R","")</f>
        <v/>
      </c>
      <c r="AU1891" s="36">
        <f>IF(AND(V1780&lt;&gt;"",V1780&gt;=6),"R","")</f>
        <v/>
      </c>
    </row>
    <row r="1892" hidden="1" outlineLevel="1" ht="15" customHeight="1" s="15">
      <c r="AT1892" s="36">
        <f>IF(OR(W1780="",W1780=7),"","P")</f>
        <v/>
      </c>
      <c r="AU1892" s="36">
        <f>IF(OR(W1780="",W1780&gt;=6),"","P")</f>
        <v/>
      </c>
    </row>
    <row r="1893" hidden="1" outlineLevel="1" ht="15" customHeight="1" s="15">
      <c r="AT1893" s="36">
        <f>IF(OR(W1780="",W1780=7),"","D")</f>
        <v/>
      </c>
      <c r="AU1893" s="36">
        <f>IF(OR(W1780="",W1780&gt;=6),"","D")</f>
        <v/>
      </c>
    </row>
    <row r="1894" hidden="1" outlineLevel="1" ht="15" customHeight="1" s="15">
      <c r="AT1894" s="36">
        <f>IF(OR(W1780="",W1780=7),"","A")</f>
        <v/>
      </c>
      <c r="AU1894" s="36">
        <f>IF(OR(W1780="",W1780&gt;=6),"","A")</f>
        <v/>
      </c>
    </row>
    <row r="1895" hidden="1" outlineLevel="1" ht="15" customHeight="1" s="15">
      <c r="AT1895" s="36">
        <f>IF(OR(W1780="",W1780=7),"","F")</f>
        <v/>
      </c>
      <c r="AU1895" s="36">
        <f>IF(OR(W1780="",W1780&gt;=6),"","F")</f>
        <v/>
      </c>
    </row>
    <row r="1896" hidden="1" outlineLevel="1" ht="15" customHeight="1" s="15">
      <c r="AT1896" s="36">
        <f>IF(OR(W1780="",W1780=7),"","C")</f>
        <v/>
      </c>
      <c r="AU1896" s="36">
        <f>IF(OR(W1780="",W1780&gt;=6),"","C")</f>
        <v/>
      </c>
    </row>
    <row r="1897" hidden="1" outlineLevel="1" ht="15" customHeight="1" s="15">
      <c r="AT1897" s="36">
        <f>IF(AND(W1780&lt;&gt;"",W1780=7),"R","")</f>
        <v/>
      </c>
      <c r="AU1897" s="36">
        <f>IF(AND(W1780&lt;&gt;"",W1780&gt;=6),"R","")</f>
        <v/>
      </c>
    </row>
    <row r="1898" hidden="1" outlineLevel="1" ht="15" customHeight="1" s="15">
      <c r="AT1898" s="36">
        <f>IF(OR(X1780="",X1780=7),"","P")</f>
        <v/>
      </c>
      <c r="AU1898" s="36">
        <f>IF(OR(X1780="",X1780&gt;=6),"","P")</f>
        <v/>
      </c>
    </row>
    <row r="1899" hidden="1" outlineLevel="1" ht="15" customHeight="1" s="15">
      <c r="AT1899" s="36">
        <f>IF(OR(X1780="",X1780=7),"","D")</f>
        <v/>
      </c>
      <c r="AU1899" s="36">
        <f>IF(OR(X1780="",X1780&gt;=6),"","D")</f>
        <v/>
      </c>
    </row>
    <row r="1900" hidden="1" outlineLevel="1" ht="15" customHeight="1" s="15">
      <c r="AT1900" s="36">
        <f>IF(OR(X1780="",X1780=7),"","A")</f>
        <v/>
      </c>
      <c r="AU1900" s="36">
        <f>IF(OR(X1780="",X1780&gt;=6),"","A")</f>
        <v/>
      </c>
    </row>
    <row r="1901" hidden="1" outlineLevel="1" ht="15" customHeight="1" s="15">
      <c r="AT1901" s="36">
        <f>IF(OR(X1780="",X1780=7),"","F")</f>
        <v/>
      </c>
      <c r="AU1901" s="36">
        <f>IF(OR(X1780="",X1780&gt;=6),"","F")</f>
        <v/>
      </c>
    </row>
    <row r="1902" hidden="1" outlineLevel="1" ht="15" customHeight="1" s="15">
      <c r="AT1902" s="36">
        <f>IF(OR(X1780="",X1780=7),"","C")</f>
        <v/>
      </c>
      <c r="AU1902" s="36">
        <f>IF(OR(X1780="",X1780&gt;=6),"","C")</f>
        <v/>
      </c>
    </row>
    <row r="1903" hidden="1" outlineLevel="1" ht="15" customHeight="1" s="15">
      <c r="AT1903" s="36">
        <f>IF(AND(X1780&lt;&gt;"",X1780=7),"R","")</f>
        <v/>
      </c>
      <c r="AU1903" s="36">
        <f>IF(AND(X1780&lt;&gt;"",X1780&gt;=6),"R","")</f>
        <v/>
      </c>
    </row>
    <row r="1904" hidden="1" outlineLevel="1" ht="15" customHeight="1" s="15">
      <c r="AT1904" s="36">
        <f>IF(OR(Y1780="",Y1780=7),"","P")</f>
        <v/>
      </c>
      <c r="AU1904" s="36">
        <f>IF(OR(Y1780="",Y1780&gt;=6),"","P")</f>
        <v/>
      </c>
    </row>
    <row r="1905" hidden="1" outlineLevel="1" ht="15" customHeight="1" s="15">
      <c r="AT1905" s="36">
        <f>IF(OR(Y1780="",Y1780=7),"","D")</f>
        <v/>
      </c>
      <c r="AU1905" s="36">
        <f>IF(OR(Y1780="",Y1780&gt;=6),"","D")</f>
        <v/>
      </c>
    </row>
    <row r="1906" hidden="1" outlineLevel="1" ht="15" customHeight="1" s="15">
      <c r="AT1906" s="36">
        <f>IF(OR(Y1780="",Y1780=7),"","A")</f>
        <v/>
      </c>
      <c r="AU1906" s="36">
        <f>IF(OR(Y1780="",Y1780&gt;=6),"","A")</f>
        <v/>
      </c>
    </row>
    <row r="1907" hidden="1" outlineLevel="1" ht="15" customHeight="1" s="15">
      <c r="AT1907" s="36">
        <f>IF(OR(Y1780="",Y1780=7),"","F")</f>
        <v/>
      </c>
      <c r="AU1907" s="36">
        <f>IF(OR(Y1780="",Y1780&gt;=6),"","F")</f>
        <v/>
      </c>
    </row>
    <row r="1908" hidden="1" outlineLevel="1" ht="15" customHeight="1" s="15">
      <c r="AT1908" s="36">
        <f>IF(OR(Y1780="",Y1780=7),"","C")</f>
        <v/>
      </c>
      <c r="AU1908" s="36">
        <f>IF(OR(Y1780="",Y1780&gt;=6),"","C")</f>
        <v/>
      </c>
    </row>
    <row r="1909" hidden="1" outlineLevel="1" ht="15" customHeight="1" s="15">
      <c r="AT1909" s="36">
        <f>IF(AND(Y1780&lt;&gt;"",Y1780=7),"R","")</f>
        <v/>
      </c>
      <c r="AU1909" s="36">
        <f>IF(AND(Y1780&lt;&gt;"",Y1780&gt;=6),"R","")</f>
        <v/>
      </c>
    </row>
    <row r="1910" hidden="1" outlineLevel="1" ht="15" customHeight="1" s="15">
      <c r="AT1910" s="36">
        <f>IF(OR(Z1780="",Z1780=7),"","P")</f>
        <v/>
      </c>
      <c r="AU1910" s="36">
        <f>IF(OR(Z1780="",Z1780&gt;=6),"","P")</f>
        <v/>
      </c>
    </row>
    <row r="1911" hidden="1" outlineLevel="1" ht="15" customHeight="1" s="15">
      <c r="AT1911" s="36">
        <f>IF(OR(Z1780="",Z1780=7),"","D")</f>
        <v/>
      </c>
      <c r="AU1911" s="36">
        <f>IF(OR(Z1780="",Z1780&gt;=6),"","D")</f>
        <v/>
      </c>
    </row>
    <row r="1912" hidden="1" outlineLevel="1" ht="15" customHeight="1" s="15">
      <c r="AT1912" s="36">
        <f>IF(OR(Z1780="",Z1780=7),"","A")</f>
        <v/>
      </c>
      <c r="AU1912" s="36">
        <f>IF(OR(Z1780="",Z1780&gt;=6),"","A")</f>
        <v/>
      </c>
    </row>
    <row r="1913" hidden="1" outlineLevel="1" ht="15" customHeight="1" s="15">
      <c r="AT1913" s="36">
        <f>IF(OR(Z1780="",Z1780=7),"","F")</f>
        <v/>
      </c>
      <c r="AU1913" s="36">
        <f>IF(OR(Z1780="",Z1780&gt;=6),"","F")</f>
        <v/>
      </c>
    </row>
    <row r="1914" hidden="1" outlineLevel="1" ht="15" customHeight="1" s="15">
      <c r="AT1914" s="36">
        <f>IF(OR(Z1780="",Z1780=7),"","C")</f>
        <v/>
      </c>
      <c r="AU1914" s="36">
        <f>IF(OR(Z1780="",Z1780&gt;=6),"","C")</f>
        <v/>
      </c>
    </row>
    <row r="1915" hidden="1" outlineLevel="1" ht="15" customHeight="1" s="15">
      <c r="AT1915" s="36">
        <f>IF(AND(Z1780&lt;&gt;"",Z1780=7),"R","")</f>
        <v/>
      </c>
      <c r="AU1915" s="36">
        <f>IF(AND(Z1780&lt;&gt;"",Z1780&gt;=6),"R","")</f>
        <v/>
      </c>
    </row>
    <row r="1916" hidden="1" outlineLevel="1" ht="15" customHeight="1" s="15">
      <c r="AT1916" s="36">
        <f>IF(OR(AA1780="",AA1780=7),"","P")</f>
        <v/>
      </c>
      <c r="AU1916" s="36">
        <f>IF(OR(AA1780="",AA1780&gt;=6),"","P")</f>
        <v/>
      </c>
    </row>
    <row r="1917" hidden="1" outlineLevel="1" ht="15" customHeight="1" s="15">
      <c r="AT1917" s="36">
        <f>IF(OR(AA1780="",AA1780=7),"","D")</f>
        <v/>
      </c>
      <c r="AU1917" s="36">
        <f>IF(OR(AA1780="",AA1780&gt;=6),"","D")</f>
        <v/>
      </c>
    </row>
    <row r="1918" hidden="1" outlineLevel="1" ht="15" customHeight="1" s="15">
      <c r="AT1918" s="36">
        <f>IF(OR(AA1780="",AA1780=7),"","A")</f>
        <v/>
      </c>
      <c r="AU1918" s="36">
        <f>IF(OR(AA1780="",AA1780&gt;=6),"","A")</f>
        <v/>
      </c>
    </row>
    <row r="1919" hidden="1" outlineLevel="1" ht="15" customHeight="1" s="15">
      <c r="AT1919" s="36">
        <f>IF(OR(AA1780="",AA1780=7),"","F")</f>
        <v/>
      </c>
      <c r="AU1919" s="36">
        <f>IF(OR(AA1780="",AA1780&gt;=6),"","F")</f>
        <v/>
      </c>
    </row>
    <row r="1920" hidden="1" outlineLevel="1" ht="15" customHeight="1" s="15">
      <c r="AT1920" s="36">
        <f>IF(OR(AA1780="",AA1780=7),"","C")</f>
        <v/>
      </c>
      <c r="AU1920" s="36">
        <f>IF(OR(AA1780="",AA1780&gt;=6),"","C")</f>
        <v/>
      </c>
    </row>
    <row r="1921" hidden="1" outlineLevel="1" ht="15" customHeight="1" s="15">
      <c r="AT1921" s="36">
        <f>IF(AND(AA1780&lt;&gt;"",AA1780=7),"R","")</f>
        <v/>
      </c>
      <c r="AU1921" s="36">
        <f>IF(AND(AA1780&lt;&gt;"",AA1780&gt;=6),"R","")</f>
        <v/>
      </c>
    </row>
    <row r="1922" hidden="1" outlineLevel="1" ht="15" customHeight="1" s="15">
      <c r="AT1922" s="36">
        <f>IF(OR(AB1780="",AB1780=7),"","P")</f>
        <v/>
      </c>
      <c r="AU1922" s="36">
        <f>IF(OR(AB1780="",AB1780&gt;=6),"","P")</f>
        <v/>
      </c>
    </row>
    <row r="1923" hidden="1" outlineLevel="1" ht="15" customHeight="1" s="15">
      <c r="AT1923" s="36">
        <f>IF(OR(AB1780="",AB1780=7),"","D")</f>
        <v/>
      </c>
      <c r="AU1923" s="36">
        <f>IF(OR(AB1780="",AB1780&gt;=6),"","D")</f>
        <v/>
      </c>
    </row>
    <row r="1924" hidden="1" outlineLevel="1" ht="15" customHeight="1" s="15">
      <c r="AT1924" s="36">
        <f>IF(OR(AB1780="",AB1780=7),"","A")</f>
        <v/>
      </c>
      <c r="AU1924" s="36">
        <f>IF(OR(AB1780="",AB1780&gt;=6),"","A")</f>
        <v/>
      </c>
    </row>
    <row r="1925" hidden="1" outlineLevel="1" ht="15" customHeight="1" s="15">
      <c r="AT1925" s="36">
        <f>IF(OR(AB1780="",AB1780=7),"","F")</f>
        <v/>
      </c>
      <c r="AU1925" s="36">
        <f>IF(OR(AB1780="",AB1780&gt;=6),"","F")</f>
        <v/>
      </c>
    </row>
    <row r="1926" hidden="1" outlineLevel="1" ht="15" customHeight="1" s="15">
      <c r="AT1926" s="36">
        <f>IF(OR(AB1780="",AB1780=7),"","C")</f>
        <v/>
      </c>
      <c r="AU1926" s="36">
        <f>IF(OR(AB1780="",AB1780&gt;=6),"","C")</f>
        <v/>
      </c>
    </row>
    <row r="1927" hidden="1" outlineLevel="1" ht="15" customHeight="1" s="15">
      <c r="AT1927" s="36">
        <f>IF(AND(AB1780&lt;&gt;"",AB1780=7),"R","")</f>
        <v/>
      </c>
      <c r="AU1927" s="36">
        <f>IF(AND(AB1780&lt;&gt;"",AB1780&gt;=6),"R","")</f>
        <v/>
      </c>
    </row>
    <row r="1928" hidden="1" outlineLevel="1" ht="15" customHeight="1" s="15">
      <c r="AT1928" s="36">
        <f>IF(OR(AC1780="",AC1780=7),"","P")</f>
        <v/>
      </c>
      <c r="AU1928" s="36">
        <f>IF(OR(AC1780="",AC1780&gt;=6),"","P")</f>
        <v/>
      </c>
    </row>
    <row r="1929" hidden="1" outlineLevel="1" ht="15" customHeight="1" s="15">
      <c r="AT1929" s="36">
        <f>IF(OR(AC1780="",AC1780=7),"","D")</f>
        <v/>
      </c>
      <c r="AU1929" s="36">
        <f>IF(OR(AC1780="",AC1780&gt;=6),"","D")</f>
        <v/>
      </c>
    </row>
    <row r="1930" hidden="1" outlineLevel="1" ht="15" customHeight="1" s="15">
      <c r="AT1930" s="36">
        <f>IF(OR(AC1780="",AC1780=7),"","A")</f>
        <v/>
      </c>
      <c r="AU1930" s="36">
        <f>IF(OR(AC1780="",AC1780&gt;=6),"","A")</f>
        <v/>
      </c>
    </row>
    <row r="1931" hidden="1" outlineLevel="1" ht="15" customHeight="1" s="15">
      <c r="AT1931" s="36">
        <f>IF(OR(AC1780="",AC1780=7),"","F")</f>
        <v/>
      </c>
      <c r="AU1931" s="36">
        <f>IF(OR(AC1780="",AC1780&gt;=6),"","F")</f>
        <v/>
      </c>
    </row>
    <row r="1932" hidden="1" outlineLevel="1" ht="15" customHeight="1" s="15">
      <c r="AT1932" s="36">
        <f>IF(OR(AC1780="",AC1780=7),"","C")</f>
        <v/>
      </c>
      <c r="AU1932" s="36">
        <f>IF(OR(AC1780="",AC1780&gt;=6),"","C")</f>
        <v/>
      </c>
    </row>
    <row r="1933" hidden="1" outlineLevel="1" ht="15" customHeight="1" s="15">
      <c r="AT1933" s="36">
        <f>IF(AND(AC1780&lt;&gt;"",AC1780=7),"R","")</f>
        <v/>
      </c>
      <c r="AU1933" s="36">
        <f>IF(AND(AC1780&lt;&gt;"",AC1780&gt;=6),"R","")</f>
        <v/>
      </c>
    </row>
    <row r="1934" hidden="1" outlineLevel="1" ht="15" customHeight="1" s="15">
      <c r="AT1934" s="36">
        <f>IF(OR(AD1780="",AD1780=7),"","P")</f>
        <v/>
      </c>
      <c r="AU1934" s="36">
        <f>IF(OR(AD1780="",AD1780&gt;=6),"","P")</f>
        <v/>
      </c>
    </row>
    <row r="1935" hidden="1" outlineLevel="1" ht="15" customHeight="1" s="15">
      <c r="AT1935" s="36">
        <f>IF(OR(AD1780="",AD1780=7),"","D")</f>
        <v/>
      </c>
      <c r="AU1935" s="36">
        <f>IF(OR(AD1780="",AD1780&gt;=6),"","D")</f>
        <v/>
      </c>
    </row>
    <row r="1936" hidden="1" outlineLevel="1" ht="15" customHeight="1" s="15">
      <c r="AT1936" s="36">
        <f>IF(OR(AD1780="",AD1780=7),"","A")</f>
        <v/>
      </c>
      <c r="AU1936" s="36">
        <f>IF(OR(AD1780="",AD1780&gt;=6),"","A")</f>
        <v/>
      </c>
    </row>
    <row r="1937" hidden="1" outlineLevel="1" ht="15" customHeight="1" s="15">
      <c r="AT1937" s="36">
        <f>IF(OR(AD1780="",AD1780=7),"","F")</f>
        <v/>
      </c>
      <c r="AU1937" s="36">
        <f>IF(OR(AD1780="",AD1780&gt;=6),"","F")</f>
        <v/>
      </c>
    </row>
    <row r="1938" hidden="1" outlineLevel="1" ht="15" customHeight="1" s="15">
      <c r="AT1938" s="36">
        <f>IF(OR(AD1780="",AD1780=7),"","C")</f>
        <v/>
      </c>
      <c r="AU1938" s="36">
        <f>IF(OR(AD1780="",AD1780&gt;=6),"","C")</f>
        <v/>
      </c>
    </row>
    <row r="1939" hidden="1" outlineLevel="1" ht="15" customHeight="1" s="15">
      <c r="AT1939" s="36">
        <f>IF(AND(AD1780&lt;&gt;"",AD1780=7),"R","")</f>
        <v/>
      </c>
      <c r="AU1939" s="36">
        <f>IF(AND(AD1780&lt;&gt;"",AD1780&gt;=6),"R","")</f>
        <v/>
      </c>
    </row>
    <row r="1940" hidden="1" outlineLevel="1" ht="15" customHeight="1" s="15">
      <c r="AT1940" s="36">
        <f>IF(OR(AE1780="",AE1780=7),"","P")</f>
        <v/>
      </c>
      <c r="AU1940" s="36">
        <f>IF(OR(AE1780="",AE1780&gt;=6),"","P")</f>
        <v/>
      </c>
    </row>
    <row r="1941" hidden="1" outlineLevel="1" ht="15" customHeight="1" s="15">
      <c r="AT1941" s="36">
        <f>IF(OR(AE1780="",AE1780=7),"","D")</f>
        <v/>
      </c>
      <c r="AU1941" s="36">
        <f>IF(OR(AE1780="",AE1780&gt;=6),"","D")</f>
        <v/>
      </c>
    </row>
    <row r="1942" hidden="1" outlineLevel="1" ht="15" customHeight="1" s="15">
      <c r="AT1942" s="36">
        <f>IF(OR(AE1780="",AE1780=7),"","A")</f>
        <v/>
      </c>
      <c r="AU1942" s="36">
        <f>IF(OR(AE1780="",AE1780&gt;=6),"","A")</f>
        <v/>
      </c>
    </row>
    <row r="1943" hidden="1" outlineLevel="1" ht="15" customHeight="1" s="15">
      <c r="AT1943" s="36">
        <f>IF(OR(AE1780="",AE1780=7),"","F")</f>
        <v/>
      </c>
      <c r="AU1943" s="36">
        <f>IF(OR(AE1780="",AE1780&gt;=6),"","F")</f>
        <v/>
      </c>
    </row>
    <row r="1944" hidden="1" outlineLevel="1" ht="15" customHeight="1" s="15">
      <c r="AT1944" s="36">
        <f>IF(OR(AE1780="",AE1780=7),"","C")</f>
        <v/>
      </c>
      <c r="AU1944" s="36">
        <f>IF(OR(AE1780="",AE1780&gt;=6),"","C")</f>
        <v/>
      </c>
    </row>
    <row r="1945" hidden="1" outlineLevel="1" ht="15" customHeight="1" s="15">
      <c r="AT1945" s="36">
        <f>IF(AND(AE1780&lt;&gt;"",AE1780=7),"R","")</f>
        <v/>
      </c>
      <c r="AU1945" s="36">
        <f>IF(AND(AE1780&lt;&gt;"",AE1780&gt;=6),"R","")</f>
        <v/>
      </c>
    </row>
    <row r="1946" hidden="1" outlineLevel="1" ht="15" customHeight="1" s="15">
      <c r="AT1946" s="36">
        <f>IF(OR(AF1780="",AF1780=7),"","P")</f>
        <v/>
      </c>
      <c r="AU1946" s="36">
        <f>IF(OR(AF1780="",AF1780&gt;=6),"","P")</f>
        <v/>
      </c>
    </row>
    <row r="1947" hidden="1" outlineLevel="1" ht="15" customHeight="1" s="15">
      <c r="AT1947" s="36">
        <f>IF(OR(AF1780="",AF1780=7),"","D")</f>
        <v/>
      </c>
      <c r="AU1947" s="36">
        <f>IF(OR(AF1780="",AF1780&gt;=6),"","D")</f>
        <v/>
      </c>
    </row>
    <row r="1948" hidden="1" outlineLevel="1" ht="15" customHeight="1" s="15">
      <c r="AT1948" s="36">
        <f>IF(OR(AF1780="",AF1780=7),"","A")</f>
        <v/>
      </c>
      <c r="AU1948" s="36">
        <f>IF(OR(AF1780="",AF1780&gt;=6),"","A")</f>
        <v/>
      </c>
    </row>
    <row r="1949" hidden="1" outlineLevel="1" ht="15" customHeight="1" s="15">
      <c r="AT1949" s="36">
        <f>IF(OR(AF1780="",AF1780=7),"","F")</f>
        <v/>
      </c>
      <c r="AU1949" s="36">
        <f>IF(OR(AF1780="",AF1780&gt;=6),"","F")</f>
        <v/>
      </c>
    </row>
    <row r="1950" hidden="1" outlineLevel="1" ht="15" customHeight="1" s="15">
      <c r="AT1950" s="36">
        <f>IF(OR(AF1780="",AF1780=7),"","C")</f>
        <v/>
      </c>
      <c r="AU1950" s="36">
        <f>IF(OR(AF1780="",AF1780&gt;=6),"","C")</f>
        <v/>
      </c>
    </row>
    <row r="1951" hidden="1" outlineLevel="1" ht="15" customHeight="1" s="15">
      <c r="AT1951" s="36">
        <f>IF(AND(AF1780&lt;&gt;"",AF1780=7),"R","")</f>
        <v/>
      </c>
      <c r="AU1951" s="36">
        <f>IF(AND(AF1780&lt;&gt;"",AF1780&gt;=6),"R","")</f>
        <v/>
      </c>
    </row>
    <row r="1952" hidden="1" outlineLevel="1" ht="15" customHeight="1" s="15">
      <c r="AT1952" s="36">
        <f>IF(OR(AG1780="",AG1780=7),"","P")</f>
        <v/>
      </c>
      <c r="AU1952" s="36">
        <f>IF(OR(AG1780="",AG1780&gt;=6),"","P")</f>
        <v/>
      </c>
    </row>
    <row r="1953" hidden="1" outlineLevel="1" ht="15" customHeight="1" s="15">
      <c r="AT1953" s="36">
        <f>IF(OR(AG1780="",AG1780=7),"","D")</f>
        <v/>
      </c>
      <c r="AU1953" s="36">
        <f>IF(OR(AG1780="",AG1780&gt;=6),"","D")</f>
        <v/>
      </c>
    </row>
    <row r="1954" hidden="1" outlineLevel="1" ht="15" customHeight="1" s="15">
      <c r="AT1954" s="36">
        <f>IF(OR(AG1780="",AG1780=7),"","A")</f>
        <v/>
      </c>
      <c r="AU1954" s="36">
        <f>IF(OR(AG1780="",AG1780&gt;=6),"","A")</f>
        <v/>
      </c>
    </row>
    <row r="1955" hidden="1" outlineLevel="1" ht="15" customHeight="1" s="15">
      <c r="AT1955" s="36">
        <f>IF(OR(AG1780="",AG1780=7),"","F")</f>
        <v/>
      </c>
      <c r="AU1955" s="36">
        <f>IF(OR(AG1780="",AG1780&gt;=6),"","F")</f>
        <v/>
      </c>
    </row>
    <row r="1956" hidden="1" outlineLevel="1" ht="15" customHeight="1" s="15">
      <c r="AT1956" s="36">
        <f>IF(OR(AG1780="",AG1780=7),"","C")</f>
        <v/>
      </c>
      <c r="AU1956" s="36">
        <f>IF(OR(AG1780="",AG1780&gt;=6),"","C")</f>
        <v/>
      </c>
    </row>
    <row r="1957" hidden="1" outlineLevel="1" ht="15" customHeight="1" s="15">
      <c r="AT1957" s="36">
        <f>IF(AND(AG1780&lt;&gt;"",AG1780=7),"R","")</f>
        <v/>
      </c>
      <c r="AU1957" s="36">
        <f>IF(AND(AG1780&lt;&gt;"",AG1780&gt;=6),"R","")</f>
        <v/>
      </c>
    </row>
    <row r="1958" hidden="1" outlineLevel="1" ht="15" customHeight="1" s="15">
      <c r="AT1958" s="36">
        <f>IF(OR(AH1780="",AH1780=7),"","P")</f>
        <v/>
      </c>
      <c r="AU1958" s="36">
        <f>IF(OR(AH1780="",AH1780&gt;=6),"","P")</f>
        <v/>
      </c>
    </row>
    <row r="1959" hidden="1" outlineLevel="1" ht="15" customHeight="1" s="15">
      <c r="AT1959" s="36">
        <f>IF(OR(AH1780="",AH1780=7),"","D")</f>
        <v/>
      </c>
      <c r="AU1959" s="36">
        <f>IF(OR(AH1780="",AH1780&gt;=6),"","D")</f>
        <v/>
      </c>
    </row>
    <row r="1960" hidden="1" outlineLevel="1" ht="15" customHeight="1" s="15">
      <c r="AT1960" s="36">
        <f>IF(OR(AH1780="",AH1780=7),"","A")</f>
        <v/>
      </c>
      <c r="AU1960" s="36">
        <f>IF(OR(AH1780="",AH1780&gt;=6),"","A")</f>
        <v/>
      </c>
    </row>
    <row r="1961" hidden="1" outlineLevel="1" ht="15" customHeight="1" s="15">
      <c r="AT1961" s="36">
        <f>IF(OR(AH1780="",AH1780=7),"","F")</f>
        <v/>
      </c>
      <c r="AU1961" s="36">
        <f>IF(OR(AH1780="",AH1780&gt;=6),"","F")</f>
        <v/>
      </c>
    </row>
    <row r="1962" hidden="1" outlineLevel="1" ht="15" customHeight="1" s="15">
      <c r="AT1962" s="36">
        <f>IF(OR(AH1780="",AH1780=7),"","C")</f>
        <v/>
      </c>
      <c r="AU1962" s="36">
        <f>IF(OR(AH1780="",AH1780&gt;=6),"","C")</f>
        <v/>
      </c>
    </row>
    <row r="1963" hidden="1" outlineLevel="1" ht="15" customHeight="1" s="15">
      <c r="AT1963" s="36">
        <f>IF(AND(AH1780&lt;&gt;"",AH1780=7),"R","")</f>
        <v/>
      </c>
      <c r="AU1963" s="36">
        <f>IF(AND(AH1780&lt;&gt;"",AH1780&gt;=6),"R","")</f>
        <v/>
      </c>
    </row>
    <row r="1964" hidden="1" outlineLevel="1" ht="15" customHeight="1" s="15">
      <c r="AT1964" s="36">
        <f>IF(OR(AI1780="",AI1780=7),"","P")</f>
        <v/>
      </c>
      <c r="AU1964" s="36">
        <f>IF(OR(AI1780="",AI1780&gt;=6),"","P")</f>
        <v/>
      </c>
    </row>
    <row r="1965" hidden="1" outlineLevel="1" ht="15" customHeight="1" s="15">
      <c r="AT1965" s="36">
        <f>IF(OR(AI1780="",AI1780=7),"","D")</f>
        <v/>
      </c>
      <c r="AU1965" s="36">
        <f>IF(OR(AI1780="",AI1780&gt;=6),"","D")</f>
        <v/>
      </c>
    </row>
    <row r="1966" hidden="1" outlineLevel="1" ht="15" customHeight="1" s="15">
      <c r="AT1966" s="36">
        <f>IF(OR(AI1780="",AI1780=7),"","A")</f>
        <v/>
      </c>
      <c r="AU1966" s="36">
        <f>IF(OR(AI1780="",AI1780&gt;=6),"","A")</f>
        <v/>
      </c>
    </row>
    <row r="1967" hidden="1" outlineLevel="1" ht="15" customHeight="1" s="15">
      <c r="AT1967" s="36">
        <f>IF(OR(AI1780="",AI1780=7),"","F")</f>
        <v/>
      </c>
      <c r="AU1967" s="36">
        <f>IF(OR(AI1780="",AI1780&gt;=6),"","F")</f>
        <v/>
      </c>
    </row>
    <row r="1968" hidden="1" outlineLevel="1" ht="15" customHeight="1" s="15">
      <c r="AT1968" s="36">
        <f>IF(OR(AI1780="",AI1780=7),"","C")</f>
        <v/>
      </c>
      <c r="AU1968" s="36">
        <f>IF(OR(AI1780="",AI1780&gt;=6),"","C")</f>
        <v/>
      </c>
    </row>
    <row r="1969" hidden="1" outlineLevel="1" ht="15" customHeight="1" s="15">
      <c r="AT1969" s="36">
        <f>IF(AND(AI1780&lt;&gt;"",AI1780=7),"R","")</f>
        <v/>
      </c>
      <c r="AU1969" s="36">
        <f>IF(AND(AI1780&lt;&gt;"",AI1780&gt;=6),"R","")</f>
        <v/>
      </c>
    </row>
    <row r="1970" hidden="1" outlineLevel="1" ht="15" customHeight="1" s="15">
      <c r="AT1970" s="36">
        <f>IF(OR(AJ1780="",AJ1780=7),"","P")</f>
        <v/>
      </c>
      <c r="AU1970" s="36">
        <f>IF(OR(AJ1780="",AJ1780&gt;=6),"","P")</f>
        <v/>
      </c>
    </row>
    <row r="1971" hidden="1" outlineLevel="1" ht="15" customHeight="1" s="15">
      <c r="AT1971" s="36">
        <f>IF(OR(AJ1780="",AJ1780=7),"","D")</f>
        <v/>
      </c>
      <c r="AU1971" s="36">
        <f>IF(OR(AJ1780="",AJ1780&gt;=6),"","D")</f>
        <v/>
      </c>
    </row>
    <row r="1972" hidden="1" outlineLevel="1" ht="15" customHeight="1" s="15">
      <c r="AT1972" s="36">
        <f>IF(OR(AJ1780="",AJ1780=7),"","A")</f>
        <v/>
      </c>
      <c r="AU1972" s="36">
        <f>IF(OR(AJ1780="",AJ1780&gt;=6),"","A")</f>
        <v/>
      </c>
    </row>
    <row r="1973" hidden="1" outlineLevel="1" ht="15" customHeight="1" s="15">
      <c r="AT1973" s="36">
        <f>IF(OR(AJ1780="",AJ1780=7),"","F")</f>
        <v/>
      </c>
      <c r="AU1973" s="36">
        <f>IF(OR(AJ1780="",AJ1780&gt;=6),"","F")</f>
        <v/>
      </c>
    </row>
    <row r="1974" hidden="1" outlineLevel="1" ht="15" customHeight="1" s="15">
      <c r="AT1974" s="36">
        <f>IF(OR(AJ1780="",AJ1780=7),"","C")</f>
        <v/>
      </c>
      <c r="AU1974" s="36">
        <f>IF(OR(AJ1780="",AJ1780&gt;=6),"","C")</f>
        <v/>
      </c>
    </row>
    <row r="1975" hidden="1" outlineLevel="1" ht="15" customHeight="1" s="15">
      <c r="AT1975" s="36">
        <f>IF(AND(AJ1780&lt;&gt;"",AJ1780=7),"R","")</f>
        <v/>
      </c>
      <c r="AU1975" s="36">
        <f>IF(AND(AJ1780&lt;&gt;"",AJ1780&gt;=6),"R","")</f>
        <v/>
      </c>
    </row>
    <row r="1976" hidden="1" outlineLevel="1" ht="15" customHeight="1" s="15">
      <c r="AT1976" s="36">
        <f>IF(OR(AK1780="",AK1780=7),"","P")</f>
        <v/>
      </c>
      <c r="AU1976" s="36">
        <f>IF(OR(AK1780="",AK1780&gt;=6),"","P")</f>
        <v/>
      </c>
    </row>
    <row r="1977" hidden="1" outlineLevel="1" ht="15" customHeight="1" s="15">
      <c r="AT1977" s="36">
        <f>IF(OR(AK1780="",AK1780=7),"","D")</f>
        <v/>
      </c>
      <c r="AU1977" s="36">
        <f>IF(OR(AK1780="",AK1780&gt;=6),"","D")</f>
        <v/>
      </c>
    </row>
    <row r="1978" hidden="1" outlineLevel="1" ht="15" customHeight="1" s="15">
      <c r="AT1978" s="36">
        <f>IF(OR(AK1780="",AK1780=7),"","A")</f>
        <v/>
      </c>
      <c r="AU1978" s="36">
        <f>IF(OR(AK1780="",AK1780&gt;=6),"","A")</f>
        <v/>
      </c>
    </row>
    <row r="1979" hidden="1" outlineLevel="1" ht="15" customHeight="1" s="15">
      <c r="AT1979" s="36">
        <f>IF(OR(AK1780="",AK1780=7),"","F")</f>
        <v/>
      </c>
      <c r="AU1979" s="36">
        <f>IF(OR(AK1780="",AK1780&gt;=6),"","F")</f>
        <v/>
      </c>
    </row>
    <row r="1980" hidden="1" outlineLevel="1" ht="15" customHeight="1" s="15">
      <c r="AT1980" s="36">
        <f>IF(OR(AK1780="",AK1780=7),"","C")</f>
        <v/>
      </c>
      <c r="AU1980" s="36">
        <f>IF(OR(AK1780="",AK1780&gt;=6),"","C")</f>
        <v/>
      </c>
    </row>
    <row r="1981" hidden="1" outlineLevel="1" ht="15" customHeight="1" s="15">
      <c r="AT1981" s="36">
        <f>IF(AND(AK1780&lt;&gt;"",AK1780=7),"R","")</f>
        <v/>
      </c>
      <c r="AU1981" s="36">
        <f>IF(AND(AK1780&lt;&gt;"",AK1780&gt;=6),"R","")</f>
        <v/>
      </c>
    </row>
    <row r="1982" hidden="1" outlineLevel="1" ht="15" customHeight="1" s="15">
      <c r="AT1982" s="36">
        <f>IF(OR(AL1780="",AL1780=7),"","P")</f>
        <v/>
      </c>
      <c r="AU1982" s="36">
        <f>IF(OR(AL1780="",AL1780&gt;=6),"","P")</f>
        <v/>
      </c>
    </row>
    <row r="1983" hidden="1" outlineLevel="1" ht="15" customHeight="1" s="15">
      <c r="AT1983" s="36">
        <f>IF(OR(AL1780="",AL1780=7),"","D")</f>
        <v/>
      </c>
      <c r="AU1983" s="36">
        <f>IF(OR(AL1780="",AL1780&gt;=6),"","D")</f>
        <v/>
      </c>
    </row>
    <row r="1984" hidden="1" outlineLevel="1" ht="15" customHeight="1" s="15">
      <c r="AT1984" s="36">
        <f>IF(OR(AL1780="",AL1780=7),"","A")</f>
        <v/>
      </c>
      <c r="AU1984" s="36">
        <f>IF(OR(AL1780="",AL1780&gt;=6),"","A")</f>
        <v/>
      </c>
    </row>
    <row r="1985" hidden="1" outlineLevel="1" ht="15" customHeight="1" s="15">
      <c r="AT1985" s="36">
        <f>IF(OR(AL1780="",AL1780=7),"","F")</f>
        <v/>
      </c>
      <c r="AU1985" s="36">
        <f>IF(OR(AL1780="",AL1780&gt;=6),"","F")</f>
        <v/>
      </c>
    </row>
    <row r="1986" hidden="1" outlineLevel="1" ht="15" customHeight="1" s="15">
      <c r="AT1986" s="36">
        <f>IF(OR(AL1780="",AL1780=7),"","C")</f>
        <v/>
      </c>
      <c r="AU1986" s="36">
        <f>IF(OR(AL1780="",AL1780&gt;=6),"","C")</f>
        <v/>
      </c>
    </row>
    <row r="1987" hidden="1" outlineLevel="1" ht="15" customHeight="1" s="15">
      <c r="AT1987" s="36">
        <f>IF(AND(AL1780&lt;&gt;"",AL1780=7),"R","")</f>
        <v/>
      </c>
      <c r="AU1987" s="36">
        <f>IF(AND(AL1780&lt;&gt;"",AL1780&gt;=6),"R","")</f>
        <v/>
      </c>
    </row>
    <row r="1988" hidden="1" outlineLevel="1" ht="15" customHeight="1" s="15">
      <c r="AT1988" s="36">
        <f>IF(OR(AM1780="",AM1780=7),"","P")</f>
        <v/>
      </c>
      <c r="AU1988" s="36">
        <f>IF(OR(AM1780="",AM1780&gt;=6),"","P")</f>
        <v/>
      </c>
    </row>
    <row r="1989" hidden="1" outlineLevel="1" ht="15" customHeight="1" s="15">
      <c r="AT1989" s="36">
        <f>IF(OR(AM1780="",AM1780=7),"","D")</f>
        <v/>
      </c>
      <c r="AU1989" s="36">
        <f>IF(OR(AM1780="",AM1780&gt;=6),"","D")</f>
        <v/>
      </c>
    </row>
    <row r="1990" hidden="1" outlineLevel="1" ht="15" customHeight="1" s="15">
      <c r="AT1990" s="36">
        <f>IF(OR(AM1780="",AM1780=7),"","A")</f>
        <v/>
      </c>
      <c r="AU1990" s="36">
        <f>IF(OR(AM1780="",AM1780&gt;=6),"","A")</f>
        <v/>
      </c>
    </row>
    <row r="1991" hidden="1" outlineLevel="1" ht="15" customHeight="1" s="15">
      <c r="AT1991" s="36">
        <f>IF(OR(AM1780="",AM1780=7),"","F")</f>
        <v/>
      </c>
      <c r="AU1991" s="36">
        <f>IF(OR(AM1780="",AM1780&gt;=6),"","F")</f>
        <v/>
      </c>
    </row>
    <row r="1992" hidden="1" outlineLevel="1" ht="15" customHeight="1" s="15">
      <c r="AT1992" s="36">
        <f>IF(OR(AM1780="",AM1780=7),"","C")</f>
        <v/>
      </c>
      <c r="AU1992" s="36">
        <f>IF(OR(AM1780="",AM1780&gt;=6),"","C")</f>
        <v/>
      </c>
    </row>
    <row r="1993" hidden="1" outlineLevel="1" ht="15" customHeight="1" s="15">
      <c r="AT1993" s="36">
        <f>IF(AND(AM1780&lt;&gt;"",AM1780=7),"R","")</f>
        <v/>
      </c>
      <c r="AU1993" s="36">
        <f>IF(AND(AM1780&lt;&gt;"",AM1780&gt;=6),"R","")</f>
        <v/>
      </c>
    </row>
    <row r="1994" hidden="1" outlineLevel="1" ht="15" customHeight="1" s="15">
      <c r="AT1994" s="36">
        <f>IF(OR(AN1780="",AN1780=7),"","P")</f>
        <v/>
      </c>
      <c r="AU1994" s="36">
        <f>IF(OR(AN1780="",AN1780&gt;=6),"","P")</f>
        <v/>
      </c>
    </row>
    <row r="1995" hidden="1" outlineLevel="1" ht="15" customHeight="1" s="15">
      <c r="AT1995" s="36">
        <f>IF(OR(AN1780="",AN1780=7),"","D")</f>
        <v/>
      </c>
      <c r="AU1995" s="36">
        <f>IF(OR(AN1780="",AN1780&gt;=6),"","D")</f>
        <v/>
      </c>
    </row>
    <row r="1996" hidden="1" outlineLevel="1" ht="15" customHeight="1" s="15">
      <c r="AT1996" s="36">
        <f>IF(OR(AN1780="",AN1780=7),"","A")</f>
        <v/>
      </c>
      <c r="AU1996" s="36">
        <f>IF(OR(AN1780="",AN1780&gt;=6),"","A")</f>
        <v/>
      </c>
    </row>
    <row r="1997" hidden="1" outlineLevel="1" ht="15" customHeight="1" s="15">
      <c r="AT1997" s="36">
        <f>IF(OR(AN1780="",AN1780=7),"","F")</f>
        <v/>
      </c>
      <c r="AU1997" s="36">
        <f>IF(OR(AN1780="",AN1780&gt;=6),"","F")</f>
        <v/>
      </c>
    </row>
    <row r="1998" hidden="1" outlineLevel="1" ht="15" customHeight="1" s="15">
      <c r="AT1998" s="36">
        <f>IF(OR(AN1780="",AN1780=7),"","C")</f>
        <v/>
      </c>
      <c r="AU1998" s="36">
        <f>IF(OR(AN1780="",AN1780&gt;=6),"","C")</f>
        <v/>
      </c>
    </row>
    <row r="1999" hidden="1" outlineLevel="1" ht="15" customHeight="1" s="15">
      <c r="AT1999" s="36">
        <f>IF(AND(AN1780&lt;&gt;"",AN1780=7),"R","")</f>
        <v/>
      </c>
      <c r="AU1999" s="36">
        <f>IF(AND(AN1780&lt;&gt;"",AN1780&gt;=6),"R","")</f>
        <v/>
      </c>
    </row>
    <row r="2000" hidden="1" outlineLevel="1" ht="15" customHeight="1" s="15">
      <c r="AT2000" s="36">
        <f>IF(OR(AO1780="",AO1780=7),"","P")</f>
        <v/>
      </c>
      <c r="AU2000" s="36">
        <f>IF(OR(AO1780="",AO1780&gt;=6),"","P")</f>
        <v/>
      </c>
    </row>
    <row r="2001" hidden="1" outlineLevel="1" ht="15" customHeight="1" s="15">
      <c r="AT2001" s="36">
        <f>IF(OR(AO1780="",AO1780=7),"","D")</f>
        <v/>
      </c>
      <c r="AU2001" s="36">
        <f>IF(OR(AO1780="",AO1780&gt;=6),"","D")</f>
        <v/>
      </c>
    </row>
    <row r="2002" hidden="1" outlineLevel="1" ht="15" customHeight="1" s="15">
      <c r="AT2002" s="36">
        <f>IF(OR(AO1780="",AO1780=7),"","A")</f>
        <v/>
      </c>
      <c r="AU2002" s="36">
        <f>IF(OR(AO1780="",AO1780&gt;=6),"","A")</f>
        <v/>
      </c>
    </row>
    <row r="2003" hidden="1" outlineLevel="1" ht="15" customHeight="1" s="15">
      <c r="AT2003" s="36">
        <f>IF(OR(AO1780="",AO1780=7),"","F")</f>
        <v/>
      </c>
      <c r="AU2003" s="36">
        <f>IF(OR(AO1780="",AO1780&gt;=6),"","F")</f>
        <v/>
      </c>
    </row>
    <row r="2004" hidden="1" outlineLevel="1" ht="15" customHeight="1" s="15">
      <c r="AT2004" s="36">
        <f>IF(OR(AO1780="",AO1780=7),"","C")</f>
        <v/>
      </c>
      <c r="AU2004" s="36">
        <f>IF(OR(AO1780="",AO1780&gt;=6),"","C")</f>
        <v/>
      </c>
    </row>
    <row r="2005" hidden="1" outlineLevel="1" ht="15" customHeight="1" s="15">
      <c r="AT2005" s="36">
        <f>IF(AND(AO1780&lt;&gt;"",AO1780=7),"R","")</f>
        <v/>
      </c>
      <c r="AU2005" s="36">
        <f>IF(AND(AO1780&lt;&gt;"",AO1780&gt;=6),"R","")</f>
        <v/>
      </c>
    </row>
    <row r="2006" hidden="1" outlineLevel="1" ht="15" customHeight="1" s="15">
      <c r="AT2006" s="36">
        <f>IF(OR(AP1780="",AP1780=7),"","P")</f>
        <v/>
      </c>
      <c r="AU2006" s="36">
        <f>IF(OR(AP1780="",AP1780&gt;=6),"","P")</f>
        <v/>
      </c>
    </row>
    <row r="2007" hidden="1" outlineLevel="1" ht="15" customHeight="1" s="15">
      <c r="AT2007" s="36">
        <f>IF(OR(AP1780="",AP1780=7),"","D")</f>
        <v/>
      </c>
      <c r="AU2007" s="36">
        <f>IF(OR(AP1780="",AP1780&gt;=6),"","D")</f>
        <v/>
      </c>
    </row>
    <row r="2008" hidden="1" outlineLevel="1" ht="15" customHeight="1" s="15">
      <c r="AT2008" s="36">
        <f>IF(OR(AP1780="",AP1780=7),"","A")</f>
        <v/>
      </c>
      <c r="AU2008" s="36">
        <f>IF(OR(AP1780="",AP1780&gt;=6),"","A")</f>
        <v/>
      </c>
    </row>
    <row r="2009" hidden="1" outlineLevel="1" ht="15" customHeight="1" s="15">
      <c r="AT2009" s="36">
        <f>IF(OR(AP1780="",AP1780=7),"","F")</f>
        <v/>
      </c>
      <c r="AU2009" s="36">
        <f>IF(OR(AP1780="",AP1780&gt;=6),"","F")</f>
        <v/>
      </c>
    </row>
    <row r="2010" hidden="1" outlineLevel="1" ht="15" customHeight="1" s="15">
      <c r="AT2010" s="36">
        <f>IF(OR(AP1780="",AP1780=7),"","C")</f>
        <v/>
      </c>
      <c r="AU2010" s="36">
        <f>IF(OR(AP1780="",AP1780&gt;=6),"","C")</f>
        <v/>
      </c>
    </row>
    <row r="2011" hidden="1" outlineLevel="1" ht="15" customHeight="1" s="15">
      <c r="AT2011" s="36">
        <f>IF(AND(AP1780&lt;&gt;"",AP1780=7),"R","")</f>
        <v/>
      </c>
      <c r="AU2011" s="36">
        <f>IF(AND(AP1780&lt;&gt;"",AP1780&gt;=6),"R","")</f>
        <v/>
      </c>
    </row>
    <row r="2012" hidden="1" outlineLevel="1" ht="15" customHeight="1" s="15">
      <c r="AT2012" s="36">
        <f>IF(OR(AQ1780="",AQ1780=7),"","P")</f>
        <v/>
      </c>
      <c r="AU2012" s="36">
        <f>IF(OR(AQ1780="",AQ1780&gt;=6),"","P")</f>
        <v/>
      </c>
    </row>
    <row r="2013" hidden="1" outlineLevel="1" ht="15" customHeight="1" s="15">
      <c r="AT2013" s="36">
        <f>IF(OR(AQ1780="",AQ1780=7),"","D")</f>
        <v/>
      </c>
      <c r="AU2013" s="36">
        <f>IF(OR(AQ1780="",AQ1780&gt;=6),"","D")</f>
        <v/>
      </c>
    </row>
    <row r="2014" hidden="1" outlineLevel="1" ht="15" customHeight="1" s="15">
      <c r="AT2014" s="36">
        <f>IF(OR(AQ1780="",AQ1780=7),"","A")</f>
        <v/>
      </c>
      <c r="AU2014" s="36">
        <f>IF(OR(AQ1780="",AQ1780&gt;=6),"","A")</f>
        <v/>
      </c>
    </row>
    <row r="2015" hidden="1" outlineLevel="1" ht="15" customHeight="1" s="15">
      <c r="AT2015" s="36">
        <f>IF(OR(AQ1780="",AQ1780=7),"","F")</f>
        <v/>
      </c>
      <c r="AU2015" s="36">
        <f>IF(OR(AQ1780="",AQ1780&gt;=6),"","F")</f>
        <v/>
      </c>
    </row>
    <row r="2016" hidden="1" outlineLevel="1" ht="15" customHeight="1" s="15">
      <c r="AT2016" s="36">
        <f>IF(OR(AQ1780="",AQ1780=7),"","C")</f>
        <v/>
      </c>
      <c r="AU2016" s="36">
        <f>IF(OR(AQ1780="",AQ1780&gt;=6),"","C")</f>
        <v/>
      </c>
    </row>
    <row r="2017" hidden="1" outlineLevel="1" ht="15" customHeight="1" s="15">
      <c r="AT2017" s="36">
        <f>IF(AND(AQ1780&lt;&gt;"",AQ1780=7),"R","")</f>
        <v/>
      </c>
      <c r="AU2017" s="36">
        <f>IF(AND(AQ1780&lt;&gt;"",AQ1780&gt;=6),"R","")</f>
        <v/>
      </c>
    </row>
    <row r="2018" hidden="1" outlineLevel="1" ht="15" customHeight="1" s="15">
      <c r="AT2018" s="36">
        <f>IF(OR(AR1780="",AR1780=7),"","P")</f>
        <v/>
      </c>
      <c r="AU2018" s="36">
        <f>IF(OR(AR1780="",AR1780&gt;=6),"","P")</f>
        <v/>
      </c>
    </row>
    <row r="2019" hidden="1" outlineLevel="1" ht="15" customHeight="1" s="15">
      <c r="AT2019" s="36">
        <f>IF(OR(AR1780="",AR1780=7),"","D")</f>
        <v/>
      </c>
      <c r="AU2019" s="36">
        <f>IF(OR(AR1780="",AR1780&gt;=6),"","D")</f>
        <v/>
      </c>
    </row>
    <row r="2020" hidden="1" outlineLevel="1" ht="15" customHeight="1" s="15">
      <c r="AT2020" s="36">
        <f>IF(OR(AR1780="",AR1780=7),"","A")</f>
        <v/>
      </c>
      <c r="AU2020" s="36">
        <f>IF(OR(AR1780="",AR1780&gt;=6),"","A")</f>
        <v/>
      </c>
    </row>
    <row r="2021" hidden="1" outlineLevel="1" ht="15" customHeight="1" s="15">
      <c r="AT2021" s="36">
        <f>IF(OR(AR1780="",AR1780=7),"","F")</f>
        <v/>
      </c>
      <c r="AU2021" s="36">
        <f>IF(OR(AR1780="",AR1780&gt;=6),"","F")</f>
        <v/>
      </c>
    </row>
    <row r="2022" hidden="1" outlineLevel="1" ht="15" customHeight="1" s="15">
      <c r="AT2022" s="36">
        <f>IF(OR(AR1780="",AR1780=7),"","C")</f>
        <v/>
      </c>
      <c r="AU2022" s="36">
        <f>IF(OR(AR1780="",AR1780&gt;=6),"","C")</f>
        <v/>
      </c>
    </row>
    <row r="2023" hidden="1" outlineLevel="1" ht="15" customHeight="1" s="15">
      <c r="AT2023" s="36">
        <f>IF(AND(AR1780&lt;&gt;"",AR1780=7),"R","")</f>
        <v/>
      </c>
      <c r="AU2023" s="36">
        <f>IF(AND(AR1780&lt;&gt;"",AR1780&gt;=6),"R","")</f>
        <v/>
      </c>
    </row>
    <row r="2024" hidden="1" outlineLevel="1" ht="15" customHeight="1" s="15">
      <c r="AT2024" s="36">
        <f>IF(OR(AS1780="",AS1780=7),"","P")</f>
        <v/>
      </c>
      <c r="AU2024" s="36">
        <f>IF(OR(AS1780="",AS1780&gt;=6),"","P")</f>
        <v/>
      </c>
    </row>
    <row r="2025" hidden="1" outlineLevel="1" ht="15" customHeight="1" s="15">
      <c r="AT2025" s="36">
        <f>IF(OR(AS1780="",AS1780=7),"","D")</f>
        <v/>
      </c>
      <c r="AU2025" s="36">
        <f>IF(OR(AS1780="",AS1780&gt;=6),"","D")</f>
        <v/>
      </c>
    </row>
    <row r="2026" hidden="1" outlineLevel="1" ht="15" customHeight="1" s="15">
      <c r="AT2026" s="36">
        <f>IF(OR(AS1780="",AS1780=7),"","A")</f>
        <v/>
      </c>
      <c r="AU2026" s="36">
        <f>IF(OR(AS1780="",AS1780&gt;=6),"","A")</f>
        <v/>
      </c>
    </row>
    <row r="2027" hidden="1" outlineLevel="1" ht="15" customHeight="1" s="15">
      <c r="AT2027" s="36">
        <f>IF(OR(AS1780="",AS1780=7),"","F")</f>
        <v/>
      </c>
      <c r="AU2027" s="36">
        <f>IF(OR(AS1780="",AS1780&gt;=6),"","F")</f>
        <v/>
      </c>
    </row>
    <row r="2028" hidden="1" outlineLevel="1" ht="15" customHeight="1" s="15">
      <c r="AT2028" s="36">
        <f>IF(OR(AS1780="",AS1780=7),"","C")</f>
        <v/>
      </c>
      <c r="AU2028" s="36">
        <f>IF(OR(AS1780="",AS1780&gt;=6),"","C")</f>
        <v/>
      </c>
    </row>
    <row r="2029" hidden="1" outlineLevel="1" ht="15" customHeight="1" s="15">
      <c r="AT2029" s="36">
        <f>IF(AND(AS1780&lt;&gt;"",AS1780=7),"R","")</f>
        <v/>
      </c>
      <c r="AU2029" s="36">
        <f>IF(AND(AS1780&lt;&gt;"",AS1780&gt;=6),"R","")</f>
        <v/>
      </c>
    </row>
    <row r="2030" ht="21.75" customHeight="1" s="15">
      <c r="B2030" s="6" t="inlineStr">
        <is>
          <t>ℹ  Grille de pointage Août — P/D/A/F/C/R, jours prévus/réels/absence calculés (jours ouvrables réels, WEEKDAY). R ne se propose que le jour de repos (repos exceptionnellement travaillé, +majoration). Listes techniques et ligne de calendrier repliées par défaut.</t>
        </is>
      </c>
    </row>
    <row r="2032" ht="19.5" customHeight="1" s="15">
      <c r="B2032" s="71">
        <f>"  SEPTEMBRE " &amp; PARAMETRES!$C$29</f>
        <v/>
      </c>
    </row>
    <row r="2033" hidden="1" ht="15" customHeight="1" s="15">
      <c r="B2033" s="36" t="inlineStr">
        <is>
          <t>Jour sem. (technique)</t>
        </is>
      </c>
      <c r="O2033" s="37">
        <f>IF(1&gt;DAY(EOMONTH(DATE(PARAMETRES!$C$29,9,1),0)),"",WEEKDAY(DATE(PARAMETRES!$C$29,9,1),2))</f>
        <v/>
      </c>
      <c r="P2033" s="37">
        <f>IF(2&gt;DAY(EOMONTH(DATE(PARAMETRES!$C$29,9,1),0)),"",WEEKDAY(DATE(PARAMETRES!$C$29,9,2),2))</f>
        <v/>
      </c>
      <c r="Q2033" s="37">
        <f>IF(3&gt;DAY(EOMONTH(DATE(PARAMETRES!$C$29,9,1),0)),"",WEEKDAY(DATE(PARAMETRES!$C$29,9,3),2))</f>
        <v/>
      </c>
      <c r="R2033" s="37">
        <f>IF(4&gt;DAY(EOMONTH(DATE(PARAMETRES!$C$29,9,1),0)),"",WEEKDAY(DATE(PARAMETRES!$C$29,9,4),2))</f>
        <v/>
      </c>
      <c r="S2033" s="37">
        <f>IF(5&gt;DAY(EOMONTH(DATE(PARAMETRES!$C$29,9,1),0)),"",WEEKDAY(DATE(PARAMETRES!$C$29,9,5),2))</f>
        <v/>
      </c>
      <c r="T2033" s="37">
        <f>IF(6&gt;DAY(EOMONTH(DATE(PARAMETRES!$C$29,9,1),0)),"",WEEKDAY(DATE(PARAMETRES!$C$29,9,6),2))</f>
        <v/>
      </c>
      <c r="U2033" s="37">
        <f>IF(7&gt;DAY(EOMONTH(DATE(PARAMETRES!$C$29,9,1),0)),"",WEEKDAY(DATE(PARAMETRES!$C$29,9,7),2))</f>
        <v/>
      </c>
      <c r="V2033" s="37">
        <f>IF(8&gt;DAY(EOMONTH(DATE(PARAMETRES!$C$29,9,1),0)),"",WEEKDAY(DATE(PARAMETRES!$C$29,9,8),2))</f>
        <v/>
      </c>
      <c r="W2033" s="37">
        <f>IF(9&gt;DAY(EOMONTH(DATE(PARAMETRES!$C$29,9,1),0)),"",WEEKDAY(DATE(PARAMETRES!$C$29,9,9),2))</f>
        <v/>
      </c>
      <c r="X2033" s="37">
        <f>IF(10&gt;DAY(EOMONTH(DATE(PARAMETRES!$C$29,9,1),0)),"",WEEKDAY(DATE(PARAMETRES!$C$29,9,10),2))</f>
        <v/>
      </c>
      <c r="Y2033" s="37">
        <f>IF(11&gt;DAY(EOMONTH(DATE(PARAMETRES!$C$29,9,1),0)),"",WEEKDAY(DATE(PARAMETRES!$C$29,9,11),2))</f>
        <v/>
      </c>
      <c r="Z2033" s="37">
        <f>IF(12&gt;DAY(EOMONTH(DATE(PARAMETRES!$C$29,9,1),0)),"",WEEKDAY(DATE(PARAMETRES!$C$29,9,12),2))</f>
        <v/>
      </c>
      <c r="AA2033" s="37">
        <f>IF(13&gt;DAY(EOMONTH(DATE(PARAMETRES!$C$29,9,1),0)),"",WEEKDAY(DATE(PARAMETRES!$C$29,9,13),2))</f>
        <v/>
      </c>
      <c r="AB2033" s="37">
        <f>IF(14&gt;DAY(EOMONTH(DATE(PARAMETRES!$C$29,9,1),0)),"",WEEKDAY(DATE(PARAMETRES!$C$29,9,14),2))</f>
        <v/>
      </c>
      <c r="AC2033" s="37">
        <f>IF(15&gt;DAY(EOMONTH(DATE(PARAMETRES!$C$29,9,1),0)),"",WEEKDAY(DATE(PARAMETRES!$C$29,9,15),2))</f>
        <v/>
      </c>
      <c r="AD2033" s="37">
        <f>IF(16&gt;DAY(EOMONTH(DATE(PARAMETRES!$C$29,9,1),0)),"",WEEKDAY(DATE(PARAMETRES!$C$29,9,16),2))</f>
        <v/>
      </c>
      <c r="AE2033" s="37">
        <f>IF(17&gt;DAY(EOMONTH(DATE(PARAMETRES!$C$29,9,1),0)),"",WEEKDAY(DATE(PARAMETRES!$C$29,9,17),2))</f>
        <v/>
      </c>
      <c r="AF2033" s="37">
        <f>IF(18&gt;DAY(EOMONTH(DATE(PARAMETRES!$C$29,9,1),0)),"",WEEKDAY(DATE(PARAMETRES!$C$29,9,18),2))</f>
        <v/>
      </c>
      <c r="AG2033" s="37">
        <f>IF(19&gt;DAY(EOMONTH(DATE(PARAMETRES!$C$29,9,1),0)),"",WEEKDAY(DATE(PARAMETRES!$C$29,9,19),2))</f>
        <v/>
      </c>
      <c r="AH2033" s="37">
        <f>IF(20&gt;DAY(EOMONTH(DATE(PARAMETRES!$C$29,9,1),0)),"",WEEKDAY(DATE(PARAMETRES!$C$29,9,20),2))</f>
        <v/>
      </c>
      <c r="AI2033" s="37">
        <f>IF(21&gt;DAY(EOMONTH(DATE(PARAMETRES!$C$29,9,1),0)),"",WEEKDAY(DATE(PARAMETRES!$C$29,9,21),2))</f>
        <v/>
      </c>
      <c r="AJ2033" s="37">
        <f>IF(22&gt;DAY(EOMONTH(DATE(PARAMETRES!$C$29,9,1),0)),"",WEEKDAY(DATE(PARAMETRES!$C$29,9,22),2))</f>
        <v/>
      </c>
      <c r="AK2033" s="37">
        <f>IF(23&gt;DAY(EOMONTH(DATE(PARAMETRES!$C$29,9,1),0)),"",WEEKDAY(DATE(PARAMETRES!$C$29,9,23),2))</f>
        <v/>
      </c>
      <c r="AL2033" s="37">
        <f>IF(24&gt;DAY(EOMONTH(DATE(PARAMETRES!$C$29,9,1),0)),"",WEEKDAY(DATE(PARAMETRES!$C$29,9,24),2))</f>
        <v/>
      </c>
      <c r="AM2033" s="37">
        <f>IF(25&gt;DAY(EOMONTH(DATE(PARAMETRES!$C$29,9,1),0)),"",WEEKDAY(DATE(PARAMETRES!$C$29,9,25),2))</f>
        <v/>
      </c>
      <c r="AN2033" s="37">
        <f>IF(26&gt;DAY(EOMONTH(DATE(PARAMETRES!$C$29,9,1),0)),"",WEEKDAY(DATE(PARAMETRES!$C$29,9,26),2))</f>
        <v/>
      </c>
      <c r="AO2033" s="37">
        <f>IF(27&gt;DAY(EOMONTH(DATE(PARAMETRES!$C$29,9,1),0)),"",WEEKDAY(DATE(PARAMETRES!$C$29,9,27),2))</f>
        <v/>
      </c>
      <c r="AP2033" s="37">
        <f>IF(28&gt;DAY(EOMONTH(DATE(PARAMETRES!$C$29,9,1),0)),"",WEEKDAY(DATE(PARAMETRES!$C$29,9,28),2))</f>
        <v/>
      </c>
      <c r="AQ2033" s="37">
        <f>IF(29&gt;DAY(EOMONTH(DATE(PARAMETRES!$C$29,9,1),0)),"",WEEKDAY(DATE(PARAMETRES!$C$29,9,29),2))</f>
        <v/>
      </c>
      <c r="AR2033" s="37">
        <f>IF(30&gt;DAY(EOMONTH(DATE(PARAMETRES!$C$29,9,1),0)),"",WEEKDAY(DATE(PARAMETRES!$C$29,9,30),2))</f>
        <v/>
      </c>
      <c r="AS2033" s="37">
        <f>IF(31&gt;DAY(EOMONTH(DATE(PARAMETRES!$C$29,9,1),0)),"",WEEKDAY(DATE(PARAMETRES!$C$29,9,31),2))</f>
        <v/>
      </c>
    </row>
    <row r="2034" ht="15" customHeight="1" s="15">
      <c r="B2034" s="38" t="inlineStr">
        <is>
          <t>Jour</t>
        </is>
      </c>
      <c r="O2034" s="39">
        <f>IF(O2033="","",CHOOSE(O2033,"L","M","M","J","V","S","D"))</f>
        <v/>
      </c>
      <c r="P2034" s="39">
        <f>IF(P2033="","",CHOOSE(P2033,"L","M","M","J","V","S","D"))</f>
        <v/>
      </c>
      <c r="Q2034" s="39">
        <f>IF(Q2033="","",CHOOSE(Q2033,"L","M","M","J","V","S","D"))</f>
        <v/>
      </c>
      <c r="R2034" s="39">
        <f>IF(R2033="","",CHOOSE(R2033,"L","M","M","J","V","S","D"))</f>
        <v/>
      </c>
      <c r="S2034" s="39">
        <f>IF(S2033="","",CHOOSE(S2033,"L","M","M","J","V","S","D"))</f>
        <v/>
      </c>
      <c r="T2034" s="39">
        <f>IF(T2033="","",CHOOSE(T2033,"L","M","M","J","V","S","D"))</f>
        <v/>
      </c>
      <c r="U2034" s="39">
        <f>IF(U2033="","",CHOOSE(U2033,"L","M","M","J","V","S","D"))</f>
        <v/>
      </c>
      <c r="V2034" s="39">
        <f>IF(V2033="","",CHOOSE(V2033,"L","M","M","J","V","S","D"))</f>
        <v/>
      </c>
      <c r="W2034" s="39">
        <f>IF(W2033="","",CHOOSE(W2033,"L","M","M","J","V","S","D"))</f>
        <v/>
      </c>
      <c r="X2034" s="39">
        <f>IF(X2033="","",CHOOSE(X2033,"L","M","M","J","V","S","D"))</f>
        <v/>
      </c>
      <c r="Y2034" s="39">
        <f>IF(Y2033="","",CHOOSE(Y2033,"L","M","M","J","V","S","D"))</f>
        <v/>
      </c>
      <c r="Z2034" s="39">
        <f>IF(Z2033="","",CHOOSE(Z2033,"L","M","M","J","V","S","D"))</f>
        <v/>
      </c>
      <c r="AA2034" s="39">
        <f>IF(AA2033="","",CHOOSE(AA2033,"L","M","M","J","V","S","D"))</f>
        <v/>
      </c>
      <c r="AB2034" s="39">
        <f>IF(AB2033="","",CHOOSE(AB2033,"L","M","M","J","V","S","D"))</f>
        <v/>
      </c>
      <c r="AC2034" s="39">
        <f>IF(AC2033="","",CHOOSE(AC2033,"L","M","M","J","V","S","D"))</f>
        <v/>
      </c>
      <c r="AD2034" s="39">
        <f>IF(AD2033="","",CHOOSE(AD2033,"L","M","M","J","V","S","D"))</f>
        <v/>
      </c>
      <c r="AE2034" s="39">
        <f>IF(AE2033="","",CHOOSE(AE2033,"L","M","M","J","V","S","D"))</f>
        <v/>
      </c>
      <c r="AF2034" s="39">
        <f>IF(AF2033="","",CHOOSE(AF2033,"L","M","M","J","V","S","D"))</f>
        <v/>
      </c>
      <c r="AG2034" s="39">
        <f>IF(AG2033="","",CHOOSE(AG2033,"L","M","M","J","V","S","D"))</f>
        <v/>
      </c>
      <c r="AH2034" s="39">
        <f>IF(AH2033="","",CHOOSE(AH2033,"L","M","M","J","V","S","D"))</f>
        <v/>
      </c>
      <c r="AI2034" s="39">
        <f>IF(AI2033="","",CHOOSE(AI2033,"L","M","M","J","V","S","D"))</f>
        <v/>
      </c>
      <c r="AJ2034" s="39">
        <f>IF(AJ2033="","",CHOOSE(AJ2033,"L","M","M","J","V","S","D"))</f>
        <v/>
      </c>
      <c r="AK2034" s="39">
        <f>IF(AK2033="","",CHOOSE(AK2033,"L","M","M","J","V","S","D"))</f>
        <v/>
      </c>
      <c r="AL2034" s="39">
        <f>IF(AL2033="","",CHOOSE(AL2033,"L","M","M","J","V","S","D"))</f>
        <v/>
      </c>
      <c r="AM2034" s="39">
        <f>IF(AM2033="","",CHOOSE(AM2033,"L","M","M","J","V","S","D"))</f>
        <v/>
      </c>
      <c r="AN2034" s="39">
        <f>IF(AN2033="","",CHOOSE(AN2033,"L","M","M","J","V","S","D"))</f>
        <v/>
      </c>
      <c r="AO2034" s="39">
        <f>IF(AO2033="","",CHOOSE(AO2033,"L","M","M","J","V","S","D"))</f>
        <v/>
      </c>
      <c r="AP2034" s="39">
        <f>IF(AP2033="","",CHOOSE(AP2033,"L","M","M","J","V","S","D"))</f>
        <v/>
      </c>
      <c r="AQ2034" s="39">
        <f>IF(AQ2033="","",CHOOSE(AQ2033,"L","M","M","J","V","S","D"))</f>
        <v/>
      </c>
      <c r="AR2034" s="39">
        <f>IF(AR2033="","",CHOOSE(AR2033,"L","M","M","J","V","S","D"))</f>
        <v/>
      </c>
      <c r="AS2034" s="39">
        <f>IF(AS2033="","",CHOOSE(AS2033,"L","M","M","J","V","S","D"))</f>
        <v/>
      </c>
    </row>
    <row r="2035" ht="24" customHeight="1" s="15">
      <c r="B2035" s="40" t="inlineStr">
        <is>
          <t>Mois</t>
        </is>
      </c>
      <c r="C2035" s="40" t="inlineStr">
        <is>
          <t>Matricule</t>
        </is>
      </c>
      <c r="D2035" s="40" t="inlineStr">
        <is>
          <t>Nom complet</t>
        </is>
      </c>
      <c r="E2035" s="40" t="inlineStr">
        <is>
          <t>Heures
sup.</t>
        </is>
      </c>
      <c r="F2035" s="40" t="inlineStr">
        <is>
          <t>Primes
(CDF)</t>
        </is>
      </c>
      <c r="G2035" s="40" t="inlineStr">
        <is>
          <t>Jours
abs.</t>
        </is>
      </c>
      <c r="H2035" s="40" t="inlineStr">
        <is>
          <t>Avance
(CDF)</t>
        </is>
      </c>
      <c r="I2035" s="40" t="inlineStr">
        <is>
          <t>Contrôle
auto.</t>
        </is>
      </c>
      <c r="J2035" s="40" t="inlineStr">
        <is>
          <t>Retenues
(CDF)</t>
        </is>
      </c>
      <c r="K2035" s="40" t="inlineStr">
        <is>
          <t>Motif</t>
        </is>
      </c>
      <c r="L2035" s="40" t="inlineStr">
        <is>
          <t>Observ.</t>
        </is>
      </c>
      <c r="M2035" s="40" t="inlineStr">
        <is>
          <t>Jours
prévus</t>
        </is>
      </c>
      <c r="N2035" s="40" t="inlineStr">
        <is>
          <t>Jours
réels</t>
        </is>
      </c>
      <c r="O2035" s="40" t="n">
        <v>1</v>
      </c>
      <c r="P2035" s="40" t="n">
        <v>2</v>
      </c>
      <c r="Q2035" s="40" t="n">
        <v>3</v>
      </c>
      <c r="R2035" s="40" t="n">
        <v>4</v>
      </c>
      <c r="S2035" s="40" t="n">
        <v>5</v>
      </c>
      <c r="T2035" s="40" t="n">
        <v>6</v>
      </c>
      <c r="U2035" s="40" t="n">
        <v>7</v>
      </c>
      <c r="V2035" s="40" t="n">
        <v>8</v>
      </c>
      <c r="W2035" s="40" t="n">
        <v>9</v>
      </c>
      <c r="X2035" s="40" t="n">
        <v>10</v>
      </c>
      <c r="Y2035" s="40" t="n">
        <v>11</v>
      </c>
      <c r="Z2035" s="40" t="n">
        <v>12</v>
      </c>
      <c r="AA2035" s="40" t="n">
        <v>13</v>
      </c>
      <c r="AB2035" s="40" t="n">
        <v>14</v>
      </c>
      <c r="AC2035" s="40" t="n">
        <v>15</v>
      </c>
      <c r="AD2035" s="40" t="n">
        <v>16</v>
      </c>
      <c r="AE2035" s="40" t="n">
        <v>17</v>
      </c>
      <c r="AF2035" s="40" t="n">
        <v>18</v>
      </c>
      <c r="AG2035" s="40" t="n">
        <v>19</v>
      </c>
      <c r="AH2035" s="40" t="n">
        <v>20</v>
      </c>
      <c r="AI2035" s="40" t="n">
        <v>21</v>
      </c>
      <c r="AJ2035" s="40" t="n">
        <v>22</v>
      </c>
      <c r="AK2035" s="40" t="n">
        <v>23</v>
      </c>
      <c r="AL2035" s="40" t="n">
        <v>24</v>
      </c>
      <c r="AM2035" s="40" t="n">
        <v>25</v>
      </c>
      <c r="AN2035" s="40" t="n">
        <v>26</v>
      </c>
      <c r="AO2035" s="40" t="n">
        <v>27</v>
      </c>
      <c r="AP2035" s="40" t="n">
        <v>28</v>
      </c>
      <c r="AQ2035" s="40" t="n">
        <v>29</v>
      </c>
      <c r="AR2035" s="40" t="n">
        <v>30</v>
      </c>
      <c r="AS2035" s="40" t="n">
        <v>31</v>
      </c>
      <c r="AY2035" s="40" t="inlineStr">
        <is>
          <t>Heures
nuit</t>
        </is>
      </c>
    </row>
    <row r="2036" hidden="1" outlineLevel="1" ht="15" customHeight="1" s="15">
      <c r="B2036" s="41" t="n">
        <v>9</v>
      </c>
      <c r="C2036" s="42">
        <f>IF(EMPLOYES!C15="","",EMPLOYES!C15)</f>
        <v/>
      </c>
      <c r="D2036" s="43">
        <f>IF(EMPLOYES!C15="","",EMPLOYES!D15)</f>
        <v/>
      </c>
      <c r="E2036" s="44" t="n"/>
      <c r="F2036" s="42" t="n"/>
      <c r="G2036" s="41">
        <f>IF($C2036="",0,MAX(0,$M2036-$N2036))</f>
        <v/>
      </c>
      <c r="H2036" s="45" t="n"/>
      <c r="I2036" s="41">
        <f>IF($C2036="","",IF(H2036="","OK",IF(H2036&gt;EMPLOYES!P15,"⚠ Avance &gt; salaire",IF(H2036&gt;EMPLOYES!P15*PARAMETRES!$C$218,"⚠ Avance élevée","OK"))))</f>
        <v/>
      </c>
      <c r="J2036" s="45" t="n"/>
      <c r="K2036" s="46" t="n"/>
      <c r="L2036" s="46" t="n"/>
      <c r="M2036" s="41">
        <f>IF($C2036="","",SUMPRODUCT((PARAMETRES!$B$38:$B$157=PARAMETRES!$C$29)*(PARAMETRES!$C$38:$C$157=9)*(IF(EMPLOYES!M15="5j",PARAMETRES!$I$38:$I$157,PARAMETRES!$H$38:$H$157))))</f>
        <v/>
      </c>
      <c r="N2036" s="41">
        <f>IF($C2036="","",SUMPRODUCT((O2036:AS2036="P")+(O2036:AS2036="F")+(O2036:AS2036="C")+0.5*(O2036:AS2036="D"),(1-((O2033:AS2033=6)*(EMPLOYES!M15="5j")))))</f>
        <v/>
      </c>
      <c r="O2036" s="46" t="n"/>
      <c r="P2036" s="46" t="n"/>
      <c r="Q2036" s="46" t="n"/>
      <c r="R2036" s="46" t="n"/>
      <c r="S2036" s="46" t="n"/>
      <c r="T2036" s="46" t="n"/>
      <c r="U2036" s="46" t="n"/>
      <c r="V2036" s="46" t="n"/>
      <c r="W2036" s="46" t="n"/>
      <c r="X2036" s="46" t="n"/>
      <c r="Y2036" s="46" t="n"/>
      <c r="Z2036" s="46" t="n"/>
      <c r="AA2036" s="46" t="n"/>
      <c r="AB2036" s="46" t="n"/>
      <c r="AC2036" s="46" t="n"/>
      <c r="AD2036" s="46" t="n"/>
      <c r="AE2036" s="46" t="n"/>
      <c r="AF2036" s="46" t="n"/>
      <c r="AG2036" s="46" t="n"/>
      <c r="AH2036" s="46" t="n"/>
      <c r="AI2036" s="46" t="n"/>
      <c r="AJ2036" s="46" t="n"/>
      <c r="AK2036" s="46" t="n"/>
      <c r="AL2036" s="46" t="n"/>
      <c r="AM2036" s="46" t="n"/>
      <c r="AN2036" s="46" t="n"/>
      <c r="AO2036" s="46" t="n"/>
      <c r="AP2036" s="46" t="n"/>
      <c r="AQ2036" s="46" t="n"/>
      <c r="AR2036" s="46" t="n"/>
      <c r="AS2036" s="46" t="n"/>
      <c r="AV2036" s="36">
        <f>IF($C2036="","",EMPLOYES!M15)</f>
        <v/>
      </c>
      <c r="AW2036" s="36">
        <f>IF($C2036="",0,SUMPRODUCT(--(O2036:AS2036="C")))</f>
        <v/>
      </c>
      <c r="AX2036" s="36">
        <f>IF($C2036="",0,SUMPRODUCT(--(O2036:AS2036="R")))</f>
        <v/>
      </c>
      <c r="AY2036" s="44" t="n"/>
    </row>
    <row r="2037" hidden="1" outlineLevel="1" ht="15" customHeight="1" s="15">
      <c r="B2037" s="41" t="n">
        <v>9</v>
      </c>
      <c r="C2037" s="42">
        <f>IF(EMPLOYES!C16="","",EMPLOYES!C16)</f>
        <v/>
      </c>
      <c r="D2037" s="43">
        <f>IF(EMPLOYES!C16="","",EMPLOYES!D16)</f>
        <v/>
      </c>
      <c r="E2037" s="44" t="n"/>
      <c r="F2037" s="42" t="n"/>
      <c r="G2037" s="41">
        <f>IF($C2037="",0,MAX(0,$M2037-$N2037))</f>
        <v/>
      </c>
      <c r="H2037" s="45" t="n"/>
      <c r="I2037" s="41">
        <f>IF($C2037="","",IF(H2037="","OK",IF(H2037&gt;EMPLOYES!P16,"⚠ Avance &gt; salaire",IF(H2037&gt;EMPLOYES!P16*PARAMETRES!$C$218,"⚠ Avance élevée","OK"))))</f>
        <v/>
      </c>
      <c r="J2037" s="45" t="n"/>
      <c r="K2037" s="46" t="n"/>
      <c r="L2037" s="46" t="n"/>
      <c r="M2037" s="41">
        <f>IF($C2037="","",SUMPRODUCT((PARAMETRES!$B$38:$B$157=PARAMETRES!$C$29)*(PARAMETRES!$C$38:$C$157=9)*(IF(EMPLOYES!M16="5j",PARAMETRES!$I$38:$I$157,PARAMETRES!$H$38:$H$157))))</f>
        <v/>
      </c>
      <c r="N2037" s="41">
        <f>IF($C2037="","",SUMPRODUCT((O2037:AS2037="P")+(O2037:AS2037="F")+(O2037:AS2037="C")+0.5*(O2037:AS2037="D"),(1-((O2033:AS2033=6)*(EMPLOYES!M16="5j")))))</f>
        <v/>
      </c>
      <c r="O2037" s="46" t="n"/>
      <c r="P2037" s="46" t="n"/>
      <c r="Q2037" s="46" t="n"/>
      <c r="R2037" s="46" t="n"/>
      <c r="S2037" s="46" t="n"/>
      <c r="T2037" s="46" t="n"/>
      <c r="U2037" s="46" t="n"/>
      <c r="V2037" s="46" t="n"/>
      <c r="W2037" s="46" t="n"/>
      <c r="X2037" s="46" t="n"/>
      <c r="Y2037" s="46" t="n"/>
      <c r="Z2037" s="46" t="n"/>
      <c r="AA2037" s="46" t="n"/>
      <c r="AB2037" s="46" t="n"/>
      <c r="AC2037" s="46" t="n"/>
      <c r="AD2037" s="46" t="n"/>
      <c r="AE2037" s="46" t="n"/>
      <c r="AF2037" s="46" t="n"/>
      <c r="AG2037" s="46" t="n"/>
      <c r="AH2037" s="46" t="n"/>
      <c r="AI2037" s="46" t="n"/>
      <c r="AJ2037" s="46" t="n"/>
      <c r="AK2037" s="46" t="n"/>
      <c r="AL2037" s="46" t="n"/>
      <c r="AM2037" s="46" t="n"/>
      <c r="AN2037" s="46" t="n"/>
      <c r="AO2037" s="46" t="n"/>
      <c r="AP2037" s="46" t="n"/>
      <c r="AQ2037" s="46" t="n"/>
      <c r="AR2037" s="46" t="n"/>
      <c r="AS2037" s="46" t="n"/>
      <c r="AV2037" s="36">
        <f>IF($C2037="","",EMPLOYES!M16)</f>
        <v/>
      </c>
      <c r="AW2037" s="36">
        <f>IF($C2037="",0,SUMPRODUCT(--(O2037:AS2037="C")))</f>
        <v/>
      </c>
      <c r="AX2037" s="36">
        <f>IF($C2037="",0,SUMPRODUCT(--(O2037:AS2037="R")))</f>
        <v/>
      </c>
      <c r="AY2037" s="44" t="n"/>
    </row>
    <row r="2038" hidden="1" outlineLevel="1" ht="15" customHeight="1" s="15">
      <c r="B2038" s="41" t="n">
        <v>9</v>
      </c>
      <c r="C2038" s="42">
        <f>IF(EMPLOYES!C17="","",EMPLOYES!C17)</f>
        <v/>
      </c>
      <c r="D2038" s="43">
        <f>IF(EMPLOYES!C17="","",EMPLOYES!D17)</f>
        <v/>
      </c>
      <c r="E2038" s="44" t="n"/>
      <c r="F2038" s="42" t="n"/>
      <c r="G2038" s="41">
        <f>IF($C2038="",0,MAX(0,$M2038-$N2038))</f>
        <v/>
      </c>
      <c r="H2038" s="45" t="n"/>
      <c r="I2038" s="41">
        <f>IF($C2038="","",IF(H2038="","OK",IF(H2038&gt;EMPLOYES!P17,"⚠ Avance &gt; salaire",IF(H2038&gt;EMPLOYES!P17*PARAMETRES!$C$218,"⚠ Avance élevée","OK"))))</f>
        <v/>
      </c>
      <c r="J2038" s="45" t="n"/>
      <c r="K2038" s="46" t="n"/>
      <c r="L2038" s="46" t="n"/>
      <c r="M2038" s="41">
        <f>IF($C2038="","",SUMPRODUCT((PARAMETRES!$B$38:$B$157=PARAMETRES!$C$29)*(PARAMETRES!$C$38:$C$157=9)*(IF(EMPLOYES!M17="5j",PARAMETRES!$I$38:$I$157,PARAMETRES!$H$38:$H$157))))</f>
        <v/>
      </c>
      <c r="N2038" s="41">
        <f>IF($C2038="","",SUMPRODUCT((O2038:AS2038="P")+(O2038:AS2038="F")+(O2038:AS2038="C")+0.5*(O2038:AS2038="D"),(1-((O2033:AS2033=6)*(EMPLOYES!M17="5j")))))</f>
        <v/>
      </c>
      <c r="O2038" s="46" t="n"/>
      <c r="P2038" s="46" t="n"/>
      <c r="Q2038" s="46" t="n"/>
      <c r="R2038" s="46" t="n"/>
      <c r="S2038" s="46" t="n"/>
      <c r="T2038" s="46" t="n"/>
      <c r="U2038" s="46" t="n"/>
      <c r="V2038" s="46" t="n"/>
      <c r="W2038" s="46" t="n"/>
      <c r="X2038" s="46" t="n"/>
      <c r="Y2038" s="46" t="n"/>
      <c r="Z2038" s="46" t="n"/>
      <c r="AA2038" s="46" t="n"/>
      <c r="AB2038" s="46" t="n"/>
      <c r="AC2038" s="46" t="n"/>
      <c r="AD2038" s="46" t="n"/>
      <c r="AE2038" s="46" t="n"/>
      <c r="AF2038" s="46" t="n"/>
      <c r="AG2038" s="46" t="n"/>
      <c r="AH2038" s="46" t="n"/>
      <c r="AI2038" s="46" t="n"/>
      <c r="AJ2038" s="46" t="n"/>
      <c r="AK2038" s="46" t="n"/>
      <c r="AL2038" s="46" t="n"/>
      <c r="AM2038" s="46" t="n"/>
      <c r="AN2038" s="46" t="n"/>
      <c r="AO2038" s="46" t="n"/>
      <c r="AP2038" s="46" t="n"/>
      <c r="AQ2038" s="46" t="n"/>
      <c r="AR2038" s="46" t="n"/>
      <c r="AS2038" s="46" t="n"/>
      <c r="AV2038" s="36">
        <f>IF($C2038="","",EMPLOYES!M17)</f>
        <v/>
      </c>
      <c r="AW2038" s="36">
        <f>IF($C2038="",0,SUMPRODUCT(--(O2038:AS2038="C")))</f>
        <v/>
      </c>
      <c r="AX2038" s="36">
        <f>IF($C2038="",0,SUMPRODUCT(--(O2038:AS2038="R")))</f>
        <v/>
      </c>
      <c r="AY2038" s="44" t="n"/>
    </row>
    <row r="2039" hidden="1" outlineLevel="1" ht="15" customHeight="1" s="15">
      <c r="B2039" s="41" t="n">
        <v>9</v>
      </c>
      <c r="C2039" s="42">
        <f>IF(EMPLOYES!C18="","",EMPLOYES!C18)</f>
        <v/>
      </c>
      <c r="D2039" s="43">
        <f>IF(EMPLOYES!C18="","",EMPLOYES!D18)</f>
        <v/>
      </c>
      <c r="E2039" s="44" t="n"/>
      <c r="F2039" s="42" t="n"/>
      <c r="G2039" s="41">
        <f>IF($C2039="",0,MAX(0,$M2039-$N2039))</f>
        <v/>
      </c>
      <c r="H2039" s="45" t="n"/>
      <c r="I2039" s="41">
        <f>IF($C2039="","",IF(H2039="","OK",IF(H2039&gt;EMPLOYES!P18,"⚠ Avance &gt; salaire",IF(H2039&gt;EMPLOYES!P18*PARAMETRES!$C$218,"⚠ Avance élevée","OK"))))</f>
        <v/>
      </c>
      <c r="J2039" s="45" t="n"/>
      <c r="K2039" s="46" t="n"/>
      <c r="L2039" s="46" t="n"/>
      <c r="M2039" s="41">
        <f>IF($C2039="","",SUMPRODUCT((PARAMETRES!$B$38:$B$157=PARAMETRES!$C$29)*(PARAMETRES!$C$38:$C$157=9)*(IF(EMPLOYES!M18="5j",PARAMETRES!$I$38:$I$157,PARAMETRES!$H$38:$H$157))))</f>
        <v/>
      </c>
      <c r="N2039" s="41">
        <f>IF($C2039="","",SUMPRODUCT((O2039:AS2039="P")+(O2039:AS2039="F")+(O2039:AS2039="C")+0.5*(O2039:AS2039="D"),(1-((O2033:AS2033=6)*(EMPLOYES!M18="5j")))))</f>
        <v/>
      </c>
      <c r="O2039" s="46" t="n"/>
      <c r="P2039" s="46" t="n"/>
      <c r="Q2039" s="46" t="n"/>
      <c r="R2039" s="46" t="n"/>
      <c r="S2039" s="46" t="n"/>
      <c r="T2039" s="46" t="n"/>
      <c r="U2039" s="46" t="n"/>
      <c r="V2039" s="46" t="n"/>
      <c r="W2039" s="46" t="n"/>
      <c r="X2039" s="46" t="n"/>
      <c r="Y2039" s="46" t="n"/>
      <c r="Z2039" s="46" t="n"/>
      <c r="AA2039" s="46" t="n"/>
      <c r="AB2039" s="46" t="n"/>
      <c r="AC2039" s="46" t="n"/>
      <c r="AD2039" s="46" t="n"/>
      <c r="AE2039" s="46" t="n"/>
      <c r="AF2039" s="46" t="n"/>
      <c r="AG2039" s="46" t="n"/>
      <c r="AH2039" s="46" t="n"/>
      <c r="AI2039" s="46" t="n"/>
      <c r="AJ2039" s="46" t="n"/>
      <c r="AK2039" s="46" t="n"/>
      <c r="AL2039" s="46" t="n"/>
      <c r="AM2039" s="46" t="n"/>
      <c r="AN2039" s="46" t="n"/>
      <c r="AO2039" s="46" t="n"/>
      <c r="AP2039" s="46" t="n"/>
      <c r="AQ2039" s="46" t="n"/>
      <c r="AR2039" s="46" t="n"/>
      <c r="AS2039" s="46" t="n"/>
      <c r="AV2039" s="36">
        <f>IF($C2039="","",EMPLOYES!M18)</f>
        <v/>
      </c>
      <c r="AW2039" s="36">
        <f>IF($C2039="",0,SUMPRODUCT(--(O2039:AS2039="C")))</f>
        <v/>
      </c>
      <c r="AX2039" s="36">
        <f>IF($C2039="",0,SUMPRODUCT(--(O2039:AS2039="R")))</f>
        <v/>
      </c>
      <c r="AY2039" s="44" t="n"/>
    </row>
    <row r="2040" hidden="1" outlineLevel="1" ht="15" customHeight="1" s="15">
      <c r="B2040" s="41" t="n">
        <v>9</v>
      </c>
      <c r="C2040" s="42">
        <f>IF(EMPLOYES!C19="","",EMPLOYES!C19)</f>
        <v/>
      </c>
      <c r="D2040" s="43">
        <f>IF(EMPLOYES!C19="","",EMPLOYES!D19)</f>
        <v/>
      </c>
      <c r="E2040" s="44" t="n"/>
      <c r="F2040" s="42" t="n"/>
      <c r="G2040" s="41">
        <f>IF($C2040="",0,MAX(0,$M2040-$N2040))</f>
        <v/>
      </c>
      <c r="H2040" s="45" t="n"/>
      <c r="I2040" s="41">
        <f>IF($C2040="","",IF(H2040="","OK",IF(H2040&gt;EMPLOYES!P19,"⚠ Avance &gt; salaire",IF(H2040&gt;EMPLOYES!P19*PARAMETRES!$C$218,"⚠ Avance élevée","OK"))))</f>
        <v/>
      </c>
      <c r="J2040" s="45" t="n"/>
      <c r="K2040" s="46" t="n"/>
      <c r="L2040" s="46" t="n"/>
      <c r="M2040" s="41">
        <f>IF($C2040="","",SUMPRODUCT((PARAMETRES!$B$38:$B$157=PARAMETRES!$C$29)*(PARAMETRES!$C$38:$C$157=9)*(IF(EMPLOYES!M19="5j",PARAMETRES!$I$38:$I$157,PARAMETRES!$H$38:$H$157))))</f>
        <v/>
      </c>
      <c r="N2040" s="41">
        <f>IF($C2040="","",SUMPRODUCT((O2040:AS2040="P")+(O2040:AS2040="F")+(O2040:AS2040="C")+0.5*(O2040:AS2040="D"),(1-((O2033:AS2033=6)*(EMPLOYES!M19="5j")))))</f>
        <v/>
      </c>
      <c r="O2040" s="46" t="n"/>
      <c r="P2040" s="46" t="n"/>
      <c r="Q2040" s="46" t="n"/>
      <c r="R2040" s="46" t="n"/>
      <c r="S2040" s="46" t="n"/>
      <c r="T2040" s="46" t="n"/>
      <c r="U2040" s="46" t="n"/>
      <c r="V2040" s="46" t="n"/>
      <c r="W2040" s="46" t="n"/>
      <c r="X2040" s="46" t="n"/>
      <c r="Y2040" s="46" t="n"/>
      <c r="Z2040" s="46" t="n"/>
      <c r="AA2040" s="46" t="n"/>
      <c r="AB2040" s="46" t="n"/>
      <c r="AC2040" s="46" t="n"/>
      <c r="AD2040" s="46" t="n"/>
      <c r="AE2040" s="46" t="n"/>
      <c r="AF2040" s="46" t="n"/>
      <c r="AG2040" s="46" t="n"/>
      <c r="AH2040" s="46" t="n"/>
      <c r="AI2040" s="46" t="n"/>
      <c r="AJ2040" s="46" t="n"/>
      <c r="AK2040" s="46" t="n"/>
      <c r="AL2040" s="46" t="n"/>
      <c r="AM2040" s="46" t="n"/>
      <c r="AN2040" s="46" t="n"/>
      <c r="AO2040" s="46" t="n"/>
      <c r="AP2040" s="46" t="n"/>
      <c r="AQ2040" s="46" t="n"/>
      <c r="AR2040" s="46" t="n"/>
      <c r="AS2040" s="46" t="n"/>
      <c r="AV2040" s="36">
        <f>IF($C2040="","",EMPLOYES!M19)</f>
        <v/>
      </c>
      <c r="AW2040" s="36">
        <f>IF($C2040="",0,SUMPRODUCT(--(O2040:AS2040="C")))</f>
        <v/>
      </c>
      <c r="AX2040" s="36">
        <f>IF($C2040="",0,SUMPRODUCT(--(O2040:AS2040="R")))</f>
        <v/>
      </c>
      <c r="AY2040" s="44" t="n"/>
    </row>
    <row r="2041" hidden="1" outlineLevel="1" ht="15" customHeight="1" s="15">
      <c r="B2041" s="41" t="n">
        <v>9</v>
      </c>
      <c r="C2041" s="42">
        <f>IF(EMPLOYES!C20="","",EMPLOYES!C20)</f>
        <v/>
      </c>
      <c r="D2041" s="43">
        <f>IF(EMPLOYES!C20="","",EMPLOYES!D20)</f>
        <v/>
      </c>
      <c r="E2041" s="44" t="n"/>
      <c r="F2041" s="42" t="n"/>
      <c r="G2041" s="41">
        <f>IF($C2041="",0,MAX(0,$M2041-$N2041))</f>
        <v/>
      </c>
      <c r="H2041" s="45" t="n"/>
      <c r="I2041" s="41">
        <f>IF($C2041="","",IF(H2041="","OK",IF(H2041&gt;EMPLOYES!P20,"⚠ Avance &gt; salaire",IF(H2041&gt;EMPLOYES!P20*PARAMETRES!$C$218,"⚠ Avance élevée","OK"))))</f>
        <v/>
      </c>
      <c r="J2041" s="45" t="n"/>
      <c r="K2041" s="46" t="n"/>
      <c r="L2041" s="46" t="n"/>
      <c r="M2041" s="41">
        <f>IF($C2041="","",SUMPRODUCT((PARAMETRES!$B$38:$B$157=PARAMETRES!$C$29)*(PARAMETRES!$C$38:$C$157=9)*(IF(EMPLOYES!M20="5j",PARAMETRES!$I$38:$I$157,PARAMETRES!$H$38:$H$157))))</f>
        <v/>
      </c>
      <c r="N2041" s="41">
        <f>IF($C2041="","",SUMPRODUCT((O2041:AS2041="P")+(O2041:AS2041="F")+(O2041:AS2041="C")+0.5*(O2041:AS2041="D"),(1-((O2033:AS2033=6)*(EMPLOYES!M20="5j")))))</f>
        <v/>
      </c>
      <c r="O2041" s="46" t="n"/>
      <c r="P2041" s="46" t="n"/>
      <c r="Q2041" s="46" t="n"/>
      <c r="R2041" s="46" t="n"/>
      <c r="S2041" s="46" t="n"/>
      <c r="T2041" s="46" t="n"/>
      <c r="U2041" s="46" t="n"/>
      <c r="V2041" s="46" t="n"/>
      <c r="W2041" s="46" t="n"/>
      <c r="X2041" s="46" t="n"/>
      <c r="Y2041" s="46" t="n"/>
      <c r="Z2041" s="46" t="n"/>
      <c r="AA2041" s="46" t="n"/>
      <c r="AB2041" s="46" t="n"/>
      <c r="AC2041" s="46" t="n"/>
      <c r="AD2041" s="46" t="n"/>
      <c r="AE2041" s="46" t="n"/>
      <c r="AF2041" s="46" t="n"/>
      <c r="AG2041" s="46" t="n"/>
      <c r="AH2041" s="46" t="n"/>
      <c r="AI2041" s="46" t="n"/>
      <c r="AJ2041" s="46" t="n"/>
      <c r="AK2041" s="46" t="n"/>
      <c r="AL2041" s="46" t="n"/>
      <c r="AM2041" s="46" t="n"/>
      <c r="AN2041" s="46" t="n"/>
      <c r="AO2041" s="46" t="n"/>
      <c r="AP2041" s="46" t="n"/>
      <c r="AQ2041" s="46" t="n"/>
      <c r="AR2041" s="46" t="n"/>
      <c r="AS2041" s="46" t="n"/>
      <c r="AV2041" s="36">
        <f>IF($C2041="","",EMPLOYES!M20)</f>
        <v/>
      </c>
      <c r="AW2041" s="36">
        <f>IF($C2041="",0,SUMPRODUCT(--(O2041:AS2041="C")))</f>
        <v/>
      </c>
      <c r="AX2041" s="36">
        <f>IF($C2041="",0,SUMPRODUCT(--(O2041:AS2041="R")))</f>
        <v/>
      </c>
      <c r="AY2041" s="44" t="n"/>
    </row>
    <row r="2042" hidden="1" outlineLevel="1" ht="15" customHeight="1" s="15">
      <c r="B2042" s="41" t="n">
        <v>9</v>
      </c>
      <c r="C2042" s="42">
        <f>IF(EMPLOYES!C21="","",EMPLOYES!C21)</f>
        <v/>
      </c>
      <c r="D2042" s="43">
        <f>IF(EMPLOYES!C21="","",EMPLOYES!D21)</f>
        <v/>
      </c>
      <c r="E2042" s="44" t="n"/>
      <c r="F2042" s="42" t="n"/>
      <c r="G2042" s="41">
        <f>IF($C2042="",0,MAX(0,$M2042-$N2042))</f>
        <v/>
      </c>
      <c r="H2042" s="45" t="n"/>
      <c r="I2042" s="41">
        <f>IF($C2042="","",IF(H2042="","OK",IF(H2042&gt;EMPLOYES!P21,"⚠ Avance &gt; salaire",IF(H2042&gt;EMPLOYES!P21*PARAMETRES!$C$218,"⚠ Avance élevée","OK"))))</f>
        <v/>
      </c>
      <c r="J2042" s="45" t="n"/>
      <c r="K2042" s="46" t="n"/>
      <c r="L2042" s="46" t="n"/>
      <c r="M2042" s="41">
        <f>IF($C2042="","",SUMPRODUCT((PARAMETRES!$B$38:$B$157=PARAMETRES!$C$29)*(PARAMETRES!$C$38:$C$157=9)*(IF(EMPLOYES!M21="5j",PARAMETRES!$I$38:$I$157,PARAMETRES!$H$38:$H$157))))</f>
        <v/>
      </c>
      <c r="N2042" s="41">
        <f>IF($C2042="","",SUMPRODUCT((O2042:AS2042="P")+(O2042:AS2042="F")+(O2042:AS2042="C")+0.5*(O2042:AS2042="D"),(1-((O2033:AS2033=6)*(EMPLOYES!M21="5j")))))</f>
        <v/>
      </c>
      <c r="O2042" s="46" t="n"/>
      <c r="P2042" s="46" t="n"/>
      <c r="Q2042" s="46" t="n"/>
      <c r="R2042" s="46" t="n"/>
      <c r="S2042" s="46" t="n"/>
      <c r="T2042" s="46" t="n"/>
      <c r="U2042" s="46" t="n"/>
      <c r="V2042" s="46" t="n"/>
      <c r="W2042" s="46" t="n"/>
      <c r="X2042" s="46" t="n"/>
      <c r="Y2042" s="46" t="n"/>
      <c r="Z2042" s="46" t="n"/>
      <c r="AA2042" s="46" t="n"/>
      <c r="AB2042" s="46" t="n"/>
      <c r="AC2042" s="46" t="n"/>
      <c r="AD2042" s="46" t="n"/>
      <c r="AE2042" s="46" t="n"/>
      <c r="AF2042" s="46" t="n"/>
      <c r="AG2042" s="46" t="n"/>
      <c r="AH2042" s="46" t="n"/>
      <c r="AI2042" s="46" t="n"/>
      <c r="AJ2042" s="46" t="n"/>
      <c r="AK2042" s="46" t="n"/>
      <c r="AL2042" s="46" t="n"/>
      <c r="AM2042" s="46" t="n"/>
      <c r="AN2042" s="46" t="n"/>
      <c r="AO2042" s="46" t="n"/>
      <c r="AP2042" s="46" t="n"/>
      <c r="AQ2042" s="46" t="n"/>
      <c r="AR2042" s="46" t="n"/>
      <c r="AS2042" s="46" t="n"/>
      <c r="AV2042" s="36">
        <f>IF($C2042="","",EMPLOYES!M21)</f>
        <v/>
      </c>
      <c r="AW2042" s="36">
        <f>IF($C2042="",0,SUMPRODUCT(--(O2042:AS2042="C")))</f>
        <v/>
      </c>
      <c r="AX2042" s="36">
        <f>IF($C2042="",0,SUMPRODUCT(--(O2042:AS2042="R")))</f>
        <v/>
      </c>
      <c r="AY2042" s="44" t="n"/>
    </row>
    <row r="2043" hidden="1" outlineLevel="1" ht="15" customHeight="1" s="15">
      <c r="B2043" s="41" t="n">
        <v>9</v>
      </c>
      <c r="C2043" s="42">
        <f>IF(EMPLOYES!C22="","",EMPLOYES!C22)</f>
        <v/>
      </c>
      <c r="D2043" s="43">
        <f>IF(EMPLOYES!C22="","",EMPLOYES!D22)</f>
        <v/>
      </c>
      <c r="E2043" s="44" t="n"/>
      <c r="F2043" s="42" t="n"/>
      <c r="G2043" s="41">
        <f>IF($C2043="",0,MAX(0,$M2043-$N2043))</f>
        <v/>
      </c>
      <c r="H2043" s="45" t="n"/>
      <c r="I2043" s="41">
        <f>IF($C2043="","",IF(H2043="","OK",IF(H2043&gt;EMPLOYES!P22,"⚠ Avance &gt; salaire",IF(H2043&gt;EMPLOYES!P22*PARAMETRES!$C$218,"⚠ Avance élevée","OK"))))</f>
        <v/>
      </c>
      <c r="J2043" s="45" t="n"/>
      <c r="K2043" s="46" t="n"/>
      <c r="L2043" s="46" t="n"/>
      <c r="M2043" s="41">
        <f>IF($C2043="","",SUMPRODUCT((PARAMETRES!$B$38:$B$157=PARAMETRES!$C$29)*(PARAMETRES!$C$38:$C$157=9)*(IF(EMPLOYES!M22="5j",PARAMETRES!$I$38:$I$157,PARAMETRES!$H$38:$H$157))))</f>
        <v/>
      </c>
      <c r="N2043" s="41">
        <f>IF($C2043="","",SUMPRODUCT((O2043:AS2043="P")+(O2043:AS2043="F")+(O2043:AS2043="C")+0.5*(O2043:AS2043="D"),(1-((O2033:AS2033=6)*(EMPLOYES!M22="5j")))))</f>
        <v/>
      </c>
      <c r="O2043" s="46" t="n"/>
      <c r="P2043" s="46" t="n"/>
      <c r="Q2043" s="46" t="n"/>
      <c r="R2043" s="46" t="n"/>
      <c r="S2043" s="46" t="n"/>
      <c r="T2043" s="46" t="n"/>
      <c r="U2043" s="46" t="n"/>
      <c r="V2043" s="46" t="n"/>
      <c r="W2043" s="46" t="n"/>
      <c r="X2043" s="46" t="n"/>
      <c r="Y2043" s="46" t="n"/>
      <c r="Z2043" s="46" t="n"/>
      <c r="AA2043" s="46" t="n"/>
      <c r="AB2043" s="46" t="n"/>
      <c r="AC2043" s="46" t="n"/>
      <c r="AD2043" s="46" t="n"/>
      <c r="AE2043" s="46" t="n"/>
      <c r="AF2043" s="46" t="n"/>
      <c r="AG2043" s="46" t="n"/>
      <c r="AH2043" s="46" t="n"/>
      <c r="AI2043" s="46" t="n"/>
      <c r="AJ2043" s="46" t="n"/>
      <c r="AK2043" s="46" t="n"/>
      <c r="AL2043" s="46" t="n"/>
      <c r="AM2043" s="46" t="n"/>
      <c r="AN2043" s="46" t="n"/>
      <c r="AO2043" s="46" t="n"/>
      <c r="AP2043" s="46" t="n"/>
      <c r="AQ2043" s="46" t="n"/>
      <c r="AR2043" s="46" t="n"/>
      <c r="AS2043" s="46" t="n"/>
      <c r="AV2043" s="36">
        <f>IF($C2043="","",EMPLOYES!M22)</f>
        <v/>
      </c>
      <c r="AW2043" s="36">
        <f>IF($C2043="",0,SUMPRODUCT(--(O2043:AS2043="C")))</f>
        <v/>
      </c>
      <c r="AX2043" s="36">
        <f>IF($C2043="",0,SUMPRODUCT(--(O2043:AS2043="R")))</f>
        <v/>
      </c>
      <c r="AY2043" s="44" t="n"/>
    </row>
    <row r="2044" hidden="1" outlineLevel="1" ht="15" customHeight="1" s="15">
      <c r="B2044" s="41" t="n">
        <v>9</v>
      </c>
      <c r="C2044" s="42">
        <f>IF(EMPLOYES!C23="","",EMPLOYES!C23)</f>
        <v/>
      </c>
      <c r="D2044" s="43">
        <f>IF(EMPLOYES!C23="","",EMPLOYES!D23)</f>
        <v/>
      </c>
      <c r="E2044" s="44" t="n"/>
      <c r="F2044" s="42" t="n"/>
      <c r="G2044" s="41">
        <f>IF($C2044="",0,MAX(0,$M2044-$N2044))</f>
        <v/>
      </c>
      <c r="H2044" s="45" t="n"/>
      <c r="I2044" s="41">
        <f>IF($C2044="","",IF(H2044="","OK",IF(H2044&gt;EMPLOYES!P23,"⚠ Avance &gt; salaire",IF(H2044&gt;EMPLOYES!P23*PARAMETRES!$C$218,"⚠ Avance élevée","OK"))))</f>
        <v/>
      </c>
      <c r="J2044" s="45" t="n"/>
      <c r="K2044" s="46" t="n"/>
      <c r="L2044" s="46" t="n"/>
      <c r="M2044" s="41">
        <f>IF($C2044="","",SUMPRODUCT((PARAMETRES!$B$38:$B$157=PARAMETRES!$C$29)*(PARAMETRES!$C$38:$C$157=9)*(IF(EMPLOYES!M23="5j",PARAMETRES!$I$38:$I$157,PARAMETRES!$H$38:$H$157))))</f>
        <v/>
      </c>
      <c r="N2044" s="41">
        <f>IF($C2044="","",SUMPRODUCT((O2044:AS2044="P")+(O2044:AS2044="F")+(O2044:AS2044="C")+0.5*(O2044:AS2044="D"),(1-((O2033:AS2033=6)*(EMPLOYES!M23="5j")))))</f>
        <v/>
      </c>
      <c r="O2044" s="46" t="n"/>
      <c r="P2044" s="46" t="n"/>
      <c r="Q2044" s="46" t="n"/>
      <c r="R2044" s="46" t="n"/>
      <c r="S2044" s="46" t="n"/>
      <c r="T2044" s="46" t="n"/>
      <c r="U2044" s="46" t="n"/>
      <c r="V2044" s="46" t="n"/>
      <c r="W2044" s="46" t="n"/>
      <c r="X2044" s="46" t="n"/>
      <c r="Y2044" s="46" t="n"/>
      <c r="Z2044" s="46" t="n"/>
      <c r="AA2044" s="46" t="n"/>
      <c r="AB2044" s="46" t="n"/>
      <c r="AC2044" s="46" t="n"/>
      <c r="AD2044" s="46" t="n"/>
      <c r="AE2044" s="46" t="n"/>
      <c r="AF2044" s="46" t="n"/>
      <c r="AG2044" s="46" t="n"/>
      <c r="AH2044" s="46" t="n"/>
      <c r="AI2044" s="46" t="n"/>
      <c r="AJ2044" s="46" t="n"/>
      <c r="AK2044" s="46" t="n"/>
      <c r="AL2044" s="46" t="n"/>
      <c r="AM2044" s="46" t="n"/>
      <c r="AN2044" s="46" t="n"/>
      <c r="AO2044" s="46" t="n"/>
      <c r="AP2044" s="46" t="n"/>
      <c r="AQ2044" s="46" t="n"/>
      <c r="AR2044" s="46" t="n"/>
      <c r="AS2044" s="46" t="n"/>
      <c r="AV2044" s="36">
        <f>IF($C2044="","",EMPLOYES!M23)</f>
        <v/>
      </c>
      <c r="AW2044" s="36">
        <f>IF($C2044="",0,SUMPRODUCT(--(O2044:AS2044="C")))</f>
        <v/>
      </c>
      <c r="AX2044" s="36">
        <f>IF($C2044="",0,SUMPRODUCT(--(O2044:AS2044="R")))</f>
        <v/>
      </c>
      <c r="AY2044" s="44" t="n"/>
    </row>
    <row r="2045" hidden="1" outlineLevel="1" ht="15" customHeight="1" s="15">
      <c r="B2045" s="41" t="n">
        <v>9</v>
      </c>
      <c r="C2045" s="42">
        <f>IF(EMPLOYES!C24="","",EMPLOYES!C24)</f>
        <v/>
      </c>
      <c r="D2045" s="43">
        <f>IF(EMPLOYES!C24="","",EMPLOYES!D24)</f>
        <v/>
      </c>
      <c r="E2045" s="44" t="n"/>
      <c r="F2045" s="42" t="n"/>
      <c r="G2045" s="41">
        <f>IF($C2045="",0,MAX(0,$M2045-$N2045))</f>
        <v/>
      </c>
      <c r="H2045" s="45" t="n"/>
      <c r="I2045" s="41">
        <f>IF($C2045="","",IF(H2045="","OK",IF(H2045&gt;EMPLOYES!P24,"⚠ Avance &gt; salaire",IF(H2045&gt;EMPLOYES!P24*PARAMETRES!$C$218,"⚠ Avance élevée","OK"))))</f>
        <v/>
      </c>
      <c r="J2045" s="45" t="n"/>
      <c r="K2045" s="46" t="n"/>
      <c r="L2045" s="46" t="n"/>
      <c r="M2045" s="41">
        <f>IF($C2045="","",SUMPRODUCT((PARAMETRES!$B$38:$B$157=PARAMETRES!$C$29)*(PARAMETRES!$C$38:$C$157=9)*(IF(EMPLOYES!M24="5j",PARAMETRES!$I$38:$I$157,PARAMETRES!$H$38:$H$157))))</f>
        <v/>
      </c>
      <c r="N2045" s="41">
        <f>IF($C2045="","",SUMPRODUCT((O2045:AS2045="P")+(O2045:AS2045="F")+(O2045:AS2045="C")+0.5*(O2045:AS2045="D"),(1-((O2033:AS2033=6)*(EMPLOYES!M24="5j")))))</f>
        <v/>
      </c>
      <c r="O2045" s="46" t="n"/>
      <c r="P2045" s="46" t="n"/>
      <c r="Q2045" s="46" t="n"/>
      <c r="R2045" s="46" t="n"/>
      <c r="S2045" s="46" t="n"/>
      <c r="T2045" s="46" t="n"/>
      <c r="U2045" s="46" t="n"/>
      <c r="V2045" s="46" t="n"/>
      <c r="W2045" s="46" t="n"/>
      <c r="X2045" s="46" t="n"/>
      <c r="Y2045" s="46" t="n"/>
      <c r="Z2045" s="46" t="n"/>
      <c r="AA2045" s="46" t="n"/>
      <c r="AB2045" s="46" t="n"/>
      <c r="AC2045" s="46" t="n"/>
      <c r="AD2045" s="46" t="n"/>
      <c r="AE2045" s="46" t="n"/>
      <c r="AF2045" s="46" t="n"/>
      <c r="AG2045" s="46" t="n"/>
      <c r="AH2045" s="46" t="n"/>
      <c r="AI2045" s="46" t="n"/>
      <c r="AJ2045" s="46" t="n"/>
      <c r="AK2045" s="46" t="n"/>
      <c r="AL2045" s="46" t="n"/>
      <c r="AM2045" s="46" t="n"/>
      <c r="AN2045" s="46" t="n"/>
      <c r="AO2045" s="46" t="n"/>
      <c r="AP2045" s="46" t="n"/>
      <c r="AQ2045" s="46" t="n"/>
      <c r="AR2045" s="46" t="n"/>
      <c r="AS2045" s="46" t="n"/>
      <c r="AV2045" s="36">
        <f>IF($C2045="","",EMPLOYES!M24)</f>
        <v/>
      </c>
      <c r="AW2045" s="36">
        <f>IF($C2045="",0,SUMPRODUCT(--(O2045:AS2045="C")))</f>
        <v/>
      </c>
      <c r="AX2045" s="36">
        <f>IF($C2045="",0,SUMPRODUCT(--(O2045:AS2045="R")))</f>
        <v/>
      </c>
      <c r="AY2045" s="44" t="n"/>
    </row>
    <row r="2046" hidden="1" outlineLevel="1" ht="15" customHeight="1" s="15">
      <c r="B2046" s="41" t="n">
        <v>9</v>
      </c>
      <c r="C2046" s="42">
        <f>IF(EMPLOYES!C25="","",EMPLOYES!C25)</f>
        <v/>
      </c>
      <c r="D2046" s="43">
        <f>IF(EMPLOYES!C25="","",EMPLOYES!D25)</f>
        <v/>
      </c>
      <c r="E2046" s="44" t="n"/>
      <c r="F2046" s="42" t="n"/>
      <c r="G2046" s="41">
        <f>IF($C2046="",0,MAX(0,$M2046-$N2046))</f>
        <v/>
      </c>
      <c r="H2046" s="45" t="n"/>
      <c r="I2046" s="41">
        <f>IF($C2046="","",IF(H2046="","OK",IF(H2046&gt;EMPLOYES!P25,"⚠ Avance &gt; salaire",IF(H2046&gt;EMPLOYES!P25*PARAMETRES!$C$218,"⚠ Avance élevée","OK"))))</f>
        <v/>
      </c>
      <c r="J2046" s="45" t="n"/>
      <c r="K2046" s="46" t="n"/>
      <c r="L2046" s="46" t="n"/>
      <c r="M2046" s="41">
        <f>IF($C2046="","",SUMPRODUCT((PARAMETRES!$B$38:$B$157=PARAMETRES!$C$29)*(PARAMETRES!$C$38:$C$157=9)*(IF(EMPLOYES!M25="5j",PARAMETRES!$I$38:$I$157,PARAMETRES!$H$38:$H$157))))</f>
        <v/>
      </c>
      <c r="N2046" s="41">
        <f>IF($C2046="","",SUMPRODUCT((O2046:AS2046="P")+(O2046:AS2046="F")+(O2046:AS2046="C")+0.5*(O2046:AS2046="D"),(1-((O2033:AS2033=6)*(EMPLOYES!M25="5j")))))</f>
        <v/>
      </c>
      <c r="O2046" s="46" t="n"/>
      <c r="P2046" s="46" t="n"/>
      <c r="Q2046" s="46" t="n"/>
      <c r="R2046" s="46" t="n"/>
      <c r="S2046" s="46" t="n"/>
      <c r="T2046" s="46" t="n"/>
      <c r="U2046" s="46" t="n"/>
      <c r="V2046" s="46" t="n"/>
      <c r="W2046" s="46" t="n"/>
      <c r="X2046" s="46" t="n"/>
      <c r="Y2046" s="46" t="n"/>
      <c r="Z2046" s="46" t="n"/>
      <c r="AA2046" s="46" t="n"/>
      <c r="AB2046" s="46" t="n"/>
      <c r="AC2046" s="46" t="n"/>
      <c r="AD2046" s="46" t="n"/>
      <c r="AE2046" s="46" t="n"/>
      <c r="AF2046" s="46" t="n"/>
      <c r="AG2046" s="46" t="n"/>
      <c r="AH2046" s="46" t="n"/>
      <c r="AI2046" s="46" t="n"/>
      <c r="AJ2046" s="46" t="n"/>
      <c r="AK2046" s="46" t="n"/>
      <c r="AL2046" s="46" t="n"/>
      <c r="AM2046" s="46" t="n"/>
      <c r="AN2046" s="46" t="n"/>
      <c r="AO2046" s="46" t="n"/>
      <c r="AP2046" s="46" t="n"/>
      <c r="AQ2046" s="46" t="n"/>
      <c r="AR2046" s="46" t="n"/>
      <c r="AS2046" s="46" t="n"/>
      <c r="AV2046" s="36">
        <f>IF($C2046="","",EMPLOYES!M25)</f>
        <v/>
      </c>
      <c r="AW2046" s="36">
        <f>IF($C2046="",0,SUMPRODUCT(--(O2046:AS2046="C")))</f>
        <v/>
      </c>
      <c r="AX2046" s="36">
        <f>IF($C2046="",0,SUMPRODUCT(--(O2046:AS2046="R")))</f>
        <v/>
      </c>
      <c r="AY2046" s="44" t="n"/>
    </row>
    <row r="2047" hidden="1" outlineLevel="1" ht="15" customHeight="1" s="15">
      <c r="B2047" s="41" t="n">
        <v>9</v>
      </c>
      <c r="C2047" s="42">
        <f>IF(EMPLOYES!C26="","",EMPLOYES!C26)</f>
        <v/>
      </c>
      <c r="D2047" s="43">
        <f>IF(EMPLOYES!C26="","",EMPLOYES!D26)</f>
        <v/>
      </c>
      <c r="E2047" s="44" t="n"/>
      <c r="F2047" s="42" t="n"/>
      <c r="G2047" s="41">
        <f>IF($C2047="",0,MAX(0,$M2047-$N2047))</f>
        <v/>
      </c>
      <c r="H2047" s="45" t="n"/>
      <c r="I2047" s="41">
        <f>IF($C2047="","",IF(H2047="","OK",IF(H2047&gt;EMPLOYES!P26,"⚠ Avance &gt; salaire",IF(H2047&gt;EMPLOYES!P26*PARAMETRES!$C$218,"⚠ Avance élevée","OK"))))</f>
        <v/>
      </c>
      <c r="J2047" s="45" t="n"/>
      <c r="K2047" s="46" t="n"/>
      <c r="L2047" s="46" t="n"/>
      <c r="M2047" s="41">
        <f>IF($C2047="","",SUMPRODUCT((PARAMETRES!$B$38:$B$157=PARAMETRES!$C$29)*(PARAMETRES!$C$38:$C$157=9)*(IF(EMPLOYES!M26="5j",PARAMETRES!$I$38:$I$157,PARAMETRES!$H$38:$H$157))))</f>
        <v/>
      </c>
      <c r="N2047" s="41">
        <f>IF($C2047="","",SUMPRODUCT((O2047:AS2047="P")+(O2047:AS2047="F")+(O2047:AS2047="C")+0.5*(O2047:AS2047="D"),(1-((O2033:AS2033=6)*(EMPLOYES!M26="5j")))))</f>
        <v/>
      </c>
      <c r="O2047" s="46" t="n"/>
      <c r="P2047" s="46" t="n"/>
      <c r="Q2047" s="46" t="n"/>
      <c r="R2047" s="46" t="n"/>
      <c r="S2047" s="46" t="n"/>
      <c r="T2047" s="46" t="n"/>
      <c r="U2047" s="46" t="n"/>
      <c r="V2047" s="46" t="n"/>
      <c r="W2047" s="46" t="n"/>
      <c r="X2047" s="46" t="n"/>
      <c r="Y2047" s="46" t="n"/>
      <c r="Z2047" s="46" t="n"/>
      <c r="AA2047" s="46" t="n"/>
      <c r="AB2047" s="46" t="n"/>
      <c r="AC2047" s="46" t="n"/>
      <c r="AD2047" s="46" t="n"/>
      <c r="AE2047" s="46" t="n"/>
      <c r="AF2047" s="46" t="n"/>
      <c r="AG2047" s="46" t="n"/>
      <c r="AH2047" s="46" t="n"/>
      <c r="AI2047" s="46" t="n"/>
      <c r="AJ2047" s="46" t="n"/>
      <c r="AK2047" s="46" t="n"/>
      <c r="AL2047" s="46" t="n"/>
      <c r="AM2047" s="46" t="n"/>
      <c r="AN2047" s="46" t="n"/>
      <c r="AO2047" s="46" t="n"/>
      <c r="AP2047" s="46" t="n"/>
      <c r="AQ2047" s="46" t="n"/>
      <c r="AR2047" s="46" t="n"/>
      <c r="AS2047" s="46" t="n"/>
      <c r="AV2047" s="36">
        <f>IF($C2047="","",EMPLOYES!M26)</f>
        <v/>
      </c>
      <c r="AW2047" s="36">
        <f>IF($C2047="",0,SUMPRODUCT(--(O2047:AS2047="C")))</f>
        <v/>
      </c>
      <c r="AX2047" s="36">
        <f>IF($C2047="",0,SUMPRODUCT(--(O2047:AS2047="R")))</f>
        <v/>
      </c>
      <c r="AY2047" s="44" t="n"/>
    </row>
    <row r="2048" hidden="1" outlineLevel="1" ht="15" customHeight="1" s="15">
      <c r="B2048" s="41" t="n">
        <v>9</v>
      </c>
      <c r="C2048" s="42">
        <f>IF(EMPLOYES!C27="","",EMPLOYES!C27)</f>
        <v/>
      </c>
      <c r="D2048" s="43">
        <f>IF(EMPLOYES!C27="","",EMPLOYES!D27)</f>
        <v/>
      </c>
      <c r="E2048" s="44" t="n"/>
      <c r="F2048" s="42" t="n"/>
      <c r="G2048" s="41">
        <f>IF($C2048="",0,MAX(0,$M2048-$N2048))</f>
        <v/>
      </c>
      <c r="H2048" s="45" t="n"/>
      <c r="I2048" s="41">
        <f>IF($C2048="","",IF(H2048="","OK",IF(H2048&gt;EMPLOYES!P27,"⚠ Avance &gt; salaire",IF(H2048&gt;EMPLOYES!P27*PARAMETRES!$C$218,"⚠ Avance élevée","OK"))))</f>
        <v/>
      </c>
      <c r="J2048" s="45" t="n"/>
      <c r="K2048" s="46" t="n"/>
      <c r="L2048" s="46" t="n"/>
      <c r="M2048" s="41">
        <f>IF($C2048="","",SUMPRODUCT((PARAMETRES!$B$38:$B$157=PARAMETRES!$C$29)*(PARAMETRES!$C$38:$C$157=9)*(IF(EMPLOYES!M27="5j",PARAMETRES!$I$38:$I$157,PARAMETRES!$H$38:$H$157))))</f>
        <v/>
      </c>
      <c r="N2048" s="41">
        <f>IF($C2048="","",SUMPRODUCT((O2048:AS2048="P")+(O2048:AS2048="F")+(O2048:AS2048="C")+0.5*(O2048:AS2048="D"),(1-((O2033:AS2033=6)*(EMPLOYES!M27="5j")))))</f>
        <v/>
      </c>
      <c r="O2048" s="46" t="n"/>
      <c r="P2048" s="46" t="n"/>
      <c r="Q2048" s="46" t="n"/>
      <c r="R2048" s="46" t="n"/>
      <c r="S2048" s="46" t="n"/>
      <c r="T2048" s="46" t="n"/>
      <c r="U2048" s="46" t="n"/>
      <c r="V2048" s="46" t="n"/>
      <c r="W2048" s="46" t="n"/>
      <c r="X2048" s="46" t="n"/>
      <c r="Y2048" s="46" t="n"/>
      <c r="Z2048" s="46" t="n"/>
      <c r="AA2048" s="46" t="n"/>
      <c r="AB2048" s="46" t="n"/>
      <c r="AC2048" s="46" t="n"/>
      <c r="AD2048" s="46" t="n"/>
      <c r="AE2048" s="46" t="n"/>
      <c r="AF2048" s="46" t="n"/>
      <c r="AG2048" s="46" t="n"/>
      <c r="AH2048" s="46" t="n"/>
      <c r="AI2048" s="46" t="n"/>
      <c r="AJ2048" s="46" t="n"/>
      <c r="AK2048" s="46" t="n"/>
      <c r="AL2048" s="46" t="n"/>
      <c r="AM2048" s="46" t="n"/>
      <c r="AN2048" s="46" t="n"/>
      <c r="AO2048" s="46" t="n"/>
      <c r="AP2048" s="46" t="n"/>
      <c r="AQ2048" s="46" t="n"/>
      <c r="AR2048" s="46" t="n"/>
      <c r="AS2048" s="46" t="n"/>
      <c r="AV2048" s="36">
        <f>IF($C2048="","",EMPLOYES!M27)</f>
        <v/>
      </c>
      <c r="AW2048" s="36">
        <f>IF($C2048="",0,SUMPRODUCT(--(O2048:AS2048="C")))</f>
        <v/>
      </c>
      <c r="AX2048" s="36">
        <f>IF($C2048="",0,SUMPRODUCT(--(O2048:AS2048="R")))</f>
        <v/>
      </c>
      <c r="AY2048" s="44" t="n"/>
    </row>
    <row r="2049" hidden="1" outlineLevel="1" ht="15" customHeight="1" s="15">
      <c r="B2049" s="41" t="n">
        <v>9</v>
      </c>
      <c r="C2049" s="42">
        <f>IF(EMPLOYES!C28="","",EMPLOYES!C28)</f>
        <v/>
      </c>
      <c r="D2049" s="43">
        <f>IF(EMPLOYES!C28="","",EMPLOYES!D28)</f>
        <v/>
      </c>
      <c r="E2049" s="44" t="n"/>
      <c r="F2049" s="42" t="n"/>
      <c r="G2049" s="41">
        <f>IF($C2049="",0,MAX(0,$M2049-$N2049))</f>
        <v/>
      </c>
      <c r="H2049" s="45" t="n"/>
      <c r="I2049" s="41">
        <f>IF($C2049="","",IF(H2049="","OK",IF(H2049&gt;EMPLOYES!P28,"⚠ Avance &gt; salaire",IF(H2049&gt;EMPLOYES!P28*PARAMETRES!$C$218,"⚠ Avance élevée","OK"))))</f>
        <v/>
      </c>
      <c r="J2049" s="45" t="n"/>
      <c r="K2049" s="46" t="n"/>
      <c r="L2049" s="46" t="n"/>
      <c r="M2049" s="41">
        <f>IF($C2049="","",SUMPRODUCT((PARAMETRES!$B$38:$B$157=PARAMETRES!$C$29)*(PARAMETRES!$C$38:$C$157=9)*(IF(EMPLOYES!M28="5j",PARAMETRES!$I$38:$I$157,PARAMETRES!$H$38:$H$157))))</f>
        <v/>
      </c>
      <c r="N2049" s="41">
        <f>IF($C2049="","",SUMPRODUCT((O2049:AS2049="P")+(O2049:AS2049="F")+(O2049:AS2049="C")+0.5*(O2049:AS2049="D"),(1-((O2033:AS2033=6)*(EMPLOYES!M28="5j")))))</f>
        <v/>
      </c>
      <c r="O2049" s="46" t="n"/>
      <c r="P2049" s="46" t="n"/>
      <c r="Q2049" s="46" t="n"/>
      <c r="R2049" s="46" t="n"/>
      <c r="S2049" s="46" t="n"/>
      <c r="T2049" s="46" t="n"/>
      <c r="U2049" s="46" t="n"/>
      <c r="V2049" s="46" t="n"/>
      <c r="W2049" s="46" t="n"/>
      <c r="X2049" s="46" t="n"/>
      <c r="Y2049" s="46" t="n"/>
      <c r="Z2049" s="46" t="n"/>
      <c r="AA2049" s="46" t="n"/>
      <c r="AB2049" s="46" t="n"/>
      <c r="AC2049" s="46" t="n"/>
      <c r="AD2049" s="46" t="n"/>
      <c r="AE2049" s="46" t="n"/>
      <c r="AF2049" s="46" t="n"/>
      <c r="AG2049" s="46" t="n"/>
      <c r="AH2049" s="46" t="n"/>
      <c r="AI2049" s="46" t="n"/>
      <c r="AJ2049" s="46" t="n"/>
      <c r="AK2049" s="46" t="n"/>
      <c r="AL2049" s="46" t="n"/>
      <c r="AM2049" s="46" t="n"/>
      <c r="AN2049" s="46" t="n"/>
      <c r="AO2049" s="46" t="n"/>
      <c r="AP2049" s="46" t="n"/>
      <c r="AQ2049" s="46" t="n"/>
      <c r="AR2049" s="46" t="n"/>
      <c r="AS2049" s="46" t="n"/>
      <c r="AV2049" s="36">
        <f>IF($C2049="","",EMPLOYES!M28)</f>
        <v/>
      </c>
      <c r="AW2049" s="36">
        <f>IF($C2049="",0,SUMPRODUCT(--(O2049:AS2049="C")))</f>
        <v/>
      </c>
      <c r="AX2049" s="36">
        <f>IF($C2049="",0,SUMPRODUCT(--(O2049:AS2049="R")))</f>
        <v/>
      </c>
      <c r="AY2049" s="44" t="n"/>
    </row>
    <row r="2050" hidden="1" outlineLevel="1" ht="15" customHeight="1" s="15">
      <c r="B2050" s="41" t="n">
        <v>9</v>
      </c>
      <c r="C2050" s="42">
        <f>IF(EMPLOYES!C29="","",EMPLOYES!C29)</f>
        <v/>
      </c>
      <c r="D2050" s="43">
        <f>IF(EMPLOYES!C29="","",EMPLOYES!D29)</f>
        <v/>
      </c>
      <c r="E2050" s="44" t="n"/>
      <c r="F2050" s="42" t="n"/>
      <c r="G2050" s="41">
        <f>IF($C2050="",0,MAX(0,$M2050-$N2050))</f>
        <v/>
      </c>
      <c r="H2050" s="45" t="n"/>
      <c r="I2050" s="41">
        <f>IF($C2050="","",IF(H2050="","OK",IF(H2050&gt;EMPLOYES!P29,"⚠ Avance &gt; salaire",IF(H2050&gt;EMPLOYES!P29*PARAMETRES!$C$218,"⚠ Avance élevée","OK"))))</f>
        <v/>
      </c>
      <c r="J2050" s="45" t="n"/>
      <c r="K2050" s="46" t="n"/>
      <c r="L2050" s="46" t="n"/>
      <c r="M2050" s="41">
        <f>IF($C2050="","",SUMPRODUCT((PARAMETRES!$B$38:$B$157=PARAMETRES!$C$29)*(PARAMETRES!$C$38:$C$157=9)*(IF(EMPLOYES!M29="5j",PARAMETRES!$I$38:$I$157,PARAMETRES!$H$38:$H$157))))</f>
        <v/>
      </c>
      <c r="N2050" s="41">
        <f>IF($C2050="","",SUMPRODUCT((O2050:AS2050="P")+(O2050:AS2050="F")+(O2050:AS2050="C")+0.5*(O2050:AS2050="D"),(1-((O2033:AS2033=6)*(EMPLOYES!M29="5j")))))</f>
        <v/>
      </c>
      <c r="O2050" s="46" t="n"/>
      <c r="P2050" s="46" t="n"/>
      <c r="Q2050" s="46" t="n"/>
      <c r="R2050" s="46" t="n"/>
      <c r="S2050" s="46" t="n"/>
      <c r="T2050" s="46" t="n"/>
      <c r="U2050" s="46" t="n"/>
      <c r="V2050" s="46" t="n"/>
      <c r="W2050" s="46" t="n"/>
      <c r="X2050" s="46" t="n"/>
      <c r="Y2050" s="46" t="n"/>
      <c r="Z2050" s="46" t="n"/>
      <c r="AA2050" s="46" t="n"/>
      <c r="AB2050" s="46" t="n"/>
      <c r="AC2050" s="46" t="n"/>
      <c r="AD2050" s="46" t="n"/>
      <c r="AE2050" s="46" t="n"/>
      <c r="AF2050" s="46" t="n"/>
      <c r="AG2050" s="46" t="n"/>
      <c r="AH2050" s="46" t="n"/>
      <c r="AI2050" s="46" t="n"/>
      <c r="AJ2050" s="46" t="n"/>
      <c r="AK2050" s="46" t="n"/>
      <c r="AL2050" s="46" t="n"/>
      <c r="AM2050" s="46" t="n"/>
      <c r="AN2050" s="46" t="n"/>
      <c r="AO2050" s="46" t="n"/>
      <c r="AP2050" s="46" t="n"/>
      <c r="AQ2050" s="46" t="n"/>
      <c r="AR2050" s="46" t="n"/>
      <c r="AS2050" s="46" t="n"/>
      <c r="AV2050" s="36">
        <f>IF($C2050="","",EMPLOYES!M29)</f>
        <v/>
      </c>
      <c r="AW2050" s="36">
        <f>IF($C2050="",0,SUMPRODUCT(--(O2050:AS2050="C")))</f>
        <v/>
      </c>
      <c r="AX2050" s="36">
        <f>IF($C2050="",0,SUMPRODUCT(--(O2050:AS2050="R")))</f>
        <v/>
      </c>
      <c r="AY2050" s="44" t="n"/>
    </row>
    <row r="2051" hidden="1" outlineLevel="1" ht="15" customHeight="1" s="15">
      <c r="B2051" s="41" t="n">
        <v>9</v>
      </c>
      <c r="C2051" s="42">
        <f>IF(EMPLOYES!C30="","",EMPLOYES!C30)</f>
        <v/>
      </c>
      <c r="D2051" s="43">
        <f>IF(EMPLOYES!C30="","",EMPLOYES!D30)</f>
        <v/>
      </c>
      <c r="E2051" s="44" t="n"/>
      <c r="F2051" s="42" t="n"/>
      <c r="G2051" s="41">
        <f>IF($C2051="",0,MAX(0,$M2051-$N2051))</f>
        <v/>
      </c>
      <c r="H2051" s="45" t="n"/>
      <c r="I2051" s="41">
        <f>IF($C2051="","",IF(H2051="","OK",IF(H2051&gt;EMPLOYES!P30,"⚠ Avance &gt; salaire",IF(H2051&gt;EMPLOYES!P30*PARAMETRES!$C$218,"⚠ Avance élevée","OK"))))</f>
        <v/>
      </c>
      <c r="J2051" s="45" t="n"/>
      <c r="K2051" s="46" t="n"/>
      <c r="L2051" s="46" t="n"/>
      <c r="M2051" s="41">
        <f>IF($C2051="","",SUMPRODUCT((PARAMETRES!$B$38:$B$157=PARAMETRES!$C$29)*(PARAMETRES!$C$38:$C$157=9)*(IF(EMPLOYES!M30="5j",PARAMETRES!$I$38:$I$157,PARAMETRES!$H$38:$H$157))))</f>
        <v/>
      </c>
      <c r="N2051" s="41">
        <f>IF($C2051="","",SUMPRODUCT((O2051:AS2051="P")+(O2051:AS2051="F")+(O2051:AS2051="C")+0.5*(O2051:AS2051="D"),(1-((O2033:AS2033=6)*(EMPLOYES!M30="5j")))))</f>
        <v/>
      </c>
      <c r="O2051" s="46" t="n"/>
      <c r="P2051" s="46" t="n"/>
      <c r="Q2051" s="46" t="n"/>
      <c r="R2051" s="46" t="n"/>
      <c r="S2051" s="46" t="n"/>
      <c r="T2051" s="46" t="n"/>
      <c r="U2051" s="46" t="n"/>
      <c r="V2051" s="46" t="n"/>
      <c r="W2051" s="46" t="n"/>
      <c r="X2051" s="46" t="n"/>
      <c r="Y2051" s="46" t="n"/>
      <c r="Z2051" s="46" t="n"/>
      <c r="AA2051" s="46" t="n"/>
      <c r="AB2051" s="46" t="n"/>
      <c r="AC2051" s="46" t="n"/>
      <c r="AD2051" s="46" t="n"/>
      <c r="AE2051" s="46" t="n"/>
      <c r="AF2051" s="46" t="n"/>
      <c r="AG2051" s="46" t="n"/>
      <c r="AH2051" s="46" t="n"/>
      <c r="AI2051" s="46" t="n"/>
      <c r="AJ2051" s="46" t="n"/>
      <c r="AK2051" s="46" t="n"/>
      <c r="AL2051" s="46" t="n"/>
      <c r="AM2051" s="46" t="n"/>
      <c r="AN2051" s="46" t="n"/>
      <c r="AO2051" s="46" t="n"/>
      <c r="AP2051" s="46" t="n"/>
      <c r="AQ2051" s="46" t="n"/>
      <c r="AR2051" s="46" t="n"/>
      <c r="AS2051" s="46" t="n"/>
      <c r="AV2051" s="36">
        <f>IF($C2051="","",EMPLOYES!M30)</f>
        <v/>
      </c>
      <c r="AW2051" s="36">
        <f>IF($C2051="",0,SUMPRODUCT(--(O2051:AS2051="C")))</f>
        <v/>
      </c>
      <c r="AX2051" s="36">
        <f>IF($C2051="",0,SUMPRODUCT(--(O2051:AS2051="R")))</f>
        <v/>
      </c>
      <c r="AY2051" s="44" t="n"/>
    </row>
    <row r="2052" hidden="1" outlineLevel="1" ht="15" customHeight="1" s="15">
      <c r="B2052" s="41" t="n">
        <v>9</v>
      </c>
      <c r="C2052" s="42">
        <f>IF(EMPLOYES!C31="","",EMPLOYES!C31)</f>
        <v/>
      </c>
      <c r="D2052" s="43">
        <f>IF(EMPLOYES!C31="","",EMPLOYES!D31)</f>
        <v/>
      </c>
      <c r="E2052" s="44" t="n"/>
      <c r="F2052" s="42" t="n"/>
      <c r="G2052" s="41">
        <f>IF($C2052="",0,MAX(0,$M2052-$N2052))</f>
        <v/>
      </c>
      <c r="H2052" s="45" t="n"/>
      <c r="I2052" s="41">
        <f>IF($C2052="","",IF(H2052="","OK",IF(H2052&gt;EMPLOYES!P31,"⚠ Avance &gt; salaire",IF(H2052&gt;EMPLOYES!P31*PARAMETRES!$C$218,"⚠ Avance élevée","OK"))))</f>
        <v/>
      </c>
      <c r="J2052" s="45" t="n"/>
      <c r="K2052" s="46" t="n"/>
      <c r="L2052" s="46" t="n"/>
      <c r="M2052" s="41">
        <f>IF($C2052="","",SUMPRODUCT((PARAMETRES!$B$38:$B$157=PARAMETRES!$C$29)*(PARAMETRES!$C$38:$C$157=9)*(IF(EMPLOYES!M31="5j",PARAMETRES!$I$38:$I$157,PARAMETRES!$H$38:$H$157))))</f>
        <v/>
      </c>
      <c r="N2052" s="41">
        <f>IF($C2052="","",SUMPRODUCT((O2052:AS2052="P")+(O2052:AS2052="F")+(O2052:AS2052="C")+0.5*(O2052:AS2052="D"),(1-((O2033:AS2033=6)*(EMPLOYES!M31="5j")))))</f>
        <v/>
      </c>
      <c r="O2052" s="46" t="n"/>
      <c r="P2052" s="46" t="n"/>
      <c r="Q2052" s="46" t="n"/>
      <c r="R2052" s="46" t="n"/>
      <c r="S2052" s="46" t="n"/>
      <c r="T2052" s="46" t="n"/>
      <c r="U2052" s="46" t="n"/>
      <c r="V2052" s="46" t="n"/>
      <c r="W2052" s="46" t="n"/>
      <c r="X2052" s="46" t="n"/>
      <c r="Y2052" s="46" t="n"/>
      <c r="Z2052" s="46" t="n"/>
      <c r="AA2052" s="46" t="n"/>
      <c r="AB2052" s="46" t="n"/>
      <c r="AC2052" s="46" t="n"/>
      <c r="AD2052" s="46" t="n"/>
      <c r="AE2052" s="46" t="n"/>
      <c r="AF2052" s="46" t="n"/>
      <c r="AG2052" s="46" t="n"/>
      <c r="AH2052" s="46" t="n"/>
      <c r="AI2052" s="46" t="n"/>
      <c r="AJ2052" s="46" t="n"/>
      <c r="AK2052" s="46" t="n"/>
      <c r="AL2052" s="46" t="n"/>
      <c r="AM2052" s="46" t="n"/>
      <c r="AN2052" s="46" t="n"/>
      <c r="AO2052" s="46" t="n"/>
      <c r="AP2052" s="46" t="n"/>
      <c r="AQ2052" s="46" t="n"/>
      <c r="AR2052" s="46" t="n"/>
      <c r="AS2052" s="46" t="n"/>
      <c r="AV2052" s="36">
        <f>IF($C2052="","",EMPLOYES!M31)</f>
        <v/>
      </c>
      <c r="AW2052" s="36">
        <f>IF($C2052="",0,SUMPRODUCT(--(O2052:AS2052="C")))</f>
        <v/>
      </c>
      <c r="AX2052" s="36">
        <f>IF($C2052="",0,SUMPRODUCT(--(O2052:AS2052="R")))</f>
        <v/>
      </c>
      <c r="AY2052" s="44" t="n"/>
    </row>
    <row r="2053" hidden="1" outlineLevel="1" ht="15" customHeight="1" s="15">
      <c r="B2053" s="41" t="n">
        <v>9</v>
      </c>
      <c r="C2053" s="42">
        <f>IF(EMPLOYES!C32="","",EMPLOYES!C32)</f>
        <v/>
      </c>
      <c r="D2053" s="43">
        <f>IF(EMPLOYES!C32="","",EMPLOYES!D32)</f>
        <v/>
      </c>
      <c r="E2053" s="44" t="n"/>
      <c r="F2053" s="42" t="n"/>
      <c r="G2053" s="41">
        <f>IF($C2053="",0,MAX(0,$M2053-$N2053))</f>
        <v/>
      </c>
      <c r="H2053" s="45" t="n"/>
      <c r="I2053" s="41">
        <f>IF($C2053="","",IF(H2053="","OK",IF(H2053&gt;EMPLOYES!P32,"⚠ Avance &gt; salaire",IF(H2053&gt;EMPLOYES!P32*PARAMETRES!$C$218,"⚠ Avance élevée","OK"))))</f>
        <v/>
      </c>
      <c r="J2053" s="45" t="n"/>
      <c r="K2053" s="46" t="n"/>
      <c r="L2053" s="46" t="n"/>
      <c r="M2053" s="41">
        <f>IF($C2053="","",SUMPRODUCT((PARAMETRES!$B$38:$B$157=PARAMETRES!$C$29)*(PARAMETRES!$C$38:$C$157=9)*(IF(EMPLOYES!M32="5j",PARAMETRES!$I$38:$I$157,PARAMETRES!$H$38:$H$157))))</f>
        <v/>
      </c>
      <c r="N2053" s="41">
        <f>IF($C2053="","",SUMPRODUCT((O2053:AS2053="P")+(O2053:AS2053="F")+(O2053:AS2053="C")+0.5*(O2053:AS2053="D"),(1-((O2033:AS2033=6)*(EMPLOYES!M32="5j")))))</f>
        <v/>
      </c>
      <c r="O2053" s="46" t="n"/>
      <c r="P2053" s="46" t="n"/>
      <c r="Q2053" s="46" t="n"/>
      <c r="R2053" s="46" t="n"/>
      <c r="S2053" s="46" t="n"/>
      <c r="T2053" s="46" t="n"/>
      <c r="U2053" s="46" t="n"/>
      <c r="V2053" s="46" t="n"/>
      <c r="W2053" s="46" t="n"/>
      <c r="X2053" s="46" t="n"/>
      <c r="Y2053" s="46" t="n"/>
      <c r="Z2053" s="46" t="n"/>
      <c r="AA2053" s="46" t="n"/>
      <c r="AB2053" s="46" t="n"/>
      <c r="AC2053" s="46" t="n"/>
      <c r="AD2053" s="46" t="n"/>
      <c r="AE2053" s="46" t="n"/>
      <c r="AF2053" s="46" t="n"/>
      <c r="AG2053" s="46" t="n"/>
      <c r="AH2053" s="46" t="n"/>
      <c r="AI2053" s="46" t="n"/>
      <c r="AJ2053" s="46" t="n"/>
      <c r="AK2053" s="46" t="n"/>
      <c r="AL2053" s="46" t="n"/>
      <c r="AM2053" s="46" t="n"/>
      <c r="AN2053" s="46" t="n"/>
      <c r="AO2053" s="46" t="n"/>
      <c r="AP2053" s="46" t="n"/>
      <c r="AQ2053" s="46" t="n"/>
      <c r="AR2053" s="46" t="n"/>
      <c r="AS2053" s="46" t="n"/>
      <c r="AV2053" s="36">
        <f>IF($C2053="","",EMPLOYES!M32)</f>
        <v/>
      </c>
      <c r="AW2053" s="36">
        <f>IF($C2053="",0,SUMPRODUCT(--(O2053:AS2053="C")))</f>
        <v/>
      </c>
      <c r="AX2053" s="36">
        <f>IF($C2053="",0,SUMPRODUCT(--(O2053:AS2053="R")))</f>
        <v/>
      </c>
      <c r="AY2053" s="44" t="n"/>
    </row>
    <row r="2054" hidden="1" outlineLevel="1" ht="15" customHeight="1" s="15">
      <c r="B2054" s="41" t="n">
        <v>9</v>
      </c>
      <c r="C2054" s="42">
        <f>IF(EMPLOYES!C33="","",EMPLOYES!C33)</f>
        <v/>
      </c>
      <c r="D2054" s="43">
        <f>IF(EMPLOYES!C33="","",EMPLOYES!D33)</f>
        <v/>
      </c>
      <c r="E2054" s="44" t="n"/>
      <c r="F2054" s="42" t="n"/>
      <c r="G2054" s="41">
        <f>IF($C2054="",0,MAX(0,$M2054-$N2054))</f>
        <v/>
      </c>
      <c r="H2054" s="45" t="n"/>
      <c r="I2054" s="41">
        <f>IF($C2054="","",IF(H2054="","OK",IF(H2054&gt;EMPLOYES!P33,"⚠ Avance &gt; salaire",IF(H2054&gt;EMPLOYES!P33*PARAMETRES!$C$218,"⚠ Avance élevée","OK"))))</f>
        <v/>
      </c>
      <c r="J2054" s="45" t="n"/>
      <c r="K2054" s="46" t="n"/>
      <c r="L2054" s="46" t="n"/>
      <c r="M2054" s="41">
        <f>IF($C2054="","",SUMPRODUCT((PARAMETRES!$B$38:$B$157=PARAMETRES!$C$29)*(PARAMETRES!$C$38:$C$157=9)*(IF(EMPLOYES!M33="5j",PARAMETRES!$I$38:$I$157,PARAMETRES!$H$38:$H$157))))</f>
        <v/>
      </c>
      <c r="N2054" s="41">
        <f>IF($C2054="","",SUMPRODUCT((O2054:AS2054="P")+(O2054:AS2054="F")+(O2054:AS2054="C")+0.5*(O2054:AS2054="D"),(1-((O2033:AS2033=6)*(EMPLOYES!M33="5j")))))</f>
        <v/>
      </c>
      <c r="O2054" s="46" t="n"/>
      <c r="P2054" s="46" t="n"/>
      <c r="Q2054" s="46" t="n"/>
      <c r="R2054" s="46" t="n"/>
      <c r="S2054" s="46" t="n"/>
      <c r="T2054" s="46" t="n"/>
      <c r="U2054" s="46" t="n"/>
      <c r="V2054" s="46" t="n"/>
      <c r="W2054" s="46" t="n"/>
      <c r="X2054" s="46" t="n"/>
      <c r="Y2054" s="46" t="n"/>
      <c r="Z2054" s="46" t="n"/>
      <c r="AA2054" s="46" t="n"/>
      <c r="AB2054" s="46" t="n"/>
      <c r="AC2054" s="46" t="n"/>
      <c r="AD2054" s="46" t="n"/>
      <c r="AE2054" s="46" t="n"/>
      <c r="AF2054" s="46" t="n"/>
      <c r="AG2054" s="46" t="n"/>
      <c r="AH2054" s="46" t="n"/>
      <c r="AI2054" s="46" t="n"/>
      <c r="AJ2054" s="46" t="n"/>
      <c r="AK2054" s="46" t="n"/>
      <c r="AL2054" s="46" t="n"/>
      <c r="AM2054" s="46" t="n"/>
      <c r="AN2054" s="46" t="n"/>
      <c r="AO2054" s="46" t="n"/>
      <c r="AP2054" s="46" t="n"/>
      <c r="AQ2054" s="46" t="n"/>
      <c r="AR2054" s="46" t="n"/>
      <c r="AS2054" s="46" t="n"/>
      <c r="AV2054" s="36">
        <f>IF($C2054="","",EMPLOYES!M33)</f>
        <v/>
      </c>
      <c r="AW2054" s="36">
        <f>IF($C2054="",0,SUMPRODUCT(--(O2054:AS2054="C")))</f>
        <v/>
      </c>
      <c r="AX2054" s="36">
        <f>IF($C2054="",0,SUMPRODUCT(--(O2054:AS2054="R")))</f>
        <v/>
      </c>
      <c r="AY2054" s="44" t="n"/>
    </row>
    <row r="2055" hidden="1" outlineLevel="1" ht="15" customHeight="1" s="15">
      <c r="B2055" s="41" t="n">
        <v>9</v>
      </c>
      <c r="C2055" s="42">
        <f>IF(EMPLOYES!C34="","",EMPLOYES!C34)</f>
        <v/>
      </c>
      <c r="D2055" s="43">
        <f>IF(EMPLOYES!C34="","",EMPLOYES!D34)</f>
        <v/>
      </c>
      <c r="E2055" s="44" t="n"/>
      <c r="F2055" s="42" t="n"/>
      <c r="G2055" s="41">
        <f>IF($C2055="",0,MAX(0,$M2055-$N2055))</f>
        <v/>
      </c>
      <c r="H2055" s="45" t="n"/>
      <c r="I2055" s="41">
        <f>IF($C2055="","",IF(H2055="","OK",IF(H2055&gt;EMPLOYES!P34,"⚠ Avance &gt; salaire",IF(H2055&gt;EMPLOYES!P34*PARAMETRES!$C$218,"⚠ Avance élevée","OK"))))</f>
        <v/>
      </c>
      <c r="J2055" s="45" t="n"/>
      <c r="K2055" s="46" t="n"/>
      <c r="L2055" s="46" t="n"/>
      <c r="M2055" s="41">
        <f>IF($C2055="","",SUMPRODUCT((PARAMETRES!$B$38:$B$157=PARAMETRES!$C$29)*(PARAMETRES!$C$38:$C$157=9)*(IF(EMPLOYES!M34="5j",PARAMETRES!$I$38:$I$157,PARAMETRES!$H$38:$H$157))))</f>
        <v/>
      </c>
      <c r="N2055" s="41">
        <f>IF($C2055="","",SUMPRODUCT((O2055:AS2055="P")+(O2055:AS2055="F")+(O2055:AS2055="C")+0.5*(O2055:AS2055="D"),(1-((O2033:AS2033=6)*(EMPLOYES!M34="5j")))))</f>
        <v/>
      </c>
      <c r="O2055" s="46" t="n"/>
      <c r="P2055" s="46" t="n"/>
      <c r="Q2055" s="46" t="n"/>
      <c r="R2055" s="46" t="n"/>
      <c r="S2055" s="46" t="n"/>
      <c r="T2055" s="46" t="n"/>
      <c r="U2055" s="46" t="n"/>
      <c r="V2055" s="46" t="n"/>
      <c r="W2055" s="46" t="n"/>
      <c r="X2055" s="46" t="n"/>
      <c r="Y2055" s="46" t="n"/>
      <c r="Z2055" s="46" t="n"/>
      <c r="AA2055" s="46" t="n"/>
      <c r="AB2055" s="46" t="n"/>
      <c r="AC2055" s="46" t="n"/>
      <c r="AD2055" s="46" t="n"/>
      <c r="AE2055" s="46" t="n"/>
      <c r="AF2055" s="46" t="n"/>
      <c r="AG2055" s="46" t="n"/>
      <c r="AH2055" s="46" t="n"/>
      <c r="AI2055" s="46" t="n"/>
      <c r="AJ2055" s="46" t="n"/>
      <c r="AK2055" s="46" t="n"/>
      <c r="AL2055" s="46" t="n"/>
      <c r="AM2055" s="46" t="n"/>
      <c r="AN2055" s="46" t="n"/>
      <c r="AO2055" s="46" t="n"/>
      <c r="AP2055" s="46" t="n"/>
      <c r="AQ2055" s="46" t="n"/>
      <c r="AR2055" s="46" t="n"/>
      <c r="AS2055" s="46" t="n"/>
      <c r="AV2055" s="36">
        <f>IF($C2055="","",EMPLOYES!M34)</f>
        <v/>
      </c>
      <c r="AW2055" s="36">
        <f>IF($C2055="",0,SUMPRODUCT(--(O2055:AS2055="C")))</f>
        <v/>
      </c>
      <c r="AX2055" s="36">
        <f>IF($C2055="",0,SUMPRODUCT(--(O2055:AS2055="R")))</f>
        <v/>
      </c>
      <c r="AY2055" s="44" t="n"/>
    </row>
    <row r="2056" hidden="1" outlineLevel="1" ht="15" customHeight="1" s="15">
      <c r="B2056" s="41" t="n">
        <v>9</v>
      </c>
      <c r="C2056" s="42">
        <f>IF(EMPLOYES!C35="","",EMPLOYES!C35)</f>
        <v/>
      </c>
      <c r="D2056" s="43">
        <f>IF(EMPLOYES!C35="","",EMPLOYES!D35)</f>
        <v/>
      </c>
      <c r="E2056" s="44" t="n"/>
      <c r="F2056" s="42" t="n"/>
      <c r="G2056" s="41">
        <f>IF($C2056="",0,MAX(0,$M2056-$N2056))</f>
        <v/>
      </c>
      <c r="H2056" s="45" t="n"/>
      <c r="I2056" s="41">
        <f>IF($C2056="","",IF(H2056="","OK",IF(H2056&gt;EMPLOYES!P35,"⚠ Avance &gt; salaire",IF(H2056&gt;EMPLOYES!P35*PARAMETRES!$C$218,"⚠ Avance élevée","OK"))))</f>
        <v/>
      </c>
      <c r="J2056" s="45" t="n"/>
      <c r="K2056" s="46" t="n"/>
      <c r="L2056" s="46" t="n"/>
      <c r="M2056" s="41">
        <f>IF($C2056="","",SUMPRODUCT((PARAMETRES!$B$38:$B$157=PARAMETRES!$C$29)*(PARAMETRES!$C$38:$C$157=9)*(IF(EMPLOYES!M35="5j",PARAMETRES!$I$38:$I$157,PARAMETRES!$H$38:$H$157))))</f>
        <v/>
      </c>
      <c r="N2056" s="41">
        <f>IF($C2056="","",SUMPRODUCT((O2056:AS2056="P")+(O2056:AS2056="F")+(O2056:AS2056="C")+0.5*(O2056:AS2056="D"),(1-((O2033:AS2033=6)*(EMPLOYES!M35="5j")))))</f>
        <v/>
      </c>
      <c r="O2056" s="46" t="n"/>
      <c r="P2056" s="46" t="n"/>
      <c r="Q2056" s="46" t="n"/>
      <c r="R2056" s="46" t="n"/>
      <c r="S2056" s="46" t="n"/>
      <c r="T2056" s="46" t="n"/>
      <c r="U2056" s="46" t="n"/>
      <c r="V2056" s="46" t="n"/>
      <c r="W2056" s="46" t="n"/>
      <c r="X2056" s="46" t="n"/>
      <c r="Y2056" s="46" t="n"/>
      <c r="Z2056" s="46" t="n"/>
      <c r="AA2056" s="46" t="n"/>
      <c r="AB2056" s="46" t="n"/>
      <c r="AC2056" s="46" t="n"/>
      <c r="AD2056" s="46" t="n"/>
      <c r="AE2056" s="46" t="n"/>
      <c r="AF2056" s="46" t="n"/>
      <c r="AG2056" s="46" t="n"/>
      <c r="AH2056" s="46" t="n"/>
      <c r="AI2056" s="46" t="n"/>
      <c r="AJ2056" s="46" t="n"/>
      <c r="AK2056" s="46" t="n"/>
      <c r="AL2056" s="46" t="n"/>
      <c r="AM2056" s="46" t="n"/>
      <c r="AN2056" s="46" t="n"/>
      <c r="AO2056" s="46" t="n"/>
      <c r="AP2056" s="46" t="n"/>
      <c r="AQ2056" s="46" t="n"/>
      <c r="AR2056" s="46" t="n"/>
      <c r="AS2056" s="46" t="n"/>
      <c r="AV2056" s="36">
        <f>IF($C2056="","",EMPLOYES!M35)</f>
        <v/>
      </c>
      <c r="AW2056" s="36">
        <f>IF($C2056="",0,SUMPRODUCT(--(O2056:AS2056="C")))</f>
        <v/>
      </c>
      <c r="AX2056" s="36">
        <f>IF($C2056="",0,SUMPRODUCT(--(O2056:AS2056="R")))</f>
        <v/>
      </c>
      <c r="AY2056" s="44" t="n"/>
    </row>
    <row r="2057" hidden="1" outlineLevel="1" ht="15" customHeight="1" s="15">
      <c r="B2057" s="41" t="n">
        <v>9</v>
      </c>
      <c r="C2057" s="42">
        <f>IF(EMPLOYES!C36="","",EMPLOYES!C36)</f>
        <v/>
      </c>
      <c r="D2057" s="43">
        <f>IF(EMPLOYES!C36="","",EMPLOYES!D36)</f>
        <v/>
      </c>
      <c r="E2057" s="44" t="n"/>
      <c r="F2057" s="42" t="n"/>
      <c r="G2057" s="41">
        <f>IF($C2057="",0,MAX(0,$M2057-$N2057))</f>
        <v/>
      </c>
      <c r="H2057" s="45" t="n"/>
      <c r="I2057" s="41">
        <f>IF($C2057="","",IF(H2057="","OK",IF(H2057&gt;EMPLOYES!P36,"⚠ Avance &gt; salaire",IF(H2057&gt;EMPLOYES!P36*PARAMETRES!$C$218,"⚠ Avance élevée","OK"))))</f>
        <v/>
      </c>
      <c r="J2057" s="45" t="n"/>
      <c r="K2057" s="46" t="n"/>
      <c r="L2057" s="46" t="n"/>
      <c r="M2057" s="41">
        <f>IF($C2057="","",SUMPRODUCT((PARAMETRES!$B$38:$B$157=PARAMETRES!$C$29)*(PARAMETRES!$C$38:$C$157=9)*(IF(EMPLOYES!M36="5j",PARAMETRES!$I$38:$I$157,PARAMETRES!$H$38:$H$157))))</f>
        <v/>
      </c>
      <c r="N2057" s="41">
        <f>IF($C2057="","",SUMPRODUCT((O2057:AS2057="P")+(O2057:AS2057="F")+(O2057:AS2057="C")+0.5*(O2057:AS2057="D"),(1-((O2033:AS2033=6)*(EMPLOYES!M36="5j")))))</f>
        <v/>
      </c>
      <c r="O2057" s="46" t="n"/>
      <c r="P2057" s="46" t="n"/>
      <c r="Q2057" s="46" t="n"/>
      <c r="R2057" s="46" t="n"/>
      <c r="S2057" s="46" t="n"/>
      <c r="T2057" s="46" t="n"/>
      <c r="U2057" s="46" t="n"/>
      <c r="V2057" s="46" t="n"/>
      <c r="W2057" s="46" t="n"/>
      <c r="X2057" s="46" t="n"/>
      <c r="Y2057" s="46" t="n"/>
      <c r="Z2057" s="46" t="n"/>
      <c r="AA2057" s="46" t="n"/>
      <c r="AB2057" s="46" t="n"/>
      <c r="AC2057" s="46" t="n"/>
      <c r="AD2057" s="46" t="n"/>
      <c r="AE2057" s="46" t="n"/>
      <c r="AF2057" s="46" t="n"/>
      <c r="AG2057" s="46" t="n"/>
      <c r="AH2057" s="46" t="n"/>
      <c r="AI2057" s="46" t="n"/>
      <c r="AJ2057" s="46" t="n"/>
      <c r="AK2057" s="46" t="n"/>
      <c r="AL2057" s="46" t="n"/>
      <c r="AM2057" s="46" t="n"/>
      <c r="AN2057" s="46" t="n"/>
      <c r="AO2057" s="46" t="n"/>
      <c r="AP2057" s="46" t="n"/>
      <c r="AQ2057" s="46" t="n"/>
      <c r="AR2057" s="46" t="n"/>
      <c r="AS2057" s="46" t="n"/>
      <c r="AV2057" s="36">
        <f>IF($C2057="","",EMPLOYES!M36)</f>
        <v/>
      </c>
      <c r="AW2057" s="36">
        <f>IF($C2057="",0,SUMPRODUCT(--(O2057:AS2057="C")))</f>
        <v/>
      </c>
      <c r="AX2057" s="36">
        <f>IF($C2057="",0,SUMPRODUCT(--(O2057:AS2057="R")))</f>
        <v/>
      </c>
      <c r="AY2057" s="44" t="n"/>
    </row>
    <row r="2058" hidden="1" outlineLevel="1" ht="15" customHeight="1" s="15">
      <c r="B2058" s="41" t="n">
        <v>9</v>
      </c>
      <c r="C2058" s="42">
        <f>IF(EMPLOYES!C37="","",EMPLOYES!C37)</f>
        <v/>
      </c>
      <c r="D2058" s="43">
        <f>IF(EMPLOYES!C37="","",EMPLOYES!D37)</f>
        <v/>
      </c>
      <c r="E2058" s="44" t="n"/>
      <c r="F2058" s="42" t="n"/>
      <c r="G2058" s="41">
        <f>IF($C2058="",0,MAX(0,$M2058-$N2058))</f>
        <v/>
      </c>
      <c r="H2058" s="45" t="n"/>
      <c r="I2058" s="41">
        <f>IF($C2058="","",IF(H2058="","OK",IF(H2058&gt;EMPLOYES!P37,"⚠ Avance &gt; salaire",IF(H2058&gt;EMPLOYES!P37*PARAMETRES!$C$218,"⚠ Avance élevée","OK"))))</f>
        <v/>
      </c>
      <c r="J2058" s="45" t="n"/>
      <c r="K2058" s="46" t="n"/>
      <c r="L2058" s="46" t="n"/>
      <c r="M2058" s="41">
        <f>IF($C2058="","",SUMPRODUCT((PARAMETRES!$B$38:$B$157=PARAMETRES!$C$29)*(PARAMETRES!$C$38:$C$157=9)*(IF(EMPLOYES!M37="5j",PARAMETRES!$I$38:$I$157,PARAMETRES!$H$38:$H$157))))</f>
        <v/>
      </c>
      <c r="N2058" s="41">
        <f>IF($C2058="","",SUMPRODUCT((O2058:AS2058="P")+(O2058:AS2058="F")+(O2058:AS2058="C")+0.5*(O2058:AS2058="D"),(1-((O2033:AS2033=6)*(EMPLOYES!M37="5j")))))</f>
        <v/>
      </c>
      <c r="O2058" s="46" t="n"/>
      <c r="P2058" s="46" t="n"/>
      <c r="Q2058" s="46" t="n"/>
      <c r="R2058" s="46" t="n"/>
      <c r="S2058" s="46" t="n"/>
      <c r="T2058" s="46" t="n"/>
      <c r="U2058" s="46" t="n"/>
      <c r="V2058" s="46" t="n"/>
      <c r="W2058" s="46" t="n"/>
      <c r="X2058" s="46" t="n"/>
      <c r="Y2058" s="46" t="n"/>
      <c r="Z2058" s="46" t="n"/>
      <c r="AA2058" s="46" t="n"/>
      <c r="AB2058" s="46" t="n"/>
      <c r="AC2058" s="46" t="n"/>
      <c r="AD2058" s="46" t="n"/>
      <c r="AE2058" s="46" t="n"/>
      <c r="AF2058" s="46" t="n"/>
      <c r="AG2058" s="46" t="n"/>
      <c r="AH2058" s="46" t="n"/>
      <c r="AI2058" s="46" t="n"/>
      <c r="AJ2058" s="46" t="n"/>
      <c r="AK2058" s="46" t="n"/>
      <c r="AL2058" s="46" t="n"/>
      <c r="AM2058" s="46" t="n"/>
      <c r="AN2058" s="46" t="n"/>
      <c r="AO2058" s="46" t="n"/>
      <c r="AP2058" s="46" t="n"/>
      <c r="AQ2058" s="46" t="n"/>
      <c r="AR2058" s="46" t="n"/>
      <c r="AS2058" s="46" t="n"/>
      <c r="AV2058" s="36">
        <f>IF($C2058="","",EMPLOYES!M37)</f>
        <v/>
      </c>
      <c r="AW2058" s="36">
        <f>IF($C2058="",0,SUMPRODUCT(--(O2058:AS2058="C")))</f>
        <v/>
      </c>
      <c r="AX2058" s="36">
        <f>IF($C2058="",0,SUMPRODUCT(--(O2058:AS2058="R")))</f>
        <v/>
      </c>
      <c r="AY2058" s="44" t="n"/>
    </row>
    <row r="2059" hidden="1" outlineLevel="1" ht="15" customHeight="1" s="15">
      <c r="B2059" s="41" t="n">
        <v>9</v>
      </c>
      <c r="C2059" s="42">
        <f>IF(EMPLOYES!C38="","",EMPLOYES!C38)</f>
        <v/>
      </c>
      <c r="D2059" s="43">
        <f>IF(EMPLOYES!C38="","",EMPLOYES!D38)</f>
        <v/>
      </c>
      <c r="E2059" s="44" t="n"/>
      <c r="F2059" s="42" t="n"/>
      <c r="G2059" s="41">
        <f>IF($C2059="",0,MAX(0,$M2059-$N2059))</f>
        <v/>
      </c>
      <c r="H2059" s="45" t="n"/>
      <c r="I2059" s="41">
        <f>IF($C2059="","",IF(H2059="","OK",IF(H2059&gt;EMPLOYES!P38,"⚠ Avance &gt; salaire",IF(H2059&gt;EMPLOYES!P38*PARAMETRES!$C$218,"⚠ Avance élevée","OK"))))</f>
        <v/>
      </c>
      <c r="J2059" s="45" t="n"/>
      <c r="K2059" s="46" t="n"/>
      <c r="L2059" s="46" t="n"/>
      <c r="M2059" s="41">
        <f>IF($C2059="","",SUMPRODUCT((PARAMETRES!$B$38:$B$157=PARAMETRES!$C$29)*(PARAMETRES!$C$38:$C$157=9)*(IF(EMPLOYES!M38="5j",PARAMETRES!$I$38:$I$157,PARAMETRES!$H$38:$H$157))))</f>
        <v/>
      </c>
      <c r="N2059" s="41">
        <f>IF($C2059="","",SUMPRODUCT((O2059:AS2059="P")+(O2059:AS2059="F")+(O2059:AS2059="C")+0.5*(O2059:AS2059="D"),(1-((O2033:AS2033=6)*(EMPLOYES!M38="5j")))))</f>
        <v/>
      </c>
      <c r="O2059" s="46" t="n"/>
      <c r="P2059" s="46" t="n"/>
      <c r="Q2059" s="46" t="n"/>
      <c r="R2059" s="46" t="n"/>
      <c r="S2059" s="46" t="n"/>
      <c r="T2059" s="46" t="n"/>
      <c r="U2059" s="46" t="n"/>
      <c r="V2059" s="46" t="n"/>
      <c r="W2059" s="46" t="n"/>
      <c r="X2059" s="46" t="n"/>
      <c r="Y2059" s="46" t="n"/>
      <c r="Z2059" s="46" t="n"/>
      <c r="AA2059" s="46" t="n"/>
      <c r="AB2059" s="46" t="n"/>
      <c r="AC2059" s="46" t="n"/>
      <c r="AD2059" s="46" t="n"/>
      <c r="AE2059" s="46" t="n"/>
      <c r="AF2059" s="46" t="n"/>
      <c r="AG2059" s="46" t="n"/>
      <c r="AH2059" s="46" t="n"/>
      <c r="AI2059" s="46" t="n"/>
      <c r="AJ2059" s="46" t="n"/>
      <c r="AK2059" s="46" t="n"/>
      <c r="AL2059" s="46" t="n"/>
      <c r="AM2059" s="46" t="n"/>
      <c r="AN2059" s="46" t="n"/>
      <c r="AO2059" s="46" t="n"/>
      <c r="AP2059" s="46" t="n"/>
      <c r="AQ2059" s="46" t="n"/>
      <c r="AR2059" s="46" t="n"/>
      <c r="AS2059" s="46" t="n"/>
      <c r="AV2059" s="36">
        <f>IF($C2059="","",EMPLOYES!M38)</f>
        <v/>
      </c>
      <c r="AW2059" s="36">
        <f>IF($C2059="",0,SUMPRODUCT(--(O2059:AS2059="C")))</f>
        <v/>
      </c>
      <c r="AX2059" s="36">
        <f>IF($C2059="",0,SUMPRODUCT(--(O2059:AS2059="R")))</f>
        <v/>
      </c>
      <c r="AY2059" s="44" t="n"/>
    </row>
    <row r="2060" hidden="1" outlineLevel="1" ht="15" customHeight="1" s="15">
      <c r="B2060" s="41" t="n">
        <v>9</v>
      </c>
      <c r="C2060" s="42">
        <f>IF(EMPLOYES!C39="","",EMPLOYES!C39)</f>
        <v/>
      </c>
      <c r="D2060" s="43">
        <f>IF(EMPLOYES!C39="","",EMPLOYES!D39)</f>
        <v/>
      </c>
      <c r="E2060" s="44" t="n"/>
      <c r="F2060" s="42" t="n"/>
      <c r="G2060" s="41">
        <f>IF($C2060="",0,MAX(0,$M2060-$N2060))</f>
        <v/>
      </c>
      <c r="H2060" s="45" t="n"/>
      <c r="I2060" s="41">
        <f>IF($C2060="","",IF(H2060="","OK",IF(H2060&gt;EMPLOYES!P39,"⚠ Avance &gt; salaire",IF(H2060&gt;EMPLOYES!P39*PARAMETRES!$C$218,"⚠ Avance élevée","OK"))))</f>
        <v/>
      </c>
      <c r="J2060" s="45" t="n"/>
      <c r="K2060" s="46" t="n"/>
      <c r="L2060" s="46" t="n"/>
      <c r="M2060" s="41">
        <f>IF($C2060="","",SUMPRODUCT((PARAMETRES!$B$38:$B$157=PARAMETRES!$C$29)*(PARAMETRES!$C$38:$C$157=9)*(IF(EMPLOYES!M39="5j",PARAMETRES!$I$38:$I$157,PARAMETRES!$H$38:$H$157))))</f>
        <v/>
      </c>
      <c r="N2060" s="41">
        <f>IF($C2060="","",SUMPRODUCT((O2060:AS2060="P")+(O2060:AS2060="F")+(O2060:AS2060="C")+0.5*(O2060:AS2060="D"),(1-((O2033:AS2033=6)*(EMPLOYES!M39="5j")))))</f>
        <v/>
      </c>
      <c r="O2060" s="46" t="n"/>
      <c r="P2060" s="46" t="n"/>
      <c r="Q2060" s="46" t="n"/>
      <c r="R2060" s="46" t="n"/>
      <c r="S2060" s="46" t="n"/>
      <c r="T2060" s="46" t="n"/>
      <c r="U2060" s="46" t="n"/>
      <c r="V2060" s="46" t="n"/>
      <c r="W2060" s="46" t="n"/>
      <c r="X2060" s="46" t="n"/>
      <c r="Y2060" s="46" t="n"/>
      <c r="Z2060" s="46" t="n"/>
      <c r="AA2060" s="46" t="n"/>
      <c r="AB2060" s="46" t="n"/>
      <c r="AC2060" s="46" t="n"/>
      <c r="AD2060" s="46" t="n"/>
      <c r="AE2060" s="46" t="n"/>
      <c r="AF2060" s="46" t="n"/>
      <c r="AG2060" s="46" t="n"/>
      <c r="AH2060" s="46" t="n"/>
      <c r="AI2060" s="46" t="n"/>
      <c r="AJ2060" s="46" t="n"/>
      <c r="AK2060" s="46" t="n"/>
      <c r="AL2060" s="46" t="n"/>
      <c r="AM2060" s="46" t="n"/>
      <c r="AN2060" s="46" t="n"/>
      <c r="AO2060" s="46" t="n"/>
      <c r="AP2060" s="46" t="n"/>
      <c r="AQ2060" s="46" t="n"/>
      <c r="AR2060" s="46" t="n"/>
      <c r="AS2060" s="46" t="n"/>
      <c r="AV2060" s="36">
        <f>IF($C2060="","",EMPLOYES!M39)</f>
        <v/>
      </c>
      <c r="AW2060" s="36">
        <f>IF($C2060="",0,SUMPRODUCT(--(O2060:AS2060="C")))</f>
        <v/>
      </c>
      <c r="AX2060" s="36">
        <f>IF($C2060="",0,SUMPRODUCT(--(O2060:AS2060="R")))</f>
        <v/>
      </c>
      <c r="AY2060" s="44" t="n"/>
    </row>
    <row r="2061" hidden="1" outlineLevel="1" ht="15" customHeight="1" s="15">
      <c r="B2061" s="41" t="n">
        <v>9</v>
      </c>
      <c r="C2061" s="42">
        <f>IF(EMPLOYES!C40="","",EMPLOYES!C40)</f>
        <v/>
      </c>
      <c r="D2061" s="43">
        <f>IF(EMPLOYES!C40="","",EMPLOYES!D40)</f>
        <v/>
      </c>
      <c r="E2061" s="44" t="n"/>
      <c r="F2061" s="42" t="n"/>
      <c r="G2061" s="41">
        <f>IF($C2061="",0,MAX(0,$M2061-$N2061))</f>
        <v/>
      </c>
      <c r="H2061" s="45" t="n"/>
      <c r="I2061" s="41">
        <f>IF($C2061="","",IF(H2061="","OK",IF(H2061&gt;EMPLOYES!P40,"⚠ Avance &gt; salaire",IF(H2061&gt;EMPLOYES!P40*PARAMETRES!$C$218,"⚠ Avance élevée","OK"))))</f>
        <v/>
      </c>
      <c r="J2061" s="45" t="n"/>
      <c r="K2061" s="46" t="n"/>
      <c r="L2061" s="46" t="n"/>
      <c r="M2061" s="41">
        <f>IF($C2061="","",SUMPRODUCT((PARAMETRES!$B$38:$B$157=PARAMETRES!$C$29)*(PARAMETRES!$C$38:$C$157=9)*(IF(EMPLOYES!M40="5j",PARAMETRES!$I$38:$I$157,PARAMETRES!$H$38:$H$157))))</f>
        <v/>
      </c>
      <c r="N2061" s="41">
        <f>IF($C2061="","",SUMPRODUCT((O2061:AS2061="P")+(O2061:AS2061="F")+(O2061:AS2061="C")+0.5*(O2061:AS2061="D"),(1-((O2033:AS2033=6)*(EMPLOYES!M40="5j")))))</f>
        <v/>
      </c>
      <c r="O2061" s="46" t="n"/>
      <c r="P2061" s="46" t="n"/>
      <c r="Q2061" s="46" t="n"/>
      <c r="R2061" s="46" t="n"/>
      <c r="S2061" s="46" t="n"/>
      <c r="T2061" s="46" t="n"/>
      <c r="U2061" s="46" t="n"/>
      <c r="V2061" s="46" t="n"/>
      <c r="W2061" s="46" t="n"/>
      <c r="X2061" s="46" t="n"/>
      <c r="Y2061" s="46" t="n"/>
      <c r="Z2061" s="46" t="n"/>
      <c r="AA2061" s="46" t="n"/>
      <c r="AB2061" s="46" t="n"/>
      <c r="AC2061" s="46" t="n"/>
      <c r="AD2061" s="46" t="n"/>
      <c r="AE2061" s="46" t="n"/>
      <c r="AF2061" s="46" t="n"/>
      <c r="AG2061" s="46" t="n"/>
      <c r="AH2061" s="46" t="n"/>
      <c r="AI2061" s="46" t="n"/>
      <c r="AJ2061" s="46" t="n"/>
      <c r="AK2061" s="46" t="n"/>
      <c r="AL2061" s="46" t="n"/>
      <c r="AM2061" s="46" t="n"/>
      <c r="AN2061" s="46" t="n"/>
      <c r="AO2061" s="46" t="n"/>
      <c r="AP2061" s="46" t="n"/>
      <c r="AQ2061" s="46" t="n"/>
      <c r="AR2061" s="46" t="n"/>
      <c r="AS2061" s="46" t="n"/>
      <c r="AV2061" s="36">
        <f>IF($C2061="","",EMPLOYES!M40)</f>
        <v/>
      </c>
      <c r="AW2061" s="36">
        <f>IF($C2061="",0,SUMPRODUCT(--(O2061:AS2061="C")))</f>
        <v/>
      </c>
      <c r="AX2061" s="36">
        <f>IF($C2061="",0,SUMPRODUCT(--(O2061:AS2061="R")))</f>
        <v/>
      </c>
      <c r="AY2061" s="44" t="n"/>
    </row>
    <row r="2062" hidden="1" outlineLevel="1" ht="15" customHeight="1" s="15">
      <c r="B2062" s="41" t="n">
        <v>9</v>
      </c>
      <c r="C2062" s="42">
        <f>IF(EMPLOYES!C41="","",EMPLOYES!C41)</f>
        <v/>
      </c>
      <c r="D2062" s="43">
        <f>IF(EMPLOYES!C41="","",EMPLOYES!D41)</f>
        <v/>
      </c>
      <c r="E2062" s="44" t="n"/>
      <c r="F2062" s="42" t="n"/>
      <c r="G2062" s="41">
        <f>IF($C2062="",0,MAX(0,$M2062-$N2062))</f>
        <v/>
      </c>
      <c r="H2062" s="45" t="n"/>
      <c r="I2062" s="41">
        <f>IF($C2062="","",IF(H2062="","OK",IF(H2062&gt;EMPLOYES!P41,"⚠ Avance &gt; salaire",IF(H2062&gt;EMPLOYES!P41*PARAMETRES!$C$218,"⚠ Avance élevée","OK"))))</f>
        <v/>
      </c>
      <c r="J2062" s="45" t="n"/>
      <c r="K2062" s="46" t="n"/>
      <c r="L2062" s="46" t="n"/>
      <c r="M2062" s="41">
        <f>IF($C2062="","",SUMPRODUCT((PARAMETRES!$B$38:$B$157=PARAMETRES!$C$29)*(PARAMETRES!$C$38:$C$157=9)*(IF(EMPLOYES!M41="5j",PARAMETRES!$I$38:$I$157,PARAMETRES!$H$38:$H$157))))</f>
        <v/>
      </c>
      <c r="N2062" s="41">
        <f>IF($C2062="","",SUMPRODUCT((O2062:AS2062="P")+(O2062:AS2062="F")+(O2062:AS2062="C")+0.5*(O2062:AS2062="D"),(1-((O2033:AS2033=6)*(EMPLOYES!M41="5j")))))</f>
        <v/>
      </c>
      <c r="O2062" s="46" t="n"/>
      <c r="P2062" s="46" t="n"/>
      <c r="Q2062" s="46" t="n"/>
      <c r="R2062" s="46" t="n"/>
      <c r="S2062" s="46" t="n"/>
      <c r="T2062" s="46" t="n"/>
      <c r="U2062" s="46" t="n"/>
      <c r="V2062" s="46" t="n"/>
      <c r="W2062" s="46" t="n"/>
      <c r="X2062" s="46" t="n"/>
      <c r="Y2062" s="46" t="n"/>
      <c r="Z2062" s="46" t="n"/>
      <c r="AA2062" s="46" t="n"/>
      <c r="AB2062" s="46" t="n"/>
      <c r="AC2062" s="46" t="n"/>
      <c r="AD2062" s="46" t="n"/>
      <c r="AE2062" s="46" t="n"/>
      <c r="AF2062" s="46" t="n"/>
      <c r="AG2062" s="46" t="n"/>
      <c r="AH2062" s="46" t="n"/>
      <c r="AI2062" s="46" t="n"/>
      <c r="AJ2062" s="46" t="n"/>
      <c r="AK2062" s="46" t="n"/>
      <c r="AL2062" s="46" t="n"/>
      <c r="AM2062" s="46" t="n"/>
      <c r="AN2062" s="46" t="n"/>
      <c r="AO2062" s="46" t="n"/>
      <c r="AP2062" s="46" t="n"/>
      <c r="AQ2062" s="46" t="n"/>
      <c r="AR2062" s="46" t="n"/>
      <c r="AS2062" s="46" t="n"/>
      <c r="AV2062" s="36">
        <f>IF($C2062="","",EMPLOYES!M41)</f>
        <v/>
      </c>
      <c r="AW2062" s="36">
        <f>IF($C2062="",0,SUMPRODUCT(--(O2062:AS2062="C")))</f>
        <v/>
      </c>
      <c r="AX2062" s="36">
        <f>IF($C2062="",0,SUMPRODUCT(--(O2062:AS2062="R")))</f>
        <v/>
      </c>
      <c r="AY2062" s="44" t="n"/>
    </row>
    <row r="2063" hidden="1" outlineLevel="1" ht="15" customHeight="1" s="15">
      <c r="B2063" s="41" t="n">
        <v>9</v>
      </c>
      <c r="C2063" s="42">
        <f>IF(EMPLOYES!C42="","",EMPLOYES!C42)</f>
        <v/>
      </c>
      <c r="D2063" s="43">
        <f>IF(EMPLOYES!C42="","",EMPLOYES!D42)</f>
        <v/>
      </c>
      <c r="E2063" s="44" t="n"/>
      <c r="F2063" s="42" t="n"/>
      <c r="G2063" s="41">
        <f>IF($C2063="",0,MAX(0,$M2063-$N2063))</f>
        <v/>
      </c>
      <c r="H2063" s="45" t="n"/>
      <c r="I2063" s="41">
        <f>IF($C2063="","",IF(H2063="","OK",IF(H2063&gt;EMPLOYES!P42,"⚠ Avance &gt; salaire",IF(H2063&gt;EMPLOYES!P42*PARAMETRES!$C$218,"⚠ Avance élevée","OK"))))</f>
        <v/>
      </c>
      <c r="J2063" s="45" t="n"/>
      <c r="K2063" s="46" t="n"/>
      <c r="L2063" s="46" t="n"/>
      <c r="M2063" s="41">
        <f>IF($C2063="","",SUMPRODUCT((PARAMETRES!$B$38:$B$157=PARAMETRES!$C$29)*(PARAMETRES!$C$38:$C$157=9)*(IF(EMPLOYES!M42="5j",PARAMETRES!$I$38:$I$157,PARAMETRES!$H$38:$H$157))))</f>
        <v/>
      </c>
      <c r="N2063" s="41">
        <f>IF($C2063="","",SUMPRODUCT((O2063:AS2063="P")+(O2063:AS2063="F")+(O2063:AS2063="C")+0.5*(O2063:AS2063="D"),(1-((O2033:AS2033=6)*(EMPLOYES!M42="5j")))))</f>
        <v/>
      </c>
      <c r="O2063" s="46" t="n"/>
      <c r="P2063" s="46" t="n"/>
      <c r="Q2063" s="46" t="n"/>
      <c r="R2063" s="46" t="n"/>
      <c r="S2063" s="46" t="n"/>
      <c r="T2063" s="46" t="n"/>
      <c r="U2063" s="46" t="n"/>
      <c r="V2063" s="46" t="n"/>
      <c r="W2063" s="46" t="n"/>
      <c r="X2063" s="46" t="n"/>
      <c r="Y2063" s="46" t="n"/>
      <c r="Z2063" s="46" t="n"/>
      <c r="AA2063" s="46" t="n"/>
      <c r="AB2063" s="46" t="n"/>
      <c r="AC2063" s="46" t="n"/>
      <c r="AD2063" s="46" t="n"/>
      <c r="AE2063" s="46" t="n"/>
      <c r="AF2063" s="46" t="n"/>
      <c r="AG2063" s="46" t="n"/>
      <c r="AH2063" s="46" t="n"/>
      <c r="AI2063" s="46" t="n"/>
      <c r="AJ2063" s="46" t="n"/>
      <c r="AK2063" s="46" t="n"/>
      <c r="AL2063" s="46" t="n"/>
      <c r="AM2063" s="46" t="n"/>
      <c r="AN2063" s="46" t="n"/>
      <c r="AO2063" s="46" t="n"/>
      <c r="AP2063" s="46" t="n"/>
      <c r="AQ2063" s="46" t="n"/>
      <c r="AR2063" s="46" t="n"/>
      <c r="AS2063" s="46" t="n"/>
      <c r="AV2063" s="36">
        <f>IF($C2063="","",EMPLOYES!M42)</f>
        <v/>
      </c>
      <c r="AW2063" s="36">
        <f>IF($C2063="",0,SUMPRODUCT(--(O2063:AS2063="C")))</f>
        <v/>
      </c>
      <c r="AX2063" s="36">
        <f>IF($C2063="",0,SUMPRODUCT(--(O2063:AS2063="R")))</f>
        <v/>
      </c>
      <c r="AY2063" s="44" t="n"/>
    </row>
    <row r="2064" hidden="1" outlineLevel="1" ht="15" customHeight="1" s="15">
      <c r="B2064" s="41" t="n">
        <v>9</v>
      </c>
      <c r="C2064" s="42">
        <f>IF(EMPLOYES!C43="","",EMPLOYES!C43)</f>
        <v/>
      </c>
      <c r="D2064" s="43">
        <f>IF(EMPLOYES!C43="","",EMPLOYES!D43)</f>
        <v/>
      </c>
      <c r="E2064" s="44" t="n"/>
      <c r="F2064" s="42" t="n"/>
      <c r="G2064" s="41">
        <f>IF($C2064="",0,MAX(0,$M2064-$N2064))</f>
        <v/>
      </c>
      <c r="H2064" s="45" t="n"/>
      <c r="I2064" s="41">
        <f>IF($C2064="","",IF(H2064="","OK",IF(H2064&gt;EMPLOYES!P43,"⚠ Avance &gt; salaire",IF(H2064&gt;EMPLOYES!P43*PARAMETRES!$C$218,"⚠ Avance élevée","OK"))))</f>
        <v/>
      </c>
      <c r="J2064" s="45" t="n"/>
      <c r="K2064" s="46" t="n"/>
      <c r="L2064" s="46" t="n"/>
      <c r="M2064" s="41">
        <f>IF($C2064="","",SUMPRODUCT((PARAMETRES!$B$38:$B$157=PARAMETRES!$C$29)*(PARAMETRES!$C$38:$C$157=9)*(IF(EMPLOYES!M43="5j",PARAMETRES!$I$38:$I$157,PARAMETRES!$H$38:$H$157))))</f>
        <v/>
      </c>
      <c r="N2064" s="41">
        <f>IF($C2064="","",SUMPRODUCT((O2064:AS2064="P")+(O2064:AS2064="F")+(O2064:AS2064="C")+0.5*(O2064:AS2064="D"),(1-((O2033:AS2033=6)*(EMPLOYES!M43="5j")))))</f>
        <v/>
      </c>
      <c r="O2064" s="46" t="n"/>
      <c r="P2064" s="46" t="n"/>
      <c r="Q2064" s="46" t="n"/>
      <c r="R2064" s="46" t="n"/>
      <c r="S2064" s="46" t="n"/>
      <c r="T2064" s="46" t="n"/>
      <c r="U2064" s="46" t="n"/>
      <c r="V2064" s="46" t="n"/>
      <c r="W2064" s="46" t="n"/>
      <c r="X2064" s="46" t="n"/>
      <c r="Y2064" s="46" t="n"/>
      <c r="Z2064" s="46" t="n"/>
      <c r="AA2064" s="46" t="n"/>
      <c r="AB2064" s="46" t="n"/>
      <c r="AC2064" s="46" t="n"/>
      <c r="AD2064" s="46" t="n"/>
      <c r="AE2064" s="46" t="n"/>
      <c r="AF2064" s="46" t="n"/>
      <c r="AG2064" s="46" t="n"/>
      <c r="AH2064" s="46" t="n"/>
      <c r="AI2064" s="46" t="n"/>
      <c r="AJ2064" s="46" t="n"/>
      <c r="AK2064" s="46" t="n"/>
      <c r="AL2064" s="46" t="n"/>
      <c r="AM2064" s="46" t="n"/>
      <c r="AN2064" s="46" t="n"/>
      <c r="AO2064" s="46" t="n"/>
      <c r="AP2064" s="46" t="n"/>
      <c r="AQ2064" s="46" t="n"/>
      <c r="AR2064" s="46" t="n"/>
      <c r="AS2064" s="46" t="n"/>
      <c r="AV2064" s="36">
        <f>IF($C2064="","",EMPLOYES!M43)</f>
        <v/>
      </c>
      <c r="AW2064" s="36">
        <f>IF($C2064="",0,SUMPRODUCT(--(O2064:AS2064="C")))</f>
        <v/>
      </c>
      <c r="AX2064" s="36">
        <f>IF($C2064="",0,SUMPRODUCT(--(O2064:AS2064="R")))</f>
        <v/>
      </c>
      <c r="AY2064" s="44" t="n"/>
    </row>
    <row r="2065" hidden="1" outlineLevel="1" ht="15" customHeight="1" s="15">
      <c r="B2065" s="41" t="n">
        <v>9</v>
      </c>
      <c r="C2065" s="42">
        <f>IF(EMPLOYES!C44="","",EMPLOYES!C44)</f>
        <v/>
      </c>
      <c r="D2065" s="43">
        <f>IF(EMPLOYES!C44="","",EMPLOYES!D44)</f>
        <v/>
      </c>
      <c r="E2065" s="44" t="n"/>
      <c r="F2065" s="42" t="n"/>
      <c r="G2065" s="41">
        <f>IF($C2065="",0,MAX(0,$M2065-$N2065))</f>
        <v/>
      </c>
      <c r="H2065" s="45" t="n"/>
      <c r="I2065" s="41">
        <f>IF($C2065="","",IF(H2065="","OK",IF(H2065&gt;EMPLOYES!P44,"⚠ Avance &gt; salaire",IF(H2065&gt;EMPLOYES!P44*PARAMETRES!$C$218,"⚠ Avance élevée","OK"))))</f>
        <v/>
      </c>
      <c r="J2065" s="45" t="n"/>
      <c r="K2065" s="46" t="n"/>
      <c r="L2065" s="46" t="n"/>
      <c r="M2065" s="41">
        <f>IF($C2065="","",SUMPRODUCT((PARAMETRES!$B$38:$B$157=PARAMETRES!$C$29)*(PARAMETRES!$C$38:$C$157=9)*(IF(EMPLOYES!M44="5j",PARAMETRES!$I$38:$I$157,PARAMETRES!$H$38:$H$157))))</f>
        <v/>
      </c>
      <c r="N2065" s="41">
        <f>IF($C2065="","",SUMPRODUCT((O2065:AS2065="P")+(O2065:AS2065="F")+(O2065:AS2065="C")+0.5*(O2065:AS2065="D"),(1-((O2033:AS2033=6)*(EMPLOYES!M44="5j")))))</f>
        <v/>
      </c>
      <c r="O2065" s="46" t="n"/>
      <c r="P2065" s="46" t="n"/>
      <c r="Q2065" s="46" t="n"/>
      <c r="R2065" s="46" t="n"/>
      <c r="S2065" s="46" t="n"/>
      <c r="T2065" s="46" t="n"/>
      <c r="U2065" s="46" t="n"/>
      <c r="V2065" s="46" t="n"/>
      <c r="W2065" s="46" t="n"/>
      <c r="X2065" s="46" t="n"/>
      <c r="Y2065" s="46" t="n"/>
      <c r="Z2065" s="46" t="n"/>
      <c r="AA2065" s="46" t="n"/>
      <c r="AB2065" s="46" t="n"/>
      <c r="AC2065" s="46" t="n"/>
      <c r="AD2065" s="46" t="n"/>
      <c r="AE2065" s="46" t="n"/>
      <c r="AF2065" s="46" t="n"/>
      <c r="AG2065" s="46" t="n"/>
      <c r="AH2065" s="46" t="n"/>
      <c r="AI2065" s="46" t="n"/>
      <c r="AJ2065" s="46" t="n"/>
      <c r="AK2065" s="46" t="n"/>
      <c r="AL2065" s="46" t="n"/>
      <c r="AM2065" s="46" t="n"/>
      <c r="AN2065" s="46" t="n"/>
      <c r="AO2065" s="46" t="n"/>
      <c r="AP2065" s="46" t="n"/>
      <c r="AQ2065" s="46" t="n"/>
      <c r="AR2065" s="46" t="n"/>
      <c r="AS2065" s="46" t="n"/>
      <c r="AV2065" s="36">
        <f>IF($C2065="","",EMPLOYES!M44)</f>
        <v/>
      </c>
      <c r="AW2065" s="36">
        <f>IF($C2065="",0,SUMPRODUCT(--(O2065:AS2065="C")))</f>
        <v/>
      </c>
      <c r="AX2065" s="36">
        <f>IF($C2065="",0,SUMPRODUCT(--(O2065:AS2065="R")))</f>
        <v/>
      </c>
      <c r="AY2065" s="44" t="n"/>
    </row>
    <row r="2066" hidden="1" outlineLevel="1" ht="15" customHeight="1" s="15">
      <c r="B2066" s="41" t="n">
        <v>9</v>
      </c>
      <c r="C2066" s="42">
        <f>IF(EMPLOYES!C45="","",EMPLOYES!C45)</f>
        <v/>
      </c>
      <c r="D2066" s="43">
        <f>IF(EMPLOYES!C45="","",EMPLOYES!D45)</f>
        <v/>
      </c>
      <c r="E2066" s="44" t="n"/>
      <c r="F2066" s="42" t="n"/>
      <c r="G2066" s="41">
        <f>IF($C2066="",0,MAX(0,$M2066-$N2066))</f>
        <v/>
      </c>
      <c r="H2066" s="45" t="n"/>
      <c r="I2066" s="41">
        <f>IF($C2066="","",IF(H2066="","OK",IF(H2066&gt;EMPLOYES!P45,"⚠ Avance &gt; salaire",IF(H2066&gt;EMPLOYES!P45*PARAMETRES!$C$218,"⚠ Avance élevée","OK"))))</f>
        <v/>
      </c>
      <c r="J2066" s="45" t="n"/>
      <c r="K2066" s="46" t="n"/>
      <c r="L2066" s="46" t="n"/>
      <c r="M2066" s="41">
        <f>IF($C2066="","",SUMPRODUCT((PARAMETRES!$B$38:$B$157=PARAMETRES!$C$29)*(PARAMETRES!$C$38:$C$157=9)*(IF(EMPLOYES!M45="5j",PARAMETRES!$I$38:$I$157,PARAMETRES!$H$38:$H$157))))</f>
        <v/>
      </c>
      <c r="N2066" s="41">
        <f>IF($C2066="","",SUMPRODUCT((O2066:AS2066="P")+(O2066:AS2066="F")+(O2066:AS2066="C")+0.5*(O2066:AS2066="D"),(1-((O2033:AS2033=6)*(EMPLOYES!M45="5j")))))</f>
        <v/>
      </c>
      <c r="O2066" s="46" t="n"/>
      <c r="P2066" s="46" t="n"/>
      <c r="Q2066" s="46" t="n"/>
      <c r="R2066" s="46" t="n"/>
      <c r="S2066" s="46" t="n"/>
      <c r="T2066" s="46" t="n"/>
      <c r="U2066" s="46" t="n"/>
      <c r="V2066" s="46" t="n"/>
      <c r="W2066" s="46" t="n"/>
      <c r="X2066" s="46" t="n"/>
      <c r="Y2066" s="46" t="n"/>
      <c r="Z2066" s="46" t="n"/>
      <c r="AA2066" s="46" t="n"/>
      <c r="AB2066" s="46" t="n"/>
      <c r="AC2066" s="46" t="n"/>
      <c r="AD2066" s="46" t="n"/>
      <c r="AE2066" s="46" t="n"/>
      <c r="AF2066" s="46" t="n"/>
      <c r="AG2066" s="46" t="n"/>
      <c r="AH2066" s="46" t="n"/>
      <c r="AI2066" s="46" t="n"/>
      <c r="AJ2066" s="46" t="n"/>
      <c r="AK2066" s="46" t="n"/>
      <c r="AL2066" s="46" t="n"/>
      <c r="AM2066" s="46" t="n"/>
      <c r="AN2066" s="46" t="n"/>
      <c r="AO2066" s="46" t="n"/>
      <c r="AP2066" s="46" t="n"/>
      <c r="AQ2066" s="46" t="n"/>
      <c r="AR2066" s="46" t="n"/>
      <c r="AS2066" s="46" t="n"/>
      <c r="AV2066" s="36">
        <f>IF($C2066="","",EMPLOYES!M45)</f>
        <v/>
      </c>
      <c r="AW2066" s="36">
        <f>IF($C2066="",0,SUMPRODUCT(--(O2066:AS2066="C")))</f>
        <v/>
      </c>
      <c r="AX2066" s="36">
        <f>IF($C2066="",0,SUMPRODUCT(--(O2066:AS2066="R")))</f>
        <v/>
      </c>
      <c r="AY2066" s="44" t="n"/>
    </row>
    <row r="2067" hidden="1" outlineLevel="1" ht="15" customHeight="1" s="15">
      <c r="B2067" s="41" t="n">
        <v>9</v>
      </c>
      <c r="C2067" s="42">
        <f>IF(EMPLOYES!C46="","",EMPLOYES!C46)</f>
        <v/>
      </c>
      <c r="D2067" s="43">
        <f>IF(EMPLOYES!C46="","",EMPLOYES!D46)</f>
        <v/>
      </c>
      <c r="E2067" s="44" t="n"/>
      <c r="F2067" s="42" t="n"/>
      <c r="G2067" s="41">
        <f>IF($C2067="",0,MAX(0,$M2067-$N2067))</f>
        <v/>
      </c>
      <c r="H2067" s="45" t="n"/>
      <c r="I2067" s="41">
        <f>IF($C2067="","",IF(H2067="","OK",IF(H2067&gt;EMPLOYES!P46,"⚠ Avance &gt; salaire",IF(H2067&gt;EMPLOYES!P46*PARAMETRES!$C$218,"⚠ Avance élevée","OK"))))</f>
        <v/>
      </c>
      <c r="J2067" s="45" t="n"/>
      <c r="K2067" s="46" t="n"/>
      <c r="L2067" s="46" t="n"/>
      <c r="M2067" s="41">
        <f>IF($C2067="","",SUMPRODUCT((PARAMETRES!$B$38:$B$157=PARAMETRES!$C$29)*(PARAMETRES!$C$38:$C$157=9)*(IF(EMPLOYES!M46="5j",PARAMETRES!$I$38:$I$157,PARAMETRES!$H$38:$H$157))))</f>
        <v/>
      </c>
      <c r="N2067" s="41">
        <f>IF($C2067="","",SUMPRODUCT((O2067:AS2067="P")+(O2067:AS2067="F")+(O2067:AS2067="C")+0.5*(O2067:AS2067="D"),(1-((O2033:AS2033=6)*(EMPLOYES!M46="5j")))))</f>
        <v/>
      </c>
      <c r="O2067" s="46" t="n"/>
      <c r="P2067" s="46" t="n"/>
      <c r="Q2067" s="46" t="n"/>
      <c r="R2067" s="46" t="n"/>
      <c r="S2067" s="46" t="n"/>
      <c r="T2067" s="46" t="n"/>
      <c r="U2067" s="46" t="n"/>
      <c r="V2067" s="46" t="n"/>
      <c r="W2067" s="46" t="n"/>
      <c r="X2067" s="46" t="n"/>
      <c r="Y2067" s="46" t="n"/>
      <c r="Z2067" s="46" t="n"/>
      <c r="AA2067" s="46" t="n"/>
      <c r="AB2067" s="46" t="n"/>
      <c r="AC2067" s="46" t="n"/>
      <c r="AD2067" s="46" t="n"/>
      <c r="AE2067" s="46" t="n"/>
      <c r="AF2067" s="46" t="n"/>
      <c r="AG2067" s="46" t="n"/>
      <c r="AH2067" s="46" t="n"/>
      <c r="AI2067" s="46" t="n"/>
      <c r="AJ2067" s="46" t="n"/>
      <c r="AK2067" s="46" t="n"/>
      <c r="AL2067" s="46" t="n"/>
      <c r="AM2067" s="46" t="n"/>
      <c r="AN2067" s="46" t="n"/>
      <c r="AO2067" s="46" t="n"/>
      <c r="AP2067" s="46" t="n"/>
      <c r="AQ2067" s="46" t="n"/>
      <c r="AR2067" s="46" t="n"/>
      <c r="AS2067" s="46" t="n"/>
      <c r="AV2067" s="36">
        <f>IF($C2067="","",EMPLOYES!M46)</f>
        <v/>
      </c>
      <c r="AW2067" s="36">
        <f>IF($C2067="",0,SUMPRODUCT(--(O2067:AS2067="C")))</f>
        <v/>
      </c>
      <c r="AX2067" s="36">
        <f>IF($C2067="",0,SUMPRODUCT(--(O2067:AS2067="R")))</f>
        <v/>
      </c>
      <c r="AY2067" s="44" t="n"/>
    </row>
    <row r="2068" hidden="1" outlineLevel="1" ht="15" customHeight="1" s="15">
      <c r="B2068" s="41" t="n">
        <v>9</v>
      </c>
      <c r="C2068" s="42">
        <f>IF(EMPLOYES!C47="","",EMPLOYES!C47)</f>
        <v/>
      </c>
      <c r="D2068" s="43">
        <f>IF(EMPLOYES!C47="","",EMPLOYES!D47)</f>
        <v/>
      </c>
      <c r="E2068" s="44" t="n"/>
      <c r="F2068" s="42" t="n"/>
      <c r="G2068" s="41">
        <f>IF($C2068="",0,MAX(0,$M2068-$N2068))</f>
        <v/>
      </c>
      <c r="H2068" s="45" t="n"/>
      <c r="I2068" s="41">
        <f>IF($C2068="","",IF(H2068="","OK",IF(H2068&gt;EMPLOYES!P47,"⚠ Avance &gt; salaire",IF(H2068&gt;EMPLOYES!P47*PARAMETRES!$C$218,"⚠ Avance élevée","OK"))))</f>
        <v/>
      </c>
      <c r="J2068" s="45" t="n"/>
      <c r="K2068" s="46" t="n"/>
      <c r="L2068" s="46" t="n"/>
      <c r="M2068" s="41">
        <f>IF($C2068="","",SUMPRODUCT((PARAMETRES!$B$38:$B$157=PARAMETRES!$C$29)*(PARAMETRES!$C$38:$C$157=9)*(IF(EMPLOYES!M47="5j",PARAMETRES!$I$38:$I$157,PARAMETRES!$H$38:$H$157))))</f>
        <v/>
      </c>
      <c r="N2068" s="41">
        <f>IF($C2068="","",SUMPRODUCT((O2068:AS2068="P")+(O2068:AS2068="F")+(O2068:AS2068="C")+0.5*(O2068:AS2068="D"),(1-((O2033:AS2033=6)*(EMPLOYES!M47="5j")))))</f>
        <v/>
      </c>
      <c r="O2068" s="46" t="n"/>
      <c r="P2068" s="46" t="n"/>
      <c r="Q2068" s="46" t="n"/>
      <c r="R2068" s="46" t="n"/>
      <c r="S2068" s="46" t="n"/>
      <c r="T2068" s="46" t="n"/>
      <c r="U2068" s="46" t="n"/>
      <c r="V2068" s="46" t="n"/>
      <c r="W2068" s="46" t="n"/>
      <c r="X2068" s="46" t="n"/>
      <c r="Y2068" s="46" t="n"/>
      <c r="Z2068" s="46" t="n"/>
      <c r="AA2068" s="46" t="n"/>
      <c r="AB2068" s="46" t="n"/>
      <c r="AC2068" s="46" t="n"/>
      <c r="AD2068" s="46" t="n"/>
      <c r="AE2068" s="46" t="n"/>
      <c r="AF2068" s="46" t="n"/>
      <c r="AG2068" s="46" t="n"/>
      <c r="AH2068" s="46" t="n"/>
      <c r="AI2068" s="46" t="n"/>
      <c r="AJ2068" s="46" t="n"/>
      <c r="AK2068" s="46" t="n"/>
      <c r="AL2068" s="46" t="n"/>
      <c r="AM2068" s="46" t="n"/>
      <c r="AN2068" s="46" t="n"/>
      <c r="AO2068" s="46" t="n"/>
      <c r="AP2068" s="46" t="n"/>
      <c r="AQ2068" s="46" t="n"/>
      <c r="AR2068" s="46" t="n"/>
      <c r="AS2068" s="46" t="n"/>
      <c r="AV2068" s="36">
        <f>IF($C2068="","",EMPLOYES!M47)</f>
        <v/>
      </c>
      <c r="AW2068" s="36">
        <f>IF($C2068="",0,SUMPRODUCT(--(O2068:AS2068="C")))</f>
        <v/>
      </c>
      <c r="AX2068" s="36">
        <f>IF($C2068="",0,SUMPRODUCT(--(O2068:AS2068="R")))</f>
        <v/>
      </c>
      <c r="AY2068" s="44" t="n"/>
    </row>
    <row r="2069" hidden="1" outlineLevel="1" ht="15" customHeight="1" s="15">
      <c r="B2069" s="41" t="n">
        <v>9</v>
      </c>
      <c r="C2069" s="42">
        <f>IF(EMPLOYES!C48="","",EMPLOYES!C48)</f>
        <v/>
      </c>
      <c r="D2069" s="43">
        <f>IF(EMPLOYES!C48="","",EMPLOYES!D48)</f>
        <v/>
      </c>
      <c r="E2069" s="44" t="n"/>
      <c r="F2069" s="42" t="n"/>
      <c r="G2069" s="41">
        <f>IF($C2069="",0,MAX(0,$M2069-$N2069))</f>
        <v/>
      </c>
      <c r="H2069" s="45" t="n"/>
      <c r="I2069" s="41">
        <f>IF($C2069="","",IF(H2069="","OK",IF(H2069&gt;EMPLOYES!P48,"⚠ Avance &gt; salaire",IF(H2069&gt;EMPLOYES!P48*PARAMETRES!$C$218,"⚠ Avance élevée","OK"))))</f>
        <v/>
      </c>
      <c r="J2069" s="45" t="n"/>
      <c r="K2069" s="46" t="n"/>
      <c r="L2069" s="46" t="n"/>
      <c r="M2069" s="41">
        <f>IF($C2069="","",SUMPRODUCT((PARAMETRES!$B$38:$B$157=PARAMETRES!$C$29)*(PARAMETRES!$C$38:$C$157=9)*(IF(EMPLOYES!M48="5j",PARAMETRES!$I$38:$I$157,PARAMETRES!$H$38:$H$157))))</f>
        <v/>
      </c>
      <c r="N2069" s="41">
        <f>IF($C2069="","",SUMPRODUCT((O2069:AS2069="P")+(O2069:AS2069="F")+(O2069:AS2069="C")+0.5*(O2069:AS2069="D"),(1-((O2033:AS2033=6)*(EMPLOYES!M48="5j")))))</f>
        <v/>
      </c>
      <c r="O2069" s="46" t="n"/>
      <c r="P2069" s="46" t="n"/>
      <c r="Q2069" s="46" t="n"/>
      <c r="R2069" s="46" t="n"/>
      <c r="S2069" s="46" t="n"/>
      <c r="T2069" s="46" t="n"/>
      <c r="U2069" s="46" t="n"/>
      <c r="V2069" s="46" t="n"/>
      <c r="W2069" s="46" t="n"/>
      <c r="X2069" s="46" t="n"/>
      <c r="Y2069" s="46" t="n"/>
      <c r="Z2069" s="46" t="n"/>
      <c r="AA2069" s="46" t="n"/>
      <c r="AB2069" s="46" t="n"/>
      <c r="AC2069" s="46" t="n"/>
      <c r="AD2069" s="46" t="n"/>
      <c r="AE2069" s="46" t="n"/>
      <c r="AF2069" s="46" t="n"/>
      <c r="AG2069" s="46" t="n"/>
      <c r="AH2069" s="46" t="n"/>
      <c r="AI2069" s="46" t="n"/>
      <c r="AJ2069" s="46" t="n"/>
      <c r="AK2069" s="46" t="n"/>
      <c r="AL2069" s="46" t="n"/>
      <c r="AM2069" s="46" t="n"/>
      <c r="AN2069" s="46" t="n"/>
      <c r="AO2069" s="46" t="n"/>
      <c r="AP2069" s="46" t="n"/>
      <c r="AQ2069" s="46" t="n"/>
      <c r="AR2069" s="46" t="n"/>
      <c r="AS2069" s="46" t="n"/>
      <c r="AV2069" s="36">
        <f>IF($C2069="","",EMPLOYES!M48)</f>
        <v/>
      </c>
      <c r="AW2069" s="36">
        <f>IF($C2069="",0,SUMPRODUCT(--(O2069:AS2069="C")))</f>
        <v/>
      </c>
      <c r="AX2069" s="36">
        <f>IF($C2069="",0,SUMPRODUCT(--(O2069:AS2069="R")))</f>
        <v/>
      </c>
      <c r="AY2069" s="44" t="n"/>
    </row>
    <row r="2070" hidden="1" outlineLevel="1" ht="15" customHeight="1" s="15">
      <c r="B2070" s="41" t="n">
        <v>9</v>
      </c>
      <c r="C2070" s="42">
        <f>IF(EMPLOYES!C49="","",EMPLOYES!C49)</f>
        <v/>
      </c>
      <c r="D2070" s="43">
        <f>IF(EMPLOYES!C49="","",EMPLOYES!D49)</f>
        <v/>
      </c>
      <c r="E2070" s="44" t="n"/>
      <c r="F2070" s="42" t="n"/>
      <c r="G2070" s="41">
        <f>IF($C2070="",0,MAX(0,$M2070-$N2070))</f>
        <v/>
      </c>
      <c r="H2070" s="45" t="n"/>
      <c r="I2070" s="41">
        <f>IF($C2070="","",IF(H2070="","OK",IF(H2070&gt;EMPLOYES!P49,"⚠ Avance &gt; salaire",IF(H2070&gt;EMPLOYES!P49*PARAMETRES!$C$218,"⚠ Avance élevée","OK"))))</f>
        <v/>
      </c>
      <c r="J2070" s="45" t="n"/>
      <c r="K2070" s="46" t="n"/>
      <c r="L2070" s="46" t="n"/>
      <c r="M2070" s="41">
        <f>IF($C2070="","",SUMPRODUCT((PARAMETRES!$B$38:$B$157=PARAMETRES!$C$29)*(PARAMETRES!$C$38:$C$157=9)*(IF(EMPLOYES!M49="5j",PARAMETRES!$I$38:$I$157,PARAMETRES!$H$38:$H$157))))</f>
        <v/>
      </c>
      <c r="N2070" s="41">
        <f>IF($C2070="","",SUMPRODUCT((O2070:AS2070="P")+(O2070:AS2070="F")+(O2070:AS2070="C")+0.5*(O2070:AS2070="D"),(1-((O2033:AS2033=6)*(EMPLOYES!M49="5j")))))</f>
        <v/>
      </c>
      <c r="O2070" s="46" t="n"/>
      <c r="P2070" s="46" t="n"/>
      <c r="Q2070" s="46" t="n"/>
      <c r="R2070" s="46" t="n"/>
      <c r="S2070" s="46" t="n"/>
      <c r="T2070" s="46" t="n"/>
      <c r="U2070" s="46" t="n"/>
      <c r="V2070" s="46" t="n"/>
      <c r="W2070" s="46" t="n"/>
      <c r="X2070" s="46" t="n"/>
      <c r="Y2070" s="46" t="n"/>
      <c r="Z2070" s="46" t="n"/>
      <c r="AA2070" s="46" t="n"/>
      <c r="AB2070" s="46" t="n"/>
      <c r="AC2070" s="46" t="n"/>
      <c r="AD2070" s="46" t="n"/>
      <c r="AE2070" s="46" t="n"/>
      <c r="AF2070" s="46" t="n"/>
      <c r="AG2070" s="46" t="n"/>
      <c r="AH2070" s="46" t="n"/>
      <c r="AI2070" s="46" t="n"/>
      <c r="AJ2070" s="46" t="n"/>
      <c r="AK2070" s="46" t="n"/>
      <c r="AL2070" s="46" t="n"/>
      <c r="AM2070" s="46" t="n"/>
      <c r="AN2070" s="46" t="n"/>
      <c r="AO2070" s="46" t="n"/>
      <c r="AP2070" s="46" t="n"/>
      <c r="AQ2070" s="46" t="n"/>
      <c r="AR2070" s="46" t="n"/>
      <c r="AS2070" s="46" t="n"/>
      <c r="AV2070" s="36">
        <f>IF($C2070="","",EMPLOYES!M49)</f>
        <v/>
      </c>
      <c r="AW2070" s="36">
        <f>IF($C2070="",0,SUMPRODUCT(--(O2070:AS2070="C")))</f>
        <v/>
      </c>
      <c r="AX2070" s="36">
        <f>IF($C2070="",0,SUMPRODUCT(--(O2070:AS2070="R")))</f>
        <v/>
      </c>
      <c r="AY2070" s="44" t="n"/>
    </row>
    <row r="2071" hidden="1" outlineLevel="1" ht="15" customHeight="1" s="15">
      <c r="B2071" s="41" t="n">
        <v>9</v>
      </c>
      <c r="C2071" s="42">
        <f>IF(EMPLOYES!C50="","",EMPLOYES!C50)</f>
        <v/>
      </c>
      <c r="D2071" s="43">
        <f>IF(EMPLOYES!C50="","",EMPLOYES!D50)</f>
        <v/>
      </c>
      <c r="E2071" s="44" t="n"/>
      <c r="F2071" s="42" t="n"/>
      <c r="G2071" s="41">
        <f>IF($C2071="",0,MAX(0,$M2071-$N2071))</f>
        <v/>
      </c>
      <c r="H2071" s="45" t="n"/>
      <c r="I2071" s="41">
        <f>IF($C2071="","",IF(H2071="","OK",IF(H2071&gt;EMPLOYES!P50,"⚠ Avance &gt; salaire",IF(H2071&gt;EMPLOYES!P50*PARAMETRES!$C$218,"⚠ Avance élevée","OK"))))</f>
        <v/>
      </c>
      <c r="J2071" s="45" t="n"/>
      <c r="K2071" s="46" t="n"/>
      <c r="L2071" s="46" t="n"/>
      <c r="M2071" s="41">
        <f>IF($C2071="","",SUMPRODUCT((PARAMETRES!$B$38:$B$157=PARAMETRES!$C$29)*(PARAMETRES!$C$38:$C$157=9)*(IF(EMPLOYES!M50="5j",PARAMETRES!$I$38:$I$157,PARAMETRES!$H$38:$H$157))))</f>
        <v/>
      </c>
      <c r="N2071" s="41">
        <f>IF($C2071="","",SUMPRODUCT((O2071:AS2071="P")+(O2071:AS2071="F")+(O2071:AS2071="C")+0.5*(O2071:AS2071="D"),(1-((O2033:AS2033=6)*(EMPLOYES!M50="5j")))))</f>
        <v/>
      </c>
      <c r="O2071" s="46" t="n"/>
      <c r="P2071" s="46" t="n"/>
      <c r="Q2071" s="46" t="n"/>
      <c r="R2071" s="46" t="n"/>
      <c r="S2071" s="46" t="n"/>
      <c r="T2071" s="46" t="n"/>
      <c r="U2071" s="46" t="n"/>
      <c r="V2071" s="46" t="n"/>
      <c r="W2071" s="46" t="n"/>
      <c r="X2071" s="46" t="n"/>
      <c r="Y2071" s="46" t="n"/>
      <c r="Z2071" s="46" t="n"/>
      <c r="AA2071" s="46" t="n"/>
      <c r="AB2071" s="46" t="n"/>
      <c r="AC2071" s="46" t="n"/>
      <c r="AD2071" s="46" t="n"/>
      <c r="AE2071" s="46" t="n"/>
      <c r="AF2071" s="46" t="n"/>
      <c r="AG2071" s="46" t="n"/>
      <c r="AH2071" s="46" t="n"/>
      <c r="AI2071" s="46" t="n"/>
      <c r="AJ2071" s="46" t="n"/>
      <c r="AK2071" s="46" t="n"/>
      <c r="AL2071" s="46" t="n"/>
      <c r="AM2071" s="46" t="n"/>
      <c r="AN2071" s="46" t="n"/>
      <c r="AO2071" s="46" t="n"/>
      <c r="AP2071" s="46" t="n"/>
      <c r="AQ2071" s="46" t="n"/>
      <c r="AR2071" s="46" t="n"/>
      <c r="AS2071" s="46" t="n"/>
      <c r="AV2071" s="36">
        <f>IF($C2071="","",EMPLOYES!M50)</f>
        <v/>
      </c>
      <c r="AW2071" s="36">
        <f>IF($C2071="",0,SUMPRODUCT(--(O2071:AS2071="C")))</f>
        <v/>
      </c>
      <c r="AX2071" s="36">
        <f>IF($C2071="",0,SUMPRODUCT(--(O2071:AS2071="R")))</f>
        <v/>
      </c>
      <c r="AY2071" s="44" t="n"/>
    </row>
    <row r="2072" hidden="1" outlineLevel="1" ht="15" customHeight="1" s="15">
      <c r="B2072" s="41" t="n">
        <v>9</v>
      </c>
      <c r="C2072" s="42">
        <f>IF(EMPLOYES!C51="","",EMPLOYES!C51)</f>
        <v/>
      </c>
      <c r="D2072" s="43">
        <f>IF(EMPLOYES!C51="","",EMPLOYES!D51)</f>
        <v/>
      </c>
      <c r="E2072" s="44" t="n"/>
      <c r="F2072" s="42" t="n"/>
      <c r="G2072" s="41">
        <f>IF($C2072="",0,MAX(0,$M2072-$N2072))</f>
        <v/>
      </c>
      <c r="H2072" s="45" t="n"/>
      <c r="I2072" s="41">
        <f>IF($C2072="","",IF(H2072="","OK",IF(H2072&gt;EMPLOYES!P51,"⚠ Avance &gt; salaire",IF(H2072&gt;EMPLOYES!P51*PARAMETRES!$C$218,"⚠ Avance élevée","OK"))))</f>
        <v/>
      </c>
      <c r="J2072" s="45" t="n"/>
      <c r="K2072" s="46" t="n"/>
      <c r="L2072" s="46" t="n"/>
      <c r="M2072" s="41">
        <f>IF($C2072="","",SUMPRODUCT((PARAMETRES!$B$38:$B$157=PARAMETRES!$C$29)*(PARAMETRES!$C$38:$C$157=9)*(IF(EMPLOYES!M51="5j",PARAMETRES!$I$38:$I$157,PARAMETRES!$H$38:$H$157))))</f>
        <v/>
      </c>
      <c r="N2072" s="41">
        <f>IF($C2072="","",SUMPRODUCT((O2072:AS2072="P")+(O2072:AS2072="F")+(O2072:AS2072="C")+0.5*(O2072:AS2072="D"),(1-((O2033:AS2033=6)*(EMPLOYES!M51="5j")))))</f>
        <v/>
      </c>
      <c r="O2072" s="46" t="n"/>
      <c r="P2072" s="46" t="n"/>
      <c r="Q2072" s="46" t="n"/>
      <c r="R2072" s="46" t="n"/>
      <c r="S2072" s="46" t="n"/>
      <c r="T2072" s="46" t="n"/>
      <c r="U2072" s="46" t="n"/>
      <c r="V2072" s="46" t="n"/>
      <c r="W2072" s="46" t="n"/>
      <c r="X2072" s="46" t="n"/>
      <c r="Y2072" s="46" t="n"/>
      <c r="Z2072" s="46" t="n"/>
      <c r="AA2072" s="46" t="n"/>
      <c r="AB2072" s="46" t="n"/>
      <c r="AC2072" s="46" t="n"/>
      <c r="AD2072" s="46" t="n"/>
      <c r="AE2072" s="46" t="n"/>
      <c r="AF2072" s="46" t="n"/>
      <c r="AG2072" s="46" t="n"/>
      <c r="AH2072" s="46" t="n"/>
      <c r="AI2072" s="46" t="n"/>
      <c r="AJ2072" s="46" t="n"/>
      <c r="AK2072" s="46" t="n"/>
      <c r="AL2072" s="46" t="n"/>
      <c r="AM2072" s="46" t="n"/>
      <c r="AN2072" s="46" t="n"/>
      <c r="AO2072" s="46" t="n"/>
      <c r="AP2072" s="46" t="n"/>
      <c r="AQ2072" s="46" t="n"/>
      <c r="AR2072" s="46" t="n"/>
      <c r="AS2072" s="46" t="n"/>
      <c r="AV2072" s="36">
        <f>IF($C2072="","",EMPLOYES!M51)</f>
        <v/>
      </c>
      <c r="AW2072" s="36">
        <f>IF($C2072="",0,SUMPRODUCT(--(O2072:AS2072="C")))</f>
        <v/>
      </c>
      <c r="AX2072" s="36">
        <f>IF($C2072="",0,SUMPRODUCT(--(O2072:AS2072="R")))</f>
        <v/>
      </c>
      <c r="AY2072" s="44" t="n"/>
    </row>
    <row r="2073" hidden="1" outlineLevel="1" ht="15" customHeight="1" s="15">
      <c r="B2073" s="41" t="n">
        <v>9</v>
      </c>
      <c r="C2073" s="42">
        <f>IF(EMPLOYES!C52="","",EMPLOYES!C52)</f>
        <v/>
      </c>
      <c r="D2073" s="43">
        <f>IF(EMPLOYES!C52="","",EMPLOYES!D52)</f>
        <v/>
      </c>
      <c r="E2073" s="44" t="n"/>
      <c r="F2073" s="42" t="n"/>
      <c r="G2073" s="41">
        <f>IF($C2073="",0,MAX(0,$M2073-$N2073))</f>
        <v/>
      </c>
      <c r="H2073" s="45" t="n"/>
      <c r="I2073" s="41">
        <f>IF($C2073="","",IF(H2073="","OK",IF(H2073&gt;EMPLOYES!P52,"⚠ Avance &gt; salaire",IF(H2073&gt;EMPLOYES!P52*PARAMETRES!$C$218,"⚠ Avance élevée","OK"))))</f>
        <v/>
      </c>
      <c r="J2073" s="45" t="n"/>
      <c r="K2073" s="46" t="n"/>
      <c r="L2073" s="46" t="n"/>
      <c r="M2073" s="41">
        <f>IF($C2073="","",SUMPRODUCT((PARAMETRES!$B$38:$B$157=PARAMETRES!$C$29)*(PARAMETRES!$C$38:$C$157=9)*(IF(EMPLOYES!M52="5j",PARAMETRES!$I$38:$I$157,PARAMETRES!$H$38:$H$157))))</f>
        <v/>
      </c>
      <c r="N2073" s="41">
        <f>IF($C2073="","",SUMPRODUCT((O2073:AS2073="P")+(O2073:AS2073="F")+(O2073:AS2073="C")+0.5*(O2073:AS2073="D"),(1-((O2033:AS2033=6)*(EMPLOYES!M52="5j")))))</f>
        <v/>
      </c>
      <c r="O2073" s="46" t="n"/>
      <c r="P2073" s="46" t="n"/>
      <c r="Q2073" s="46" t="n"/>
      <c r="R2073" s="46" t="n"/>
      <c r="S2073" s="46" t="n"/>
      <c r="T2073" s="46" t="n"/>
      <c r="U2073" s="46" t="n"/>
      <c r="V2073" s="46" t="n"/>
      <c r="W2073" s="46" t="n"/>
      <c r="X2073" s="46" t="n"/>
      <c r="Y2073" s="46" t="n"/>
      <c r="Z2073" s="46" t="n"/>
      <c r="AA2073" s="46" t="n"/>
      <c r="AB2073" s="46" t="n"/>
      <c r="AC2073" s="46" t="n"/>
      <c r="AD2073" s="46" t="n"/>
      <c r="AE2073" s="46" t="n"/>
      <c r="AF2073" s="46" t="n"/>
      <c r="AG2073" s="46" t="n"/>
      <c r="AH2073" s="46" t="n"/>
      <c r="AI2073" s="46" t="n"/>
      <c r="AJ2073" s="46" t="n"/>
      <c r="AK2073" s="46" t="n"/>
      <c r="AL2073" s="46" t="n"/>
      <c r="AM2073" s="46" t="n"/>
      <c r="AN2073" s="46" t="n"/>
      <c r="AO2073" s="46" t="n"/>
      <c r="AP2073" s="46" t="n"/>
      <c r="AQ2073" s="46" t="n"/>
      <c r="AR2073" s="46" t="n"/>
      <c r="AS2073" s="46" t="n"/>
      <c r="AV2073" s="36">
        <f>IF($C2073="","",EMPLOYES!M52)</f>
        <v/>
      </c>
      <c r="AW2073" s="36">
        <f>IF($C2073="",0,SUMPRODUCT(--(O2073:AS2073="C")))</f>
        <v/>
      </c>
      <c r="AX2073" s="36">
        <f>IF($C2073="",0,SUMPRODUCT(--(O2073:AS2073="R")))</f>
        <v/>
      </c>
      <c r="AY2073" s="44" t="n"/>
    </row>
    <row r="2074" hidden="1" outlineLevel="1" ht="15" customHeight="1" s="15">
      <c r="B2074" s="41" t="n">
        <v>9</v>
      </c>
      <c r="C2074" s="42">
        <f>IF(EMPLOYES!C53="","",EMPLOYES!C53)</f>
        <v/>
      </c>
      <c r="D2074" s="43">
        <f>IF(EMPLOYES!C53="","",EMPLOYES!D53)</f>
        <v/>
      </c>
      <c r="E2074" s="44" t="n"/>
      <c r="F2074" s="42" t="n"/>
      <c r="G2074" s="41">
        <f>IF($C2074="",0,MAX(0,$M2074-$N2074))</f>
        <v/>
      </c>
      <c r="H2074" s="45" t="n"/>
      <c r="I2074" s="41">
        <f>IF($C2074="","",IF(H2074="","OK",IF(H2074&gt;EMPLOYES!P53,"⚠ Avance &gt; salaire",IF(H2074&gt;EMPLOYES!P53*PARAMETRES!$C$218,"⚠ Avance élevée","OK"))))</f>
        <v/>
      </c>
      <c r="J2074" s="45" t="n"/>
      <c r="K2074" s="46" t="n"/>
      <c r="L2074" s="46" t="n"/>
      <c r="M2074" s="41">
        <f>IF($C2074="","",SUMPRODUCT((PARAMETRES!$B$38:$B$157=PARAMETRES!$C$29)*(PARAMETRES!$C$38:$C$157=9)*(IF(EMPLOYES!M53="5j",PARAMETRES!$I$38:$I$157,PARAMETRES!$H$38:$H$157))))</f>
        <v/>
      </c>
      <c r="N2074" s="41">
        <f>IF($C2074="","",SUMPRODUCT((O2074:AS2074="P")+(O2074:AS2074="F")+(O2074:AS2074="C")+0.5*(O2074:AS2074="D"),(1-((O2033:AS2033=6)*(EMPLOYES!M53="5j")))))</f>
        <v/>
      </c>
      <c r="O2074" s="46" t="n"/>
      <c r="P2074" s="46" t="n"/>
      <c r="Q2074" s="46" t="n"/>
      <c r="R2074" s="46" t="n"/>
      <c r="S2074" s="46" t="n"/>
      <c r="T2074" s="46" t="n"/>
      <c r="U2074" s="46" t="n"/>
      <c r="V2074" s="46" t="n"/>
      <c r="W2074" s="46" t="n"/>
      <c r="X2074" s="46" t="n"/>
      <c r="Y2074" s="46" t="n"/>
      <c r="Z2074" s="46" t="n"/>
      <c r="AA2074" s="46" t="n"/>
      <c r="AB2074" s="46" t="n"/>
      <c r="AC2074" s="46" t="n"/>
      <c r="AD2074" s="46" t="n"/>
      <c r="AE2074" s="46" t="n"/>
      <c r="AF2074" s="46" t="n"/>
      <c r="AG2074" s="46" t="n"/>
      <c r="AH2074" s="46" t="n"/>
      <c r="AI2074" s="46" t="n"/>
      <c r="AJ2074" s="46" t="n"/>
      <c r="AK2074" s="46" t="n"/>
      <c r="AL2074" s="46" t="n"/>
      <c r="AM2074" s="46" t="n"/>
      <c r="AN2074" s="46" t="n"/>
      <c r="AO2074" s="46" t="n"/>
      <c r="AP2074" s="46" t="n"/>
      <c r="AQ2074" s="46" t="n"/>
      <c r="AR2074" s="46" t="n"/>
      <c r="AS2074" s="46" t="n"/>
      <c r="AV2074" s="36">
        <f>IF($C2074="","",EMPLOYES!M53)</f>
        <v/>
      </c>
      <c r="AW2074" s="36">
        <f>IF($C2074="",0,SUMPRODUCT(--(O2074:AS2074="C")))</f>
        <v/>
      </c>
      <c r="AX2074" s="36">
        <f>IF($C2074="",0,SUMPRODUCT(--(O2074:AS2074="R")))</f>
        <v/>
      </c>
      <c r="AY2074" s="44" t="n"/>
    </row>
    <row r="2075" hidden="1" outlineLevel="1" ht="15" customHeight="1" s="15">
      <c r="B2075" s="41" t="n">
        <v>9</v>
      </c>
      <c r="C2075" s="42">
        <f>IF(EMPLOYES!C54="","",EMPLOYES!C54)</f>
        <v/>
      </c>
      <c r="D2075" s="43">
        <f>IF(EMPLOYES!C54="","",EMPLOYES!D54)</f>
        <v/>
      </c>
      <c r="E2075" s="44" t="n"/>
      <c r="F2075" s="42" t="n"/>
      <c r="G2075" s="41">
        <f>IF($C2075="",0,MAX(0,$M2075-$N2075))</f>
        <v/>
      </c>
      <c r="H2075" s="45" t="n"/>
      <c r="I2075" s="41">
        <f>IF($C2075="","",IF(H2075="","OK",IF(H2075&gt;EMPLOYES!P54,"⚠ Avance &gt; salaire",IF(H2075&gt;EMPLOYES!P54*PARAMETRES!$C$218,"⚠ Avance élevée","OK"))))</f>
        <v/>
      </c>
      <c r="J2075" s="45" t="n"/>
      <c r="K2075" s="46" t="n"/>
      <c r="L2075" s="46" t="n"/>
      <c r="M2075" s="41">
        <f>IF($C2075="","",SUMPRODUCT((PARAMETRES!$B$38:$B$157=PARAMETRES!$C$29)*(PARAMETRES!$C$38:$C$157=9)*(IF(EMPLOYES!M54="5j",PARAMETRES!$I$38:$I$157,PARAMETRES!$H$38:$H$157))))</f>
        <v/>
      </c>
      <c r="N2075" s="41">
        <f>IF($C2075="","",SUMPRODUCT((O2075:AS2075="P")+(O2075:AS2075="F")+(O2075:AS2075="C")+0.5*(O2075:AS2075="D"),(1-((O2033:AS2033=6)*(EMPLOYES!M54="5j")))))</f>
        <v/>
      </c>
      <c r="O2075" s="46" t="n"/>
      <c r="P2075" s="46" t="n"/>
      <c r="Q2075" s="46" t="n"/>
      <c r="R2075" s="46" t="n"/>
      <c r="S2075" s="46" t="n"/>
      <c r="T2075" s="46" t="n"/>
      <c r="U2075" s="46" t="n"/>
      <c r="V2075" s="46" t="n"/>
      <c r="W2075" s="46" t="n"/>
      <c r="X2075" s="46" t="n"/>
      <c r="Y2075" s="46" t="n"/>
      <c r="Z2075" s="46" t="n"/>
      <c r="AA2075" s="46" t="n"/>
      <c r="AB2075" s="46" t="n"/>
      <c r="AC2075" s="46" t="n"/>
      <c r="AD2075" s="46" t="n"/>
      <c r="AE2075" s="46" t="n"/>
      <c r="AF2075" s="46" t="n"/>
      <c r="AG2075" s="46" t="n"/>
      <c r="AH2075" s="46" t="n"/>
      <c r="AI2075" s="46" t="n"/>
      <c r="AJ2075" s="46" t="n"/>
      <c r="AK2075" s="46" t="n"/>
      <c r="AL2075" s="46" t="n"/>
      <c r="AM2075" s="46" t="n"/>
      <c r="AN2075" s="46" t="n"/>
      <c r="AO2075" s="46" t="n"/>
      <c r="AP2075" s="46" t="n"/>
      <c r="AQ2075" s="46" t="n"/>
      <c r="AR2075" s="46" t="n"/>
      <c r="AS2075" s="46" t="n"/>
      <c r="AV2075" s="36">
        <f>IF($C2075="","",EMPLOYES!M54)</f>
        <v/>
      </c>
      <c r="AW2075" s="36">
        <f>IF($C2075="",0,SUMPRODUCT(--(O2075:AS2075="C")))</f>
        <v/>
      </c>
      <c r="AX2075" s="36">
        <f>IF($C2075="",0,SUMPRODUCT(--(O2075:AS2075="R")))</f>
        <v/>
      </c>
      <c r="AY2075" s="44" t="n"/>
    </row>
    <row r="2076" hidden="1" outlineLevel="1" ht="15" customHeight="1" s="15">
      <c r="B2076" s="41" t="n">
        <v>9</v>
      </c>
      <c r="C2076" s="42">
        <f>IF(EMPLOYES!C55="","",EMPLOYES!C55)</f>
        <v/>
      </c>
      <c r="D2076" s="43">
        <f>IF(EMPLOYES!C55="","",EMPLOYES!D55)</f>
        <v/>
      </c>
      <c r="E2076" s="44" t="n"/>
      <c r="F2076" s="42" t="n"/>
      <c r="G2076" s="41">
        <f>IF($C2076="",0,MAX(0,$M2076-$N2076))</f>
        <v/>
      </c>
      <c r="H2076" s="45" t="n"/>
      <c r="I2076" s="41">
        <f>IF($C2076="","",IF(H2076="","OK",IF(H2076&gt;EMPLOYES!P55,"⚠ Avance &gt; salaire",IF(H2076&gt;EMPLOYES!P55*PARAMETRES!$C$218,"⚠ Avance élevée","OK"))))</f>
        <v/>
      </c>
      <c r="J2076" s="45" t="n"/>
      <c r="K2076" s="46" t="n"/>
      <c r="L2076" s="46" t="n"/>
      <c r="M2076" s="41">
        <f>IF($C2076="","",SUMPRODUCT((PARAMETRES!$B$38:$B$157=PARAMETRES!$C$29)*(PARAMETRES!$C$38:$C$157=9)*(IF(EMPLOYES!M55="5j",PARAMETRES!$I$38:$I$157,PARAMETRES!$H$38:$H$157))))</f>
        <v/>
      </c>
      <c r="N2076" s="41">
        <f>IF($C2076="","",SUMPRODUCT((O2076:AS2076="P")+(O2076:AS2076="F")+(O2076:AS2076="C")+0.5*(O2076:AS2076="D"),(1-((O2033:AS2033=6)*(EMPLOYES!M55="5j")))))</f>
        <v/>
      </c>
      <c r="O2076" s="46" t="n"/>
      <c r="P2076" s="46" t="n"/>
      <c r="Q2076" s="46" t="n"/>
      <c r="R2076" s="46" t="n"/>
      <c r="S2076" s="46" t="n"/>
      <c r="T2076" s="46" t="n"/>
      <c r="U2076" s="46" t="n"/>
      <c r="V2076" s="46" t="n"/>
      <c r="W2076" s="46" t="n"/>
      <c r="X2076" s="46" t="n"/>
      <c r="Y2076" s="46" t="n"/>
      <c r="Z2076" s="46" t="n"/>
      <c r="AA2076" s="46" t="n"/>
      <c r="AB2076" s="46" t="n"/>
      <c r="AC2076" s="46" t="n"/>
      <c r="AD2076" s="46" t="n"/>
      <c r="AE2076" s="46" t="n"/>
      <c r="AF2076" s="46" t="n"/>
      <c r="AG2076" s="46" t="n"/>
      <c r="AH2076" s="46" t="n"/>
      <c r="AI2076" s="46" t="n"/>
      <c r="AJ2076" s="46" t="n"/>
      <c r="AK2076" s="46" t="n"/>
      <c r="AL2076" s="46" t="n"/>
      <c r="AM2076" s="46" t="n"/>
      <c r="AN2076" s="46" t="n"/>
      <c r="AO2076" s="46" t="n"/>
      <c r="AP2076" s="46" t="n"/>
      <c r="AQ2076" s="46" t="n"/>
      <c r="AR2076" s="46" t="n"/>
      <c r="AS2076" s="46" t="n"/>
      <c r="AV2076" s="36">
        <f>IF($C2076="","",EMPLOYES!M55)</f>
        <v/>
      </c>
      <c r="AW2076" s="36">
        <f>IF($C2076="",0,SUMPRODUCT(--(O2076:AS2076="C")))</f>
        <v/>
      </c>
      <c r="AX2076" s="36">
        <f>IF($C2076="",0,SUMPRODUCT(--(O2076:AS2076="R")))</f>
        <v/>
      </c>
      <c r="AY2076" s="44" t="n"/>
    </row>
    <row r="2077" hidden="1" outlineLevel="1" ht="15" customHeight="1" s="15">
      <c r="B2077" s="41" t="n">
        <v>9</v>
      </c>
      <c r="C2077" s="42">
        <f>IF(EMPLOYES!C56="","",EMPLOYES!C56)</f>
        <v/>
      </c>
      <c r="D2077" s="43">
        <f>IF(EMPLOYES!C56="","",EMPLOYES!D56)</f>
        <v/>
      </c>
      <c r="E2077" s="44" t="n"/>
      <c r="F2077" s="42" t="n"/>
      <c r="G2077" s="41">
        <f>IF($C2077="",0,MAX(0,$M2077-$N2077))</f>
        <v/>
      </c>
      <c r="H2077" s="45" t="n"/>
      <c r="I2077" s="41">
        <f>IF($C2077="","",IF(H2077="","OK",IF(H2077&gt;EMPLOYES!P56,"⚠ Avance &gt; salaire",IF(H2077&gt;EMPLOYES!P56*PARAMETRES!$C$218,"⚠ Avance élevée","OK"))))</f>
        <v/>
      </c>
      <c r="J2077" s="45" t="n"/>
      <c r="K2077" s="46" t="n"/>
      <c r="L2077" s="46" t="n"/>
      <c r="M2077" s="41">
        <f>IF($C2077="","",SUMPRODUCT((PARAMETRES!$B$38:$B$157=PARAMETRES!$C$29)*(PARAMETRES!$C$38:$C$157=9)*(IF(EMPLOYES!M56="5j",PARAMETRES!$I$38:$I$157,PARAMETRES!$H$38:$H$157))))</f>
        <v/>
      </c>
      <c r="N2077" s="41">
        <f>IF($C2077="","",SUMPRODUCT((O2077:AS2077="P")+(O2077:AS2077="F")+(O2077:AS2077="C")+0.5*(O2077:AS2077="D"),(1-((O2033:AS2033=6)*(EMPLOYES!M56="5j")))))</f>
        <v/>
      </c>
      <c r="O2077" s="46" t="n"/>
      <c r="P2077" s="46" t="n"/>
      <c r="Q2077" s="46" t="n"/>
      <c r="R2077" s="46" t="n"/>
      <c r="S2077" s="46" t="n"/>
      <c r="T2077" s="46" t="n"/>
      <c r="U2077" s="46" t="n"/>
      <c r="V2077" s="46" t="n"/>
      <c r="W2077" s="46" t="n"/>
      <c r="X2077" s="46" t="n"/>
      <c r="Y2077" s="46" t="n"/>
      <c r="Z2077" s="46" t="n"/>
      <c r="AA2077" s="46" t="n"/>
      <c r="AB2077" s="46" t="n"/>
      <c r="AC2077" s="46" t="n"/>
      <c r="AD2077" s="46" t="n"/>
      <c r="AE2077" s="46" t="n"/>
      <c r="AF2077" s="46" t="n"/>
      <c r="AG2077" s="46" t="n"/>
      <c r="AH2077" s="46" t="n"/>
      <c r="AI2077" s="46" t="n"/>
      <c r="AJ2077" s="46" t="n"/>
      <c r="AK2077" s="46" t="n"/>
      <c r="AL2077" s="46" t="n"/>
      <c r="AM2077" s="46" t="n"/>
      <c r="AN2077" s="46" t="n"/>
      <c r="AO2077" s="46" t="n"/>
      <c r="AP2077" s="46" t="n"/>
      <c r="AQ2077" s="46" t="n"/>
      <c r="AR2077" s="46" t="n"/>
      <c r="AS2077" s="46" t="n"/>
      <c r="AV2077" s="36">
        <f>IF($C2077="","",EMPLOYES!M56)</f>
        <v/>
      </c>
      <c r="AW2077" s="36">
        <f>IF($C2077="",0,SUMPRODUCT(--(O2077:AS2077="C")))</f>
        <v/>
      </c>
      <c r="AX2077" s="36">
        <f>IF($C2077="",0,SUMPRODUCT(--(O2077:AS2077="R")))</f>
        <v/>
      </c>
      <c r="AY2077" s="44" t="n"/>
    </row>
    <row r="2078" hidden="1" outlineLevel="1" ht="15" customHeight="1" s="15">
      <c r="B2078" s="41" t="n">
        <v>9</v>
      </c>
      <c r="C2078" s="42">
        <f>IF(EMPLOYES!C57="","",EMPLOYES!C57)</f>
        <v/>
      </c>
      <c r="D2078" s="43">
        <f>IF(EMPLOYES!C57="","",EMPLOYES!D57)</f>
        <v/>
      </c>
      <c r="E2078" s="44" t="n"/>
      <c r="F2078" s="42" t="n"/>
      <c r="G2078" s="41">
        <f>IF($C2078="",0,MAX(0,$M2078-$N2078))</f>
        <v/>
      </c>
      <c r="H2078" s="45" t="n"/>
      <c r="I2078" s="41">
        <f>IF($C2078="","",IF(H2078="","OK",IF(H2078&gt;EMPLOYES!P57,"⚠ Avance &gt; salaire",IF(H2078&gt;EMPLOYES!P57*PARAMETRES!$C$218,"⚠ Avance élevée","OK"))))</f>
        <v/>
      </c>
      <c r="J2078" s="45" t="n"/>
      <c r="K2078" s="46" t="n"/>
      <c r="L2078" s="46" t="n"/>
      <c r="M2078" s="41">
        <f>IF($C2078="","",SUMPRODUCT((PARAMETRES!$B$38:$B$157=PARAMETRES!$C$29)*(PARAMETRES!$C$38:$C$157=9)*(IF(EMPLOYES!M57="5j",PARAMETRES!$I$38:$I$157,PARAMETRES!$H$38:$H$157))))</f>
        <v/>
      </c>
      <c r="N2078" s="41">
        <f>IF($C2078="","",SUMPRODUCT((O2078:AS2078="P")+(O2078:AS2078="F")+(O2078:AS2078="C")+0.5*(O2078:AS2078="D"),(1-((O2033:AS2033=6)*(EMPLOYES!M57="5j")))))</f>
        <v/>
      </c>
      <c r="O2078" s="46" t="n"/>
      <c r="P2078" s="46" t="n"/>
      <c r="Q2078" s="46" t="n"/>
      <c r="R2078" s="46" t="n"/>
      <c r="S2078" s="46" t="n"/>
      <c r="T2078" s="46" t="n"/>
      <c r="U2078" s="46" t="n"/>
      <c r="V2078" s="46" t="n"/>
      <c r="W2078" s="46" t="n"/>
      <c r="X2078" s="46" t="n"/>
      <c r="Y2078" s="46" t="n"/>
      <c r="Z2078" s="46" t="n"/>
      <c r="AA2078" s="46" t="n"/>
      <c r="AB2078" s="46" t="n"/>
      <c r="AC2078" s="46" t="n"/>
      <c r="AD2078" s="46" t="n"/>
      <c r="AE2078" s="46" t="n"/>
      <c r="AF2078" s="46" t="n"/>
      <c r="AG2078" s="46" t="n"/>
      <c r="AH2078" s="46" t="n"/>
      <c r="AI2078" s="46" t="n"/>
      <c r="AJ2078" s="46" t="n"/>
      <c r="AK2078" s="46" t="n"/>
      <c r="AL2078" s="46" t="n"/>
      <c r="AM2078" s="46" t="n"/>
      <c r="AN2078" s="46" t="n"/>
      <c r="AO2078" s="46" t="n"/>
      <c r="AP2078" s="46" t="n"/>
      <c r="AQ2078" s="46" t="n"/>
      <c r="AR2078" s="46" t="n"/>
      <c r="AS2078" s="46" t="n"/>
      <c r="AV2078" s="36">
        <f>IF($C2078="","",EMPLOYES!M57)</f>
        <v/>
      </c>
      <c r="AW2078" s="36">
        <f>IF($C2078="",0,SUMPRODUCT(--(O2078:AS2078="C")))</f>
        <v/>
      </c>
      <c r="AX2078" s="36">
        <f>IF($C2078="",0,SUMPRODUCT(--(O2078:AS2078="R")))</f>
        <v/>
      </c>
      <c r="AY2078" s="44" t="n"/>
    </row>
    <row r="2079" hidden="1" outlineLevel="1" ht="15" customHeight="1" s="15">
      <c r="B2079" s="41" t="n">
        <v>9</v>
      </c>
      <c r="C2079" s="42">
        <f>IF(EMPLOYES!C58="","",EMPLOYES!C58)</f>
        <v/>
      </c>
      <c r="D2079" s="43">
        <f>IF(EMPLOYES!C58="","",EMPLOYES!D58)</f>
        <v/>
      </c>
      <c r="E2079" s="44" t="n"/>
      <c r="F2079" s="42" t="n"/>
      <c r="G2079" s="41">
        <f>IF($C2079="",0,MAX(0,$M2079-$N2079))</f>
        <v/>
      </c>
      <c r="H2079" s="45" t="n"/>
      <c r="I2079" s="41">
        <f>IF($C2079="","",IF(H2079="","OK",IF(H2079&gt;EMPLOYES!P58,"⚠ Avance &gt; salaire",IF(H2079&gt;EMPLOYES!P58*PARAMETRES!$C$218,"⚠ Avance élevée","OK"))))</f>
        <v/>
      </c>
      <c r="J2079" s="45" t="n"/>
      <c r="K2079" s="46" t="n"/>
      <c r="L2079" s="46" t="n"/>
      <c r="M2079" s="41">
        <f>IF($C2079="","",SUMPRODUCT((PARAMETRES!$B$38:$B$157=PARAMETRES!$C$29)*(PARAMETRES!$C$38:$C$157=9)*(IF(EMPLOYES!M58="5j",PARAMETRES!$I$38:$I$157,PARAMETRES!$H$38:$H$157))))</f>
        <v/>
      </c>
      <c r="N2079" s="41">
        <f>IF($C2079="","",SUMPRODUCT((O2079:AS2079="P")+(O2079:AS2079="F")+(O2079:AS2079="C")+0.5*(O2079:AS2079="D"),(1-((O2033:AS2033=6)*(EMPLOYES!M58="5j")))))</f>
        <v/>
      </c>
      <c r="O2079" s="46" t="n"/>
      <c r="P2079" s="46" t="n"/>
      <c r="Q2079" s="46" t="n"/>
      <c r="R2079" s="46" t="n"/>
      <c r="S2079" s="46" t="n"/>
      <c r="T2079" s="46" t="n"/>
      <c r="U2079" s="46" t="n"/>
      <c r="V2079" s="46" t="n"/>
      <c r="W2079" s="46" t="n"/>
      <c r="X2079" s="46" t="n"/>
      <c r="Y2079" s="46" t="n"/>
      <c r="Z2079" s="46" t="n"/>
      <c r="AA2079" s="46" t="n"/>
      <c r="AB2079" s="46" t="n"/>
      <c r="AC2079" s="46" t="n"/>
      <c r="AD2079" s="46" t="n"/>
      <c r="AE2079" s="46" t="n"/>
      <c r="AF2079" s="46" t="n"/>
      <c r="AG2079" s="46" t="n"/>
      <c r="AH2079" s="46" t="n"/>
      <c r="AI2079" s="46" t="n"/>
      <c r="AJ2079" s="46" t="n"/>
      <c r="AK2079" s="46" t="n"/>
      <c r="AL2079" s="46" t="n"/>
      <c r="AM2079" s="46" t="n"/>
      <c r="AN2079" s="46" t="n"/>
      <c r="AO2079" s="46" t="n"/>
      <c r="AP2079" s="46" t="n"/>
      <c r="AQ2079" s="46" t="n"/>
      <c r="AR2079" s="46" t="n"/>
      <c r="AS2079" s="46" t="n"/>
      <c r="AV2079" s="36">
        <f>IF($C2079="","",EMPLOYES!M58)</f>
        <v/>
      </c>
      <c r="AW2079" s="36">
        <f>IF($C2079="",0,SUMPRODUCT(--(O2079:AS2079="C")))</f>
        <v/>
      </c>
      <c r="AX2079" s="36">
        <f>IF($C2079="",0,SUMPRODUCT(--(O2079:AS2079="R")))</f>
        <v/>
      </c>
      <c r="AY2079" s="44" t="n"/>
    </row>
    <row r="2080" hidden="1" outlineLevel="1" ht="15" customHeight="1" s="15">
      <c r="B2080" s="41" t="n">
        <v>9</v>
      </c>
      <c r="C2080" s="42">
        <f>IF(EMPLOYES!C59="","",EMPLOYES!C59)</f>
        <v/>
      </c>
      <c r="D2080" s="43">
        <f>IF(EMPLOYES!C59="","",EMPLOYES!D59)</f>
        <v/>
      </c>
      <c r="E2080" s="44" t="n"/>
      <c r="F2080" s="42" t="n"/>
      <c r="G2080" s="41">
        <f>IF($C2080="",0,MAX(0,$M2080-$N2080))</f>
        <v/>
      </c>
      <c r="H2080" s="45" t="n"/>
      <c r="I2080" s="41">
        <f>IF($C2080="","",IF(H2080="","OK",IF(H2080&gt;EMPLOYES!P59,"⚠ Avance &gt; salaire",IF(H2080&gt;EMPLOYES!P59*PARAMETRES!$C$218,"⚠ Avance élevée","OK"))))</f>
        <v/>
      </c>
      <c r="J2080" s="45" t="n"/>
      <c r="K2080" s="46" t="n"/>
      <c r="L2080" s="46" t="n"/>
      <c r="M2080" s="41">
        <f>IF($C2080="","",SUMPRODUCT((PARAMETRES!$B$38:$B$157=PARAMETRES!$C$29)*(PARAMETRES!$C$38:$C$157=9)*(IF(EMPLOYES!M59="5j",PARAMETRES!$I$38:$I$157,PARAMETRES!$H$38:$H$157))))</f>
        <v/>
      </c>
      <c r="N2080" s="41">
        <f>IF($C2080="","",SUMPRODUCT((O2080:AS2080="P")+(O2080:AS2080="F")+(O2080:AS2080="C")+0.5*(O2080:AS2080="D"),(1-((O2033:AS2033=6)*(EMPLOYES!M59="5j")))))</f>
        <v/>
      </c>
      <c r="O2080" s="46" t="n"/>
      <c r="P2080" s="46" t="n"/>
      <c r="Q2080" s="46" t="n"/>
      <c r="R2080" s="46" t="n"/>
      <c r="S2080" s="46" t="n"/>
      <c r="T2080" s="46" t="n"/>
      <c r="U2080" s="46" t="n"/>
      <c r="V2080" s="46" t="n"/>
      <c r="W2080" s="46" t="n"/>
      <c r="X2080" s="46" t="n"/>
      <c r="Y2080" s="46" t="n"/>
      <c r="Z2080" s="46" t="n"/>
      <c r="AA2080" s="46" t="n"/>
      <c r="AB2080" s="46" t="n"/>
      <c r="AC2080" s="46" t="n"/>
      <c r="AD2080" s="46" t="n"/>
      <c r="AE2080" s="46" t="n"/>
      <c r="AF2080" s="46" t="n"/>
      <c r="AG2080" s="46" t="n"/>
      <c r="AH2080" s="46" t="n"/>
      <c r="AI2080" s="46" t="n"/>
      <c r="AJ2080" s="46" t="n"/>
      <c r="AK2080" s="46" t="n"/>
      <c r="AL2080" s="46" t="n"/>
      <c r="AM2080" s="46" t="n"/>
      <c r="AN2080" s="46" t="n"/>
      <c r="AO2080" s="46" t="n"/>
      <c r="AP2080" s="46" t="n"/>
      <c r="AQ2080" s="46" t="n"/>
      <c r="AR2080" s="46" t="n"/>
      <c r="AS2080" s="46" t="n"/>
      <c r="AV2080" s="36">
        <f>IF($C2080="","",EMPLOYES!M59)</f>
        <v/>
      </c>
      <c r="AW2080" s="36">
        <f>IF($C2080="",0,SUMPRODUCT(--(O2080:AS2080="C")))</f>
        <v/>
      </c>
      <c r="AX2080" s="36">
        <f>IF($C2080="",0,SUMPRODUCT(--(O2080:AS2080="R")))</f>
        <v/>
      </c>
      <c r="AY2080" s="44" t="n"/>
    </row>
    <row r="2081" hidden="1" outlineLevel="1" ht="15" customHeight="1" s="15">
      <c r="B2081" s="41" t="n">
        <v>9</v>
      </c>
      <c r="C2081" s="42">
        <f>IF(EMPLOYES!C60="","",EMPLOYES!C60)</f>
        <v/>
      </c>
      <c r="D2081" s="43">
        <f>IF(EMPLOYES!C60="","",EMPLOYES!D60)</f>
        <v/>
      </c>
      <c r="E2081" s="44" t="n"/>
      <c r="F2081" s="42" t="n"/>
      <c r="G2081" s="41">
        <f>IF($C2081="",0,MAX(0,$M2081-$N2081))</f>
        <v/>
      </c>
      <c r="H2081" s="45" t="n"/>
      <c r="I2081" s="41">
        <f>IF($C2081="","",IF(H2081="","OK",IF(H2081&gt;EMPLOYES!P60,"⚠ Avance &gt; salaire",IF(H2081&gt;EMPLOYES!P60*PARAMETRES!$C$218,"⚠ Avance élevée","OK"))))</f>
        <v/>
      </c>
      <c r="J2081" s="45" t="n"/>
      <c r="K2081" s="46" t="n"/>
      <c r="L2081" s="46" t="n"/>
      <c r="M2081" s="41">
        <f>IF($C2081="","",SUMPRODUCT((PARAMETRES!$B$38:$B$157=PARAMETRES!$C$29)*(PARAMETRES!$C$38:$C$157=9)*(IF(EMPLOYES!M60="5j",PARAMETRES!$I$38:$I$157,PARAMETRES!$H$38:$H$157))))</f>
        <v/>
      </c>
      <c r="N2081" s="41">
        <f>IF($C2081="","",SUMPRODUCT((O2081:AS2081="P")+(O2081:AS2081="F")+(O2081:AS2081="C")+0.5*(O2081:AS2081="D"),(1-((O2033:AS2033=6)*(EMPLOYES!M60="5j")))))</f>
        <v/>
      </c>
      <c r="O2081" s="46" t="n"/>
      <c r="P2081" s="46" t="n"/>
      <c r="Q2081" s="46" t="n"/>
      <c r="R2081" s="46" t="n"/>
      <c r="S2081" s="46" t="n"/>
      <c r="T2081" s="46" t="n"/>
      <c r="U2081" s="46" t="n"/>
      <c r="V2081" s="46" t="n"/>
      <c r="W2081" s="46" t="n"/>
      <c r="X2081" s="46" t="n"/>
      <c r="Y2081" s="46" t="n"/>
      <c r="Z2081" s="46" t="n"/>
      <c r="AA2081" s="46" t="n"/>
      <c r="AB2081" s="46" t="n"/>
      <c r="AC2081" s="46" t="n"/>
      <c r="AD2081" s="46" t="n"/>
      <c r="AE2081" s="46" t="n"/>
      <c r="AF2081" s="46" t="n"/>
      <c r="AG2081" s="46" t="n"/>
      <c r="AH2081" s="46" t="n"/>
      <c r="AI2081" s="46" t="n"/>
      <c r="AJ2081" s="46" t="n"/>
      <c r="AK2081" s="46" t="n"/>
      <c r="AL2081" s="46" t="n"/>
      <c r="AM2081" s="46" t="n"/>
      <c r="AN2081" s="46" t="n"/>
      <c r="AO2081" s="46" t="n"/>
      <c r="AP2081" s="46" t="n"/>
      <c r="AQ2081" s="46" t="n"/>
      <c r="AR2081" s="46" t="n"/>
      <c r="AS2081" s="46" t="n"/>
      <c r="AV2081" s="36">
        <f>IF($C2081="","",EMPLOYES!M60)</f>
        <v/>
      </c>
      <c r="AW2081" s="36">
        <f>IF($C2081="",0,SUMPRODUCT(--(O2081:AS2081="C")))</f>
        <v/>
      </c>
      <c r="AX2081" s="36">
        <f>IF($C2081="",0,SUMPRODUCT(--(O2081:AS2081="R")))</f>
        <v/>
      </c>
      <c r="AY2081" s="44" t="n"/>
    </row>
    <row r="2082" hidden="1" outlineLevel="1" ht="15" customHeight="1" s="15">
      <c r="B2082" s="41" t="n">
        <v>9</v>
      </c>
      <c r="C2082" s="42">
        <f>IF(EMPLOYES!C61="","",EMPLOYES!C61)</f>
        <v/>
      </c>
      <c r="D2082" s="43">
        <f>IF(EMPLOYES!C61="","",EMPLOYES!D61)</f>
        <v/>
      </c>
      <c r="E2082" s="44" t="n"/>
      <c r="F2082" s="42" t="n"/>
      <c r="G2082" s="41">
        <f>IF($C2082="",0,MAX(0,$M2082-$N2082))</f>
        <v/>
      </c>
      <c r="H2082" s="45" t="n"/>
      <c r="I2082" s="41">
        <f>IF($C2082="","",IF(H2082="","OK",IF(H2082&gt;EMPLOYES!P61,"⚠ Avance &gt; salaire",IF(H2082&gt;EMPLOYES!P61*PARAMETRES!$C$218,"⚠ Avance élevée","OK"))))</f>
        <v/>
      </c>
      <c r="J2082" s="45" t="n"/>
      <c r="K2082" s="46" t="n"/>
      <c r="L2082" s="46" t="n"/>
      <c r="M2082" s="41">
        <f>IF($C2082="","",SUMPRODUCT((PARAMETRES!$B$38:$B$157=PARAMETRES!$C$29)*(PARAMETRES!$C$38:$C$157=9)*(IF(EMPLOYES!M61="5j",PARAMETRES!$I$38:$I$157,PARAMETRES!$H$38:$H$157))))</f>
        <v/>
      </c>
      <c r="N2082" s="41">
        <f>IF($C2082="","",SUMPRODUCT((O2082:AS2082="P")+(O2082:AS2082="F")+(O2082:AS2082="C")+0.5*(O2082:AS2082="D"),(1-((O2033:AS2033=6)*(EMPLOYES!M61="5j")))))</f>
        <v/>
      </c>
      <c r="O2082" s="46" t="n"/>
      <c r="P2082" s="46" t="n"/>
      <c r="Q2082" s="46" t="n"/>
      <c r="R2082" s="46" t="n"/>
      <c r="S2082" s="46" t="n"/>
      <c r="T2082" s="46" t="n"/>
      <c r="U2082" s="46" t="n"/>
      <c r="V2082" s="46" t="n"/>
      <c r="W2082" s="46" t="n"/>
      <c r="X2082" s="46" t="n"/>
      <c r="Y2082" s="46" t="n"/>
      <c r="Z2082" s="46" t="n"/>
      <c r="AA2082" s="46" t="n"/>
      <c r="AB2082" s="46" t="n"/>
      <c r="AC2082" s="46" t="n"/>
      <c r="AD2082" s="46" t="n"/>
      <c r="AE2082" s="46" t="n"/>
      <c r="AF2082" s="46" t="n"/>
      <c r="AG2082" s="46" t="n"/>
      <c r="AH2082" s="46" t="n"/>
      <c r="AI2082" s="46" t="n"/>
      <c r="AJ2082" s="46" t="n"/>
      <c r="AK2082" s="46" t="n"/>
      <c r="AL2082" s="46" t="n"/>
      <c r="AM2082" s="46" t="n"/>
      <c r="AN2082" s="46" t="n"/>
      <c r="AO2082" s="46" t="n"/>
      <c r="AP2082" s="46" t="n"/>
      <c r="AQ2082" s="46" t="n"/>
      <c r="AR2082" s="46" t="n"/>
      <c r="AS2082" s="46" t="n"/>
      <c r="AV2082" s="36">
        <f>IF($C2082="","",EMPLOYES!M61)</f>
        <v/>
      </c>
      <c r="AW2082" s="36">
        <f>IF($C2082="",0,SUMPRODUCT(--(O2082:AS2082="C")))</f>
        <v/>
      </c>
      <c r="AX2082" s="36">
        <f>IF($C2082="",0,SUMPRODUCT(--(O2082:AS2082="R")))</f>
        <v/>
      </c>
      <c r="AY2082" s="44" t="n"/>
    </row>
    <row r="2083" hidden="1" outlineLevel="1" ht="15" customHeight="1" s="15">
      <c r="B2083" s="41" t="n">
        <v>9</v>
      </c>
      <c r="C2083" s="42">
        <f>IF(EMPLOYES!C62="","",EMPLOYES!C62)</f>
        <v/>
      </c>
      <c r="D2083" s="43">
        <f>IF(EMPLOYES!C62="","",EMPLOYES!D62)</f>
        <v/>
      </c>
      <c r="E2083" s="44" t="n"/>
      <c r="F2083" s="42" t="n"/>
      <c r="G2083" s="41">
        <f>IF($C2083="",0,MAX(0,$M2083-$N2083))</f>
        <v/>
      </c>
      <c r="H2083" s="45" t="n"/>
      <c r="I2083" s="41">
        <f>IF($C2083="","",IF(H2083="","OK",IF(H2083&gt;EMPLOYES!P62,"⚠ Avance &gt; salaire",IF(H2083&gt;EMPLOYES!P62*PARAMETRES!$C$218,"⚠ Avance élevée","OK"))))</f>
        <v/>
      </c>
      <c r="J2083" s="45" t="n"/>
      <c r="K2083" s="46" t="n"/>
      <c r="L2083" s="46" t="n"/>
      <c r="M2083" s="41">
        <f>IF($C2083="","",SUMPRODUCT((PARAMETRES!$B$38:$B$157=PARAMETRES!$C$29)*(PARAMETRES!$C$38:$C$157=9)*(IF(EMPLOYES!M62="5j",PARAMETRES!$I$38:$I$157,PARAMETRES!$H$38:$H$157))))</f>
        <v/>
      </c>
      <c r="N2083" s="41">
        <f>IF($C2083="","",SUMPRODUCT((O2083:AS2083="P")+(O2083:AS2083="F")+(O2083:AS2083="C")+0.5*(O2083:AS2083="D"),(1-((O2033:AS2033=6)*(EMPLOYES!M62="5j")))))</f>
        <v/>
      </c>
      <c r="O2083" s="46" t="n"/>
      <c r="P2083" s="46" t="n"/>
      <c r="Q2083" s="46" t="n"/>
      <c r="R2083" s="46" t="n"/>
      <c r="S2083" s="46" t="n"/>
      <c r="T2083" s="46" t="n"/>
      <c r="U2083" s="46" t="n"/>
      <c r="V2083" s="46" t="n"/>
      <c r="W2083" s="46" t="n"/>
      <c r="X2083" s="46" t="n"/>
      <c r="Y2083" s="46" t="n"/>
      <c r="Z2083" s="46" t="n"/>
      <c r="AA2083" s="46" t="n"/>
      <c r="AB2083" s="46" t="n"/>
      <c r="AC2083" s="46" t="n"/>
      <c r="AD2083" s="46" t="n"/>
      <c r="AE2083" s="46" t="n"/>
      <c r="AF2083" s="46" t="n"/>
      <c r="AG2083" s="46" t="n"/>
      <c r="AH2083" s="46" t="n"/>
      <c r="AI2083" s="46" t="n"/>
      <c r="AJ2083" s="46" t="n"/>
      <c r="AK2083" s="46" t="n"/>
      <c r="AL2083" s="46" t="n"/>
      <c r="AM2083" s="46" t="n"/>
      <c r="AN2083" s="46" t="n"/>
      <c r="AO2083" s="46" t="n"/>
      <c r="AP2083" s="46" t="n"/>
      <c r="AQ2083" s="46" t="n"/>
      <c r="AR2083" s="46" t="n"/>
      <c r="AS2083" s="46" t="n"/>
      <c r="AV2083" s="36">
        <f>IF($C2083="","",EMPLOYES!M62)</f>
        <v/>
      </c>
      <c r="AW2083" s="36">
        <f>IF($C2083="",0,SUMPRODUCT(--(O2083:AS2083="C")))</f>
        <v/>
      </c>
      <c r="AX2083" s="36">
        <f>IF($C2083="",0,SUMPRODUCT(--(O2083:AS2083="R")))</f>
        <v/>
      </c>
      <c r="AY2083" s="44" t="n"/>
    </row>
    <row r="2084" hidden="1" outlineLevel="1" ht="15" customHeight="1" s="15">
      <c r="B2084" s="41" t="n">
        <v>9</v>
      </c>
      <c r="C2084" s="42">
        <f>IF(EMPLOYES!C63="","",EMPLOYES!C63)</f>
        <v/>
      </c>
      <c r="D2084" s="43">
        <f>IF(EMPLOYES!C63="","",EMPLOYES!D63)</f>
        <v/>
      </c>
      <c r="E2084" s="44" t="n"/>
      <c r="F2084" s="42" t="n"/>
      <c r="G2084" s="41">
        <f>IF($C2084="",0,MAX(0,$M2084-$N2084))</f>
        <v/>
      </c>
      <c r="H2084" s="45" t="n"/>
      <c r="I2084" s="41">
        <f>IF($C2084="","",IF(H2084="","OK",IF(H2084&gt;EMPLOYES!P63,"⚠ Avance &gt; salaire",IF(H2084&gt;EMPLOYES!P63*PARAMETRES!$C$218,"⚠ Avance élevée","OK"))))</f>
        <v/>
      </c>
      <c r="J2084" s="45" t="n"/>
      <c r="K2084" s="46" t="n"/>
      <c r="L2084" s="46" t="n"/>
      <c r="M2084" s="41">
        <f>IF($C2084="","",SUMPRODUCT((PARAMETRES!$B$38:$B$157=PARAMETRES!$C$29)*(PARAMETRES!$C$38:$C$157=9)*(IF(EMPLOYES!M63="5j",PARAMETRES!$I$38:$I$157,PARAMETRES!$H$38:$H$157))))</f>
        <v/>
      </c>
      <c r="N2084" s="41">
        <f>IF($C2084="","",SUMPRODUCT((O2084:AS2084="P")+(O2084:AS2084="F")+(O2084:AS2084="C")+0.5*(O2084:AS2084="D"),(1-((O2033:AS2033=6)*(EMPLOYES!M63="5j")))))</f>
        <v/>
      </c>
      <c r="O2084" s="46" t="n"/>
      <c r="P2084" s="46" t="n"/>
      <c r="Q2084" s="46" t="n"/>
      <c r="R2084" s="46" t="n"/>
      <c r="S2084" s="46" t="n"/>
      <c r="T2084" s="46" t="n"/>
      <c r="U2084" s="46" t="n"/>
      <c r="V2084" s="46" t="n"/>
      <c r="W2084" s="46" t="n"/>
      <c r="X2084" s="46" t="n"/>
      <c r="Y2084" s="46" t="n"/>
      <c r="Z2084" s="46" t="n"/>
      <c r="AA2084" s="46" t="n"/>
      <c r="AB2084" s="46" t="n"/>
      <c r="AC2084" s="46" t="n"/>
      <c r="AD2084" s="46" t="n"/>
      <c r="AE2084" s="46" t="n"/>
      <c r="AF2084" s="46" t="n"/>
      <c r="AG2084" s="46" t="n"/>
      <c r="AH2084" s="46" t="n"/>
      <c r="AI2084" s="46" t="n"/>
      <c r="AJ2084" s="46" t="n"/>
      <c r="AK2084" s="46" t="n"/>
      <c r="AL2084" s="46" t="n"/>
      <c r="AM2084" s="46" t="n"/>
      <c r="AN2084" s="46" t="n"/>
      <c r="AO2084" s="46" t="n"/>
      <c r="AP2084" s="46" t="n"/>
      <c r="AQ2084" s="46" t="n"/>
      <c r="AR2084" s="46" t="n"/>
      <c r="AS2084" s="46" t="n"/>
      <c r="AV2084" s="36">
        <f>IF($C2084="","",EMPLOYES!M63)</f>
        <v/>
      </c>
      <c r="AW2084" s="36">
        <f>IF($C2084="",0,SUMPRODUCT(--(O2084:AS2084="C")))</f>
        <v/>
      </c>
      <c r="AX2084" s="36">
        <f>IF($C2084="",0,SUMPRODUCT(--(O2084:AS2084="R")))</f>
        <v/>
      </c>
      <c r="AY2084" s="44" t="n"/>
    </row>
    <row r="2085" hidden="1" outlineLevel="1" ht="15" customHeight="1" s="15">
      <c r="B2085" s="41" t="n">
        <v>9</v>
      </c>
      <c r="C2085" s="42">
        <f>IF(EMPLOYES!C64="","",EMPLOYES!C64)</f>
        <v/>
      </c>
      <c r="D2085" s="43">
        <f>IF(EMPLOYES!C64="","",EMPLOYES!D64)</f>
        <v/>
      </c>
      <c r="E2085" s="44" t="n"/>
      <c r="F2085" s="42" t="n"/>
      <c r="G2085" s="41">
        <f>IF($C2085="",0,MAX(0,$M2085-$N2085))</f>
        <v/>
      </c>
      <c r="H2085" s="45" t="n"/>
      <c r="I2085" s="41">
        <f>IF($C2085="","",IF(H2085="","OK",IF(H2085&gt;EMPLOYES!P64,"⚠ Avance &gt; salaire",IF(H2085&gt;EMPLOYES!P64*PARAMETRES!$C$218,"⚠ Avance élevée","OK"))))</f>
        <v/>
      </c>
      <c r="J2085" s="45" t="n"/>
      <c r="K2085" s="46" t="n"/>
      <c r="L2085" s="46" t="n"/>
      <c r="M2085" s="41">
        <f>IF($C2085="","",SUMPRODUCT((PARAMETRES!$B$38:$B$157=PARAMETRES!$C$29)*(PARAMETRES!$C$38:$C$157=9)*(IF(EMPLOYES!M64="5j",PARAMETRES!$I$38:$I$157,PARAMETRES!$H$38:$H$157))))</f>
        <v/>
      </c>
      <c r="N2085" s="41">
        <f>IF($C2085="","",SUMPRODUCT((O2085:AS2085="P")+(O2085:AS2085="F")+(O2085:AS2085="C")+0.5*(O2085:AS2085="D"),(1-((O2033:AS2033=6)*(EMPLOYES!M64="5j")))))</f>
        <v/>
      </c>
      <c r="O2085" s="46" t="n"/>
      <c r="P2085" s="46" t="n"/>
      <c r="Q2085" s="46" t="n"/>
      <c r="R2085" s="46" t="n"/>
      <c r="S2085" s="46" t="n"/>
      <c r="T2085" s="46" t="n"/>
      <c r="U2085" s="46" t="n"/>
      <c r="V2085" s="46" t="n"/>
      <c r="W2085" s="46" t="n"/>
      <c r="X2085" s="46" t="n"/>
      <c r="Y2085" s="46" t="n"/>
      <c r="Z2085" s="46" t="n"/>
      <c r="AA2085" s="46" t="n"/>
      <c r="AB2085" s="46" t="n"/>
      <c r="AC2085" s="46" t="n"/>
      <c r="AD2085" s="46" t="n"/>
      <c r="AE2085" s="46" t="n"/>
      <c r="AF2085" s="46" t="n"/>
      <c r="AG2085" s="46" t="n"/>
      <c r="AH2085" s="46" t="n"/>
      <c r="AI2085" s="46" t="n"/>
      <c r="AJ2085" s="46" t="n"/>
      <c r="AK2085" s="46" t="n"/>
      <c r="AL2085" s="46" t="n"/>
      <c r="AM2085" s="46" t="n"/>
      <c r="AN2085" s="46" t="n"/>
      <c r="AO2085" s="46" t="n"/>
      <c r="AP2085" s="46" t="n"/>
      <c r="AQ2085" s="46" t="n"/>
      <c r="AR2085" s="46" t="n"/>
      <c r="AS2085" s="46" t="n"/>
      <c r="AV2085" s="36">
        <f>IF($C2085="","",EMPLOYES!M64)</f>
        <v/>
      </c>
      <c r="AW2085" s="36">
        <f>IF($C2085="",0,SUMPRODUCT(--(O2085:AS2085="C")))</f>
        <v/>
      </c>
      <c r="AX2085" s="36">
        <f>IF($C2085="",0,SUMPRODUCT(--(O2085:AS2085="R")))</f>
        <v/>
      </c>
      <c r="AY2085" s="44" t="n"/>
    </row>
    <row r="2086" hidden="1" outlineLevel="1" ht="15" customHeight="1" s="15">
      <c r="B2086" s="41" t="n">
        <v>9</v>
      </c>
      <c r="C2086" s="42">
        <f>IF(EMPLOYES!C65="","",EMPLOYES!C65)</f>
        <v/>
      </c>
      <c r="D2086" s="43">
        <f>IF(EMPLOYES!C65="","",EMPLOYES!D65)</f>
        <v/>
      </c>
      <c r="E2086" s="44" t="n"/>
      <c r="F2086" s="42" t="n"/>
      <c r="G2086" s="41">
        <f>IF($C2086="",0,MAX(0,$M2086-$N2086))</f>
        <v/>
      </c>
      <c r="H2086" s="45" t="n"/>
      <c r="I2086" s="41">
        <f>IF($C2086="","",IF(H2086="","OK",IF(H2086&gt;EMPLOYES!P65,"⚠ Avance &gt; salaire",IF(H2086&gt;EMPLOYES!P65*PARAMETRES!$C$218,"⚠ Avance élevée","OK"))))</f>
        <v/>
      </c>
      <c r="J2086" s="45" t="n"/>
      <c r="K2086" s="46" t="n"/>
      <c r="L2086" s="46" t="n"/>
      <c r="M2086" s="41">
        <f>IF($C2086="","",SUMPRODUCT((PARAMETRES!$B$38:$B$157=PARAMETRES!$C$29)*(PARAMETRES!$C$38:$C$157=9)*(IF(EMPLOYES!M65="5j",PARAMETRES!$I$38:$I$157,PARAMETRES!$H$38:$H$157))))</f>
        <v/>
      </c>
      <c r="N2086" s="41">
        <f>IF($C2086="","",SUMPRODUCT((O2086:AS2086="P")+(O2086:AS2086="F")+(O2086:AS2086="C")+0.5*(O2086:AS2086="D"),(1-((O2033:AS2033=6)*(EMPLOYES!M65="5j")))))</f>
        <v/>
      </c>
      <c r="O2086" s="46" t="n"/>
      <c r="P2086" s="46" t="n"/>
      <c r="Q2086" s="46" t="n"/>
      <c r="R2086" s="46" t="n"/>
      <c r="S2086" s="46" t="n"/>
      <c r="T2086" s="46" t="n"/>
      <c r="U2086" s="46" t="n"/>
      <c r="V2086" s="46" t="n"/>
      <c r="W2086" s="46" t="n"/>
      <c r="X2086" s="46" t="n"/>
      <c r="Y2086" s="46" t="n"/>
      <c r="Z2086" s="46" t="n"/>
      <c r="AA2086" s="46" t="n"/>
      <c r="AB2086" s="46" t="n"/>
      <c r="AC2086" s="46" t="n"/>
      <c r="AD2086" s="46" t="n"/>
      <c r="AE2086" s="46" t="n"/>
      <c r="AF2086" s="46" t="n"/>
      <c r="AG2086" s="46" t="n"/>
      <c r="AH2086" s="46" t="n"/>
      <c r="AI2086" s="46" t="n"/>
      <c r="AJ2086" s="46" t="n"/>
      <c r="AK2086" s="46" t="n"/>
      <c r="AL2086" s="46" t="n"/>
      <c r="AM2086" s="46" t="n"/>
      <c r="AN2086" s="46" t="n"/>
      <c r="AO2086" s="46" t="n"/>
      <c r="AP2086" s="46" t="n"/>
      <c r="AQ2086" s="46" t="n"/>
      <c r="AR2086" s="46" t="n"/>
      <c r="AS2086" s="46" t="n"/>
      <c r="AV2086" s="36">
        <f>IF($C2086="","",EMPLOYES!M65)</f>
        <v/>
      </c>
      <c r="AW2086" s="36">
        <f>IF($C2086="",0,SUMPRODUCT(--(O2086:AS2086="C")))</f>
        <v/>
      </c>
      <c r="AX2086" s="36">
        <f>IF($C2086="",0,SUMPRODUCT(--(O2086:AS2086="R")))</f>
        <v/>
      </c>
      <c r="AY2086" s="44" t="n"/>
    </row>
    <row r="2087" hidden="1" outlineLevel="1" ht="15" customHeight="1" s="15">
      <c r="B2087" s="41" t="n">
        <v>9</v>
      </c>
      <c r="C2087" s="42">
        <f>IF(EMPLOYES!C66="","",EMPLOYES!C66)</f>
        <v/>
      </c>
      <c r="D2087" s="43">
        <f>IF(EMPLOYES!C66="","",EMPLOYES!D66)</f>
        <v/>
      </c>
      <c r="E2087" s="44" t="n"/>
      <c r="F2087" s="42" t="n"/>
      <c r="G2087" s="41">
        <f>IF($C2087="",0,MAX(0,$M2087-$N2087))</f>
        <v/>
      </c>
      <c r="H2087" s="45" t="n"/>
      <c r="I2087" s="41">
        <f>IF($C2087="","",IF(H2087="","OK",IF(H2087&gt;EMPLOYES!P66,"⚠ Avance &gt; salaire",IF(H2087&gt;EMPLOYES!P66*PARAMETRES!$C$218,"⚠ Avance élevée","OK"))))</f>
        <v/>
      </c>
      <c r="J2087" s="45" t="n"/>
      <c r="K2087" s="46" t="n"/>
      <c r="L2087" s="46" t="n"/>
      <c r="M2087" s="41">
        <f>IF($C2087="","",SUMPRODUCT((PARAMETRES!$B$38:$B$157=PARAMETRES!$C$29)*(PARAMETRES!$C$38:$C$157=9)*(IF(EMPLOYES!M66="5j",PARAMETRES!$I$38:$I$157,PARAMETRES!$H$38:$H$157))))</f>
        <v/>
      </c>
      <c r="N2087" s="41">
        <f>IF($C2087="","",SUMPRODUCT((O2087:AS2087="P")+(O2087:AS2087="F")+(O2087:AS2087="C")+0.5*(O2087:AS2087="D"),(1-((O2033:AS2033=6)*(EMPLOYES!M66="5j")))))</f>
        <v/>
      </c>
      <c r="O2087" s="46" t="n"/>
      <c r="P2087" s="46" t="n"/>
      <c r="Q2087" s="46" t="n"/>
      <c r="R2087" s="46" t="n"/>
      <c r="S2087" s="46" t="n"/>
      <c r="T2087" s="46" t="n"/>
      <c r="U2087" s="46" t="n"/>
      <c r="V2087" s="46" t="n"/>
      <c r="W2087" s="46" t="n"/>
      <c r="X2087" s="46" t="n"/>
      <c r="Y2087" s="46" t="n"/>
      <c r="Z2087" s="46" t="n"/>
      <c r="AA2087" s="46" t="n"/>
      <c r="AB2087" s="46" t="n"/>
      <c r="AC2087" s="46" t="n"/>
      <c r="AD2087" s="46" t="n"/>
      <c r="AE2087" s="46" t="n"/>
      <c r="AF2087" s="46" t="n"/>
      <c r="AG2087" s="46" t="n"/>
      <c r="AH2087" s="46" t="n"/>
      <c r="AI2087" s="46" t="n"/>
      <c r="AJ2087" s="46" t="n"/>
      <c r="AK2087" s="46" t="n"/>
      <c r="AL2087" s="46" t="n"/>
      <c r="AM2087" s="46" t="n"/>
      <c r="AN2087" s="46" t="n"/>
      <c r="AO2087" s="46" t="n"/>
      <c r="AP2087" s="46" t="n"/>
      <c r="AQ2087" s="46" t="n"/>
      <c r="AR2087" s="46" t="n"/>
      <c r="AS2087" s="46" t="n"/>
      <c r="AV2087" s="36">
        <f>IF($C2087="","",EMPLOYES!M66)</f>
        <v/>
      </c>
      <c r="AW2087" s="36">
        <f>IF($C2087="",0,SUMPRODUCT(--(O2087:AS2087="C")))</f>
        <v/>
      </c>
      <c r="AX2087" s="36">
        <f>IF($C2087="",0,SUMPRODUCT(--(O2087:AS2087="R")))</f>
        <v/>
      </c>
      <c r="AY2087" s="44" t="n"/>
    </row>
    <row r="2088" hidden="1" outlineLevel="1" ht="15" customHeight="1" s="15">
      <c r="B2088" s="41" t="n">
        <v>9</v>
      </c>
      <c r="C2088" s="42">
        <f>IF(EMPLOYES!C67="","",EMPLOYES!C67)</f>
        <v/>
      </c>
      <c r="D2088" s="43">
        <f>IF(EMPLOYES!C67="","",EMPLOYES!D67)</f>
        <v/>
      </c>
      <c r="E2088" s="44" t="n"/>
      <c r="F2088" s="42" t="n"/>
      <c r="G2088" s="41">
        <f>IF($C2088="",0,MAX(0,$M2088-$N2088))</f>
        <v/>
      </c>
      <c r="H2088" s="45" t="n"/>
      <c r="I2088" s="41">
        <f>IF($C2088="","",IF(H2088="","OK",IF(H2088&gt;EMPLOYES!P67,"⚠ Avance &gt; salaire",IF(H2088&gt;EMPLOYES!P67*PARAMETRES!$C$218,"⚠ Avance élevée","OK"))))</f>
        <v/>
      </c>
      <c r="J2088" s="45" t="n"/>
      <c r="K2088" s="46" t="n"/>
      <c r="L2088" s="46" t="n"/>
      <c r="M2088" s="41">
        <f>IF($C2088="","",SUMPRODUCT((PARAMETRES!$B$38:$B$157=PARAMETRES!$C$29)*(PARAMETRES!$C$38:$C$157=9)*(IF(EMPLOYES!M67="5j",PARAMETRES!$I$38:$I$157,PARAMETRES!$H$38:$H$157))))</f>
        <v/>
      </c>
      <c r="N2088" s="41">
        <f>IF($C2088="","",SUMPRODUCT((O2088:AS2088="P")+(O2088:AS2088="F")+(O2088:AS2088="C")+0.5*(O2088:AS2088="D"),(1-((O2033:AS2033=6)*(EMPLOYES!M67="5j")))))</f>
        <v/>
      </c>
      <c r="O2088" s="46" t="n"/>
      <c r="P2088" s="46" t="n"/>
      <c r="Q2088" s="46" t="n"/>
      <c r="R2088" s="46" t="n"/>
      <c r="S2088" s="46" t="n"/>
      <c r="T2088" s="46" t="n"/>
      <c r="U2088" s="46" t="n"/>
      <c r="V2088" s="46" t="n"/>
      <c r="W2088" s="46" t="n"/>
      <c r="X2088" s="46" t="n"/>
      <c r="Y2088" s="46" t="n"/>
      <c r="Z2088" s="46" t="n"/>
      <c r="AA2088" s="46" t="n"/>
      <c r="AB2088" s="46" t="n"/>
      <c r="AC2088" s="46" t="n"/>
      <c r="AD2088" s="46" t="n"/>
      <c r="AE2088" s="46" t="n"/>
      <c r="AF2088" s="46" t="n"/>
      <c r="AG2088" s="46" t="n"/>
      <c r="AH2088" s="46" t="n"/>
      <c r="AI2088" s="46" t="n"/>
      <c r="AJ2088" s="46" t="n"/>
      <c r="AK2088" s="46" t="n"/>
      <c r="AL2088" s="46" t="n"/>
      <c r="AM2088" s="46" t="n"/>
      <c r="AN2088" s="46" t="n"/>
      <c r="AO2088" s="46" t="n"/>
      <c r="AP2088" s="46" t="n"/>
      <c r="AQ2088" s="46" t="n"/>
      <c r="AR2088" s="46" t="n"/>
      <c r="AS2088" s="46" t="n"/>
      <c r="AV2088" s="36">
        <f>IF($C2088="","",EMPLOYES!M67)</f>
        <v/>
      </c>
      <c r="AW2088" s="36">
        <f>IF($C2088="",0,SUMPRODUCT(--(O2088:AS2088="C")))</f>
        <v/>
      </c>
      <c r="AX2088" s="36">
        <f>IF($C2088="",0,SUMPRODUCT(--(O2088:AS2088="R")))</f>
        <v/>
      </c>
      <c r="AY2088" s="44" t="n"/>
    </row>
    <row r="2089" hidden="1" outlineLevel="1" ht="15" customHeight="1" s="15">
      <c r="B2089" s="41" t="n">
        <v>9</v>
      </c>
      <c r="C2089" s="42">
        <f>IF(EMPLOYES!C68="","",EMPLOYES!C68)</f>
        <v/>
      </c>
      <c r="D2089" s="43">
        <f>IF(EMPLOYES!C68="","",EMPLOYES!D68)</f>
        <v/>
      </c>
      <c r="E2089" s="44" t="n"/>
      <c r="F2089" s="42" t="n"/>
      <c r="G2089" s="41">
        <f>IF($C2089="",0,MAX(0,$M2089-$N2089))</f>
        <v/>
      </c>
      <c r="H2089" s="45" t="n"/>
      <c r="I2089" s="41">
        <f>IF($C2089="","",IF(H2089="","OK",IF(H2089&gt;EMPLOYES!P68,"⚠ Avance &gt; salaire",IF(H2089&gt;EMPLOYES!P68*PARAMETRES!$C$218,"⚠ Avance élevée","OK"))))</f>
        <v/>
      </c>
      <c r="J2089" s="45" t="n"/>
      <c r="K2089" s="46" t="n"/>
      <c r="L2089" s="46" t="n"/>
      <c r="M2089" s="41">
        <f>IF($C2089="","",SUMPRODUCT((PARAMETRES!$B$38:$B$157=PARAMETRES!$C$29)*(PARAMETRES!$C$38:$C$157=9)*(IF(EMPLOYES!M68="5j",PARAMETRES!$I$38:$I$157,PARAMETRES!$H$38:$H$157))))</f>
        <v/>
      </c>
      <c r="N2089" s="41">
        <f>IF($C2089="","",SUMPRODUCT((O2089:AS2089="P")+(O2089:AS2089="F")+(O2089:AS2089="C")+0.5*(O2089:AS2089="D"),(1-((O2033:AS2033=6)*(EMPLOYES!M68="5j")))))</f>
        <v/>
      </c>
      <c r="O2089" s="46" t="n"/>
      <c r="P2089" s="46" t="n"/>
      <c r="Q2089" s="46" t="n"/>
      <c r="R2089" s="46" t="n"/>
      <c r="S2089" s="46" t="n"/>
      <c r="T2089" s="46" t="n"/>
      <c r="U2089" s="46" t="n"/>
      <c r="V2089" s="46" t="n"/>
      <c r="W2089" s="46" t="n"/>
      <c r="X2089" s="46" t="n"/>
      <c r="Y2089" s="46" t="n"/>
      <c r="Z2089" s="46" t="n"/>
      <c r="AA2089" s="46" t="n"/>
      <c r="AB2089" s="46" t="n"/>
      <c r="AC2089" s="46" t="n"/>
      <c r="AD2089" s="46" t="n"/>
      <c r="AE2089" s="46" t="n"/>
      <c r="AF2089" s="46" t="n"/>
      <c r="AG2089" s="46" t="n"/>
      <c r="AH2089" s="46" t="n"/>
      <c r="AI2089" s="46" t="n"/>
      <c r="AJ2089" s="46" t="n"/>
      <c r="AK2089" s="46" t="n"/>
      <c r="AL2089" s="46" t="n"/>
      <c r="AM2089" s="46" t="n"/>
      <c r="AN2089" s="46" t="n"/>
      <c r="AO2089" s="46" t="n"/>
      <c r="AP2089" s="46" t="n"/>
      <c r="AQ2089" s="46" t="n"/>
      <c r="AR2089" s="46" t="n"/>
      <c r="AS2089" s="46" t="n"/>
      <c r="AV2089" s="36">
        <f>IF($C2089="","",EMPLOYES!M68)</f>
        <v/>
      </c>
      <c r="AW2089" s="36">
        <f>IF($C2089="",0,SUMPRODUCT(--(O2089:AS2089="C")))</f>
        <v/>
      </c>
      <c r="AX2089" s="36">
        <f>IF($C2089="",0,SUMPRODUCT(--(O2089:AS2089="R")))</f>
        <v/>
      </c>
      <c r="AY2089" s="44" t="n"/>
    </row>
    <row r="2090" hidden="1" outlineLevel="1" ht="15" customHeight="1" s="15">
      <c r="B2090" s="41" t="n">
        <v>9</v>
      </c>
      <c r="C2090" s="42">
        <f>IF(EMPLOYES!C69="","",EMPLOYES!C69)</f>
        <v/>
      </c>
      <c r="D2090" s="43">
        <f>IF(EMPLOYES!C69="","",EMPLOYES!D69)</f>
        <v/>
      </c>
      <c r="E2090" s="44" t="n"/>
      <c r="F2090" s="42" t="n"/>
      <c r="G2090" s="41">
        <f>IF($C2090="",0,MAX(0,$M2090-$N2090))</f>
        <v/>
      </c>
      <c r="H2090" s="45" t="n"/>
      <c r="I2090" s="41">
        <f>IF($C2090="","",IF(H2090="","OK",IF(H2090&gt;EMPLOYES!P69,"⚠ Avance &gt; salaire",IF(H2090&gt;EMPLOYES!P69*PARAMETRES!$C$218,"⚠ Avance élevée","OK"))))</f>
        <v/>
      </c>
      <c r="J2090" s="45" t="n"/>
      <c r="K2090" s="46" t="n"/>
      <c r="L2090" s="46" t="n"/>
      <c r="M2090" s="41">
        <f>IF($C2090="","",SUMPRODUCT((PARAMETRES!$B$38:$B$157=PARAMETRES!$C$29)*(PARAMETRES!$C$38:$C$157=9)*(IF(EMPLOYES!M69="5j",PARAMETRES!$I$38:$I$157,PARAMETRES!$H$38:$H$157))))</f>
        <v/>
      </c>
      <c r="N2090" s="41">
        <f>IF($C2090="","",SUMPRODUCT((O2090:AS2090="P")+(O2090:AS2090="F")+(O2090:AS2090="C")+0.5*(O2090:AS2090="D"),(1-((O2033:AS2033=6)*(EMPLOYES!M69="5j")))))</f>
        <v/>
      </c>
      <c r="O2090" s="46" t="n"/>
      <c r="P2090" s="46" t="n"/>
      <c r="Q2090" s="46" t="n"/>
      <c r="R2090" s="46" t="n"/>
      <c r="S2090" s="46" t="n"/>
      <c r="T2090" s="46" t="n"/>
      <c r="U2090" s="46" t="n"/>
      <c r="V2090" s="46" t="n"/>
      <c r="W2090" s="46" t="n"/>
      <c r="X2090" s="46" t="n"/>
      <c r="Y2090" s="46" t="n"/>
      <c r="Z2090" s="46" t="n"/>
      <c r="AA2090" s="46" t="n"/>
      <c r="AB2090" s="46" t="n"/>
      <c r="AC2090" s="46" t="n"/>
      <c r="AD2090" s="46" t="n"/>
      <c r="AE2090" s="46" t="n"/>
      <c r="AF2090" s="46" t="n"/>
      <c r="AG2090" s="46" t="n"/>
      <c r="AH2090" s="46" t="n"/>
      <c r="AI2090" s="46" t="n"/>
      <c r="AJ2090" s="46" t="n"/>
      <c r="AK2090" s="46" t="n"/>
      <c r="AL2090" s="46" t="n"/>
      <c r="AM2090" s="46" t="n"/>
      <c r="AN2090" s="46" t="n"/>
      <c r="AO2090" s="46" t="n"/>
      <c r="AP2090" s="46" t="n"/>
      <c r="AQ2090" s="46" t="n"/>
      <c r="AR2090" s="46" t="n"/>
      <c r="AS2090" s="46" t="n"/>
      <c r="AV2090" s="36">
        <f>IF($C2090="","",EMPLOYES!M69)</f>
        <v/>
      </c>
      <c r="AW2090" s="36">
        <f>IF($C2090="",0,SUMPRODUCT(--(O2090:AS2090="C")))</f>
        <v/>
      </c>
      <c r="AX2090" s="36">
        <f>IF($C2090="",0,SUMPRODUCT(--(O2090:AS2090="R")))</f>
        <v/>
      </c>
      <c r="AY2090" s="44" t="n"/>
    </row>
    <row r="2091" hidden="1" outlineLevel="1" ht="15" customHeight="1" s="15">
      <c r="B2091" s="41" t="n">
        <v>9</v>
      </c>
      <c r="C2091" s="42">
        <f>IF(EMPLOYES!C70="","",EMPLOYES!C70)</f>
        <v/>
      </c>
      <c r="D2091" s="43">
        <f>IF(EMPLOYES!C70="","",EMPLOYES!D70)</f>
        <v/>
      </c>
      <c r="E2091" s="44" t="n"/>
      <c r="F2091" s="42" t="n"/>
      <c r="G2091" s="41">
        <f>IF($C2091="",0,MAX(0,$M2091-$N2091))</f>
        <v/>
      </c>
      <c r="H2091" s="45" t="n"/>
      <c r="I2091" s="41">
        <f>IF($C2091="","",IF(H2091="","OK",IF(H2091&gt;EMPLOYES!P70,"⚠ Avance &gt; salaire",IF(H2091&gt;EMPLOYES!P70*PARAMETRES!$C$218,"⚠ Avance élevée","OK"))))</f>
        <v/>
      </c>
      <c r="J2091" s="45" t="n"/>
      <c r="K2091" s="46" t="n"/>
      <c r="L2091" s="46" t="n"/>
      <c r="M2091" s="41">
        <f>IF($C2091="","",SUMPRODUCT((PARAMETRES!$B$38:$B$157=PARAMETRES!$C$29)*(PARAMETRES!$C$38:$C$157=9)*(IF(EMPLOYES!M70="5j",PARAMETRES!$I$38:$I$157,PARAMETRES!$H$38:$H$157))))</f>
        <v/>
      </c>
      <c r="N2091" s="41">
        <f>IF($C2091="","",SUMPRODUCT((O2091:AS2091="P")+(O2091:AS2091="F")+(O2091:AS2091="C")+0.5*(O2091:AS2091="D"),(1-((O2033:AS2033=6)*(EMPLOYES!M70="5j")))))</f>
        <v/>
      </c>
      <c r="O2091" s="46" t="n"/>
      <c r="P2091" s="46" t="n"/>
      <c r="Q2091" s="46" t="n"/>
      <c r="R2091" s="46" t="n"/>
      <c r="S2091" s="46" t="n"/>
      <c r="T2091" s="46" t="n"/>
      <c r="U2091" s="46" t="n"/>
      <c r="V2091" s="46" t="n"/>
      <c r="W2091" s="46" t="n"/>
      <c r="X2091" s="46" t="n"/>
      <c r="Y2091" s="46" t="n"/>
      <c r="Z2091" s="46" t="n"/>
      <c r="AA2091" s="46" t="n"/>
      <c r="AB2091" s="46" t="n"/>
      <c r="AC2091" s="46" t="n"/>
      <c r="AD2091" s="46" t="n"/>
      <c r="AE2091" s="46" t="n"/>
      <c r="AF2091" s="46" t="n"/>
      <c r="AG2091" s="46" t="n"/>
      <c r="AH2091" s="46" t="n"/>
      <c r="AI2091" s="46" t="n"/>
      <c r="AJ2091" s="46" t="n"/>
      <c r="AK2091" s="46" t="n"/>
      <c r="AL2091" s="46" t="n"/>
      <c r="AM2091" s="46" t="n"/>
      <c r="AN2091" s="46" t="n"/>
      <c r="AO2091" s="46" t="n"/>
      <c r="AP2091" s="46" t="n"/>
      <c r="AQ2091" s="46" t="n"/>
      <c r="AR2091" s="46" t="n"/>
      <c r="AS2091" s="46" t="n"/>
      <c r="AV2091" s="36">
        <f>IF($C2091="","",EMPLOYES!M70)</f>
        <v/>
      </c>
      <c r="AW2091" s="36">
        <f>IF($C2091="",0,SUMPRODUCT(--(O2091:AS2091="C")))</f>
        <v/>
      </c>
      <c r="AX2091" s="36">
        <f>IF($C2091="",0,SUMPRODUCT(--(O2091:AS2091="R")))</f>
        <v/>
      </c>
      <c r="AY2091" s="44" t="n"/>
    </row>
    <row r="2092" hidden="1" outlineLevel="1" ht="15" customHeight="1" s="15">
      <c r="B2092" s="41" t="n">
        <v>9</v>
      </c>
      <c r="C2092" s="42">
        <f>IF(EMPLOYES!C71="","",EMPLOYES!C71)</f>
        <v/>
      </c>
      <c r="D2092" s="43">
        <f>IF(EMPLOYES!C71="","",EMPLOYES!D71)</f>
        <v/>
      </c>
      <c r="E2092" s="44" t="n"/>
      <c r="F2092" s="42" t="n"/>
      <c r="G2092" s="41">
        <f>IF($C2092="",0,MAX(0,$M2092-$N2092))</f>
        <v/>
      </c>
      <c r="H2092" s="45" t="n"/>
      <c r="I2092" s="41">
        <f>IF($C2092="","",IF(H2092="","OK",IF(H2092&gt;EMPLOYES!P71,"⚠ Avance &gt; salaire",IF(H2092&gt;EMPLOYES!P71*PARAMETRES!$C$218,"⚠ Avance élevée","OK"))))</f>
        <v/>
      </c>
      <c r="J2092" s="45" t="n"/>
      <c r="K2092" s="46" t="n"/>
      <c r="L2092" s="46" t="n"/>
      <c r="M2092" s="41">
        <f>IF($C2092="","",SUMPRODUCT((PARAMETRES!$B$38:$B$157=PARAMETRES!$C$29)*(PARAMETRES!$C$38:$C$157=9)*(IF(EMPLOYES!M71="5j",PARAMETRES!$I$38:$I$157,PARAMETRES!$H$38:$H$157))))</f>
        <v/>
      </c>
      <c r="N2092" s="41">
        <f>IF($C2092="","",SUMPRODUCT((O2092:AS2092="P")+(O2092:AS2092="F")+(O2092:AS2092="C")+0.5*(O2092:AS2092="D"),(1-((O2033:AS2033=6)*(EMPLOYES!M71="5j")))))</f>
        <v/>
      </c>
      <c r="O2092" s="46" t="n"/>
      <c r="P2092" s="46" t="n"/>
      <c r="Q2092" s="46" t="n"/>
      <c r="R2092" s="46" t="n"/>
      <c r="S2092" s="46" t="n"/>
      <c r="T2092" s="46" t="n"/>
      <c r="U2092" s="46" t="n"/>
      <c r="V2092" s="46" t="n"/>
      <c r="W2092" s="46" t="n"/>
      <c r="X2092" s="46" t="n"/>
      <c r="Y2092" s="46" t="n"/>
      <c r="Z2092" s="46" t="n"/>
      <c r="AA2092" s="46" t="n"/>
      <c r="AB2092" s="46" t="n"/>
      <c r="AC2092" s="46" t="n"/>
      <c r="AD2092" s="46" t="n"/>
      <c r="AE2092" s="46" t="n"/>
      <c r="AF2092" s="46" t="n"/>
      <c r="AG2092" s="46" t="n"/>
      <c r="AH2092" s="46" t="n"/>
      <c r="AI2092" s="46" t="n"/>
      <c r="AJ2092" s="46" t="n"/>
      <c r="AK2092" s="46" t="n"/>
      <c r="AL2092" s="46" t="n"/>
      <c r="AM2092" s="46" t="n"/>
      <c r="AN2092" s="46" t="n"/>
      <c r="AO2092" s="46" t="n"/>
      <c r="AP2092" s="46" t="n"/>
      <c r="AQ2092" s="46" t="n"/>
      <c r="AR2092" s="46" t="n"/>
      <c r="AS2092" s="46" t="n"/>
      <c r="AV2092" s="36">
        <f>IF($C2092="","",EMPLOYES!M71)</f>
        <v/>
      </c>
      <c r="AW2092" s="36">
        <f>IF($C2092="",0,SUMPRODUCT(--(O2092:AS2092="C")))</f>
        <v/>
      </c>
      <c r="AX2092" s="36">
        <f>IF($C2092="",0,SUMPRODUCT(--(O2092:AS2092="R")))</f>
        <v/>
      </c>
      <c r="AY2092" s="44" t="n"/>
    </row>
    <row r="2093" hidden="1" outlineLevel="1" ht="15" customHeight="1" s="15">
      <c r="B2093" s="41" t="n">
        <v>9</v>
      </c>
      <c r="C2093" s="42">
        <f>IF(EMPLOYES!C72="","",EMPLOYES!C72)</f>
        <v/>
      </c>
      <c r="D2093" s="43">
        <f>IF(EMPLOYES!C72="","",EMPLOYES!D72)</f>
        <v/>
      </c>
      <c r="E2093" s="44" t="n"/>
      <c r="F2093" s="42" t="n"/>
      <c r="G2093" s="41">
        <f>IF($C2093="",0,MAX(0,$M2093-$N2093))</f>
        <v/>
      </c>
      <c r="H2093" s="45" t="n"/>
      <c r="I2093" s="41">
        <f>IF($C2093="","",IF(H2093="","OK",IF(H2093&gt;EMPLOYES!P72,"⚠ Avance &gt; salaire",IF(H2093&gt;EMPLOYES!P72*PARAMETRES!$C$218,"⚠ Avance élevée","OK"))))</f>
        <v/>
      </c>
      <c r="J2093" s="45" t="n"/>
      <c r="K2093" s="46" t="n"/>
      <c r="L2093" s="46" t="n"/>
      <c r="M2093" s="41">
        <f>IF($C2093="","",SUMPRODUCT((PARAMETRES!$B$38:$B$157=PARAMETRES!$C$29)*(PARAMETRES!$C$38:$C$157=9)*(IF(EMPLOYES!M72="5j",PARAMETRES!$I$38:$I$157,PARAMETRES!$H$38:$H$157))))</f>
        <v/>
      </c>
      <c r="N2093" s="41">
        <f>IF($C2093="","",SUMPRODUCT((O2093:AS2093="P")+(O2093:AS2093="F")+(O2093:AS2093="C")+0.5*(O2093:AS2093="D"),(1-((O2033:AS2033=6)*(EMPLOYES!M72="5j")))))</f>
        <v/>
      </c>
      <c r="O2093" s="46" t="n"/>
      <c r="P2093" s="46" t="n"/>
      <c r="Q2093" s="46" t="n"/>
      <c r="R2093" s="46" t="n"/>
      <c r="S2093" s="46" t="n"/>
      <c r="T2093" s="46" t="n"/>
      <c r="U2093" s="46" t="n"/>
      <c r="V2093" s="46" t="n"/>
      <c r="W2093" s="46" t="n"/>
      <c r="X2093" s="46" t="n"/>
      <c r="Y2093" s="46" t="n"/>
      <c r="Z2093" s="46" t="n"/>
      <c r="AA2093" s="46" t="n"/>
      <c r="AB2093" s="46" t="n"/>
      <c r="AC2093" s="46" t="n"/>
      <c r="AD2093" s="46" t="n"/>
      <c r="AE2093" s="46" t="n"/>
      <c r="AF2093" s="46" t="n"/>
      <c r="AG2093" s="46" t="n"/>
      <c r="AH2093" s="46" t="n"/>
      <c r="AI2093" s="46" t="n"/>
      <c r="AJ2093" s="46" t="n"/>
      <c r="AK2093" s="46" t="n"/>
      <c r="AL2093" s="46" t="n"/>
      <c r="AM2093" s="46" t="n"/>
      <c r="AN2093" s="46" t="n"/>
      <c r="AO2093" s="46" t="n"/>
      <c r="AP2093" s="46" t="n"/>
      <c r="AQ2093" s="46" t="n"/>
      <c r="AR2093" s="46" t="n"/>
      <c r="AS2093" s="46" t="n"/>
      <c r="AV2093" s="36">
        <f>IF($C2093="","",EMPLOYES!M72)</f>
        <v/>
      </c>
      <c r="AW2093" s="36">
        <f>IF($C2093="",0,SUMPRODUCT(--(O2093:AS2093="C")))</f>
        <v/>
      </c>
      <c r="AX2093" s="36">
        <f>IF($C2093="",0,SUMPRODUCT(--(O2093:AS2093="R")))</f>
        <v/>
      </c>
      <c r="AY2093" s="44" t="n"/>
    </row>
    <row r="2094" hidden="1" outlineLevel="1" ht="15" customHeight="1" s="15">
      <c r="B2094" s="41" t="n">
        <v>9</v>
      </c>
      <c r="C2094" s="42">
        <f>IF(EMPLOYES!C73="","",EMPLOYES!C73)</f>
        <v/>
      </c>
      <c r="D2094" s="43">
        <f>IF(EMPLOYES!C73="","",EMPLOYES!D73)</f>
        <v/>
      </c>
      <c r="E2094" s="44" t="n"/>
      <c r="F2094" s="42" t="n"/>
      <c r="G2094" s="41">
        <f>IF($C2094="",0,MAX(0,$M2094-$N2094))</f>
        <v/>
      </c>
      <c r="H2094" s="45" t="n"/>
      <c r="I2094" s="41">
        <f>IF($C2094="","",IF(H2094="","OK",IF(H2094&gt;EMPLOYES!P73,"⚠ Avance &gt; salaire",IF(H2094&gt;EMPLOYES!P73*PARAMETRES!$C$218,"⚠ Avance élevée","OK"))))</f>
        <v/>
      </c>
      <c r="J2094" s="45" t="n"/>
      <c r="K2094" s="46" t="n"/>
      <c r="L2094" s="46" t="n"/>
      <c r="M2094" s="41">
        <f>IF($C2094="","",SUMPRODUCT((PARAMETRES!$B$38:$B$157=PARAMETRES!$C$29)*(PARAMETRES!$C$38:$C$157=9)*(IF(EMPLOYES!M73="5j",PARAMETRES!$I$38:$I$157,PARAMETRES!$H$38:$H$157))))</f>
        <v/>
      </c>
      <c r="N2094" s="41">
        <f>IF($C2094="","",SUMPRODUCT((O2094:AS2094="P")+(O2094:AS2094="F")+(O2094:AS2094="C")+0.5*(O2094:AS2094="D"),(1-((O2033:AS2033=6)*(EMPLOYES!M73="5j")))))</f>
        <v/>
      </c>
      <c r="O2094" s="46" t="n"/>
      <c r="P2094" s="46" t="n"/>
      <c r="Q2094" s="46" t="n"/>
      <c r="R2094" s="46" t="n"/>
      <c r="S2094" s="46" t="n"/>
      <c r="T2094" s="46" t="n"/>
      <c r="U2094" s="46" t="n"/>
      <c r="V2094" s="46" t="n"/>
      <c r="W2094" s="46" t="n"/>
      <c r="X2094" s="46" t="n"/>
      <c r="Y2094" s="46" t="n"/>
      <c r="Z2094" s="46" t="n"/>
      <c r="AA2094" s="46" t="n"/>
      <c r="AB2094" s="46" t="n"/>
      <c r="AC2094" s="46" t="n"/>
      <c r="AD2094" s="46" t="n"/>
      <c r="AE2094" s="46" t="n"/>
      <c r="AF2094" s="46" t="n"/>
      <c r="AG2094" s="46" t="n"/>
      <c r="AH2094" s="46" t="n"/>
      <c r="AI2094" s="46" t="n"/>
      <c r="AJ2094" s="46" t="n"/>
      <c r="AK2094" s="46" t="n"/>
      <c r="AL2094" s="46" t="n"/>
      <c r="AM2094" s="46" t="n"/>
      <c r="AN2094" s="46" t="n"/>
      <c r="AO2094" s="46" t="n"/>
      <c r="AP2094" s="46" t="n"/>
      <c r="AQ2094" s="46" t="n"/>
      <c r="AR2094" s="46" t="n"/>
      <c r="AS2094" s="46" t="n"/>
      <c r="AV2094" s="36">
        <f>IF($C2094="","",EMPLOYES!M73)</f>
        <v/>
      </c>
      <c r="AW2094" s="36">
        <f>IF($C2094="",0,SUMPRODUCT(--(O2094:AS2094="C")))</f>
        <v/>
      </c>
      <c r="AX2094" s="36">
        <f>IF($C2094="",0,SUMPRODUCT(--(O2094:AS2094="R")))</f>
        <v/>
      </c>
      <c r="AY2094" s="44" t="n"/>
    </row>
    <row r="2095" hidden="1" outlineLevel="1" ht="15" customHeight="1" s="15">
      <c r="B2095" s="41" t="n">
        <v>9</v>
      </c>
      <c r="C2095" s="42">
        <f>IF(EMPLOYES!C74="","",EMPLOYES!C74)</f>
        <v/>
      </c>
      <c r="D2095" s="43">
        <f>IF(EMPLOYES!C74="","",EMPLOYES!D74)</f>
        <v/>
      </c>
      <c r="E2095" s="44" t="n"/>
      <c r="F2095" s="42" t="n"/>
      <c r="G2095" s="41">
        <f>IF($C2095="",0,MAX(0,$M2095-$N2095))</f>
        <v/>
      </c>
      <c r="H2095" s="45" t="n"/>
      <c r="I2095" s="41">
        <f>IF($C2095="","",IF(H2095="","OK",IF(H2095&gt;EMPLOYES!P74,"⚠ Avance &gt; salaire",IF(H2095&gt;EMPLOYES!P74*PARAMETRES!$C$218,"⚠ Avance élevée","OK"))))</f>
        <v/>
      </c>
      <c r="J2095" s="45" t="n"/>
      <c r="K2095" s="46" t="n"/>
      <c r="L2095" s="46" t="n"/>
      <c r="M2095" s="41">
        <f>IF($C2095="","",SUMPRODUCT((PARAMETRES!$B$38:$B$157=PARAMETRES!$C$29)*(PARAMETRES!$C$38:$C$157=9)*(IF(EMPLOYES!M74="5j",PARAMETRES!$I$38:$I$157,PARAMETRES!$H$38:$H$157))))</f>
        <v/>
      </c>
      <c r="N2095" s="41">
        <f>IF($C2095="","",SUMPRODUCT((O2095:AS2095="P")+(O2095:AS2095="F")+(O2095:AS2095="C")+0.5*(O2095:AS2095="D"),(1-((O2033:AS2033=6)*(EMPLOYES!M74="5j")))))</f>
        <v/>
      </c>
      <c r="O2095" s="46" t="n"/>
      <c r="P2095" s="46" t="n"/>
      <c r="Q2095" s="46" t="n"/>
      <c r="R2095" s="46" t="n"/>
      <c r="S2095" s="46" t="n"/>
      <c r="T2095" s="46" t="n"/>
      <c r="U2095" s="46" t="n"/>
      <c r="V2095" s="46" t="n"/>
      <c r="W2095" s="46" t="n"/>
      <c r="X2095" s="46" t="n"/>
      <c r="Y2095" s="46" t="n"/>
      <c r="Z2095" s="46" t="n"/>
      <c r="AA2095" s="46" t="n"/>
      <c r="AB2095" s="46" t="n"/>
      <c r="AC2095" s="46" t="n"/>
      <c r="AD2095" s="46" t="n"/>
      <c r="AE2095" s="46" t="n"/>
      <c r="AF2095" s="46" t="n"/>
      <c r="AG2095" s="46" t="n"/>
      <c r="AH2095" s="46" t="n"/>
      <c r="AI2095" s="46" t="n"/>
      <c r="AJ2095" s="46" t="n"/>
      <c r="AK2095" s="46" t="n"/>
      <c r="AL2095" s="46" t="n"/>
      <c r="AM2095" s="46" t="n"/>
      <c r="AN2095" s="46" t="n"/>
      <c r="AO2095" s="46" t="n"/>
      <c r="AP2095" s="46" t="n"/>
      <c r="AQ2095" s="46" t="n"/>
      <c r="AR2095" s="46" t="n"/>
      <c r="AS2095" s="46" t="n"/>
      <c r="AV2095" s="36">
        <f>IF($C2095="","",EMPLOYES!M74)</f>
        <v/>
      </c>
      <c r="AW2095" s="36">
        <f>IF($C2095="",0,SUMPRODUCT(--(O2095:AS2095="C")))</f>
        <v/>
      </c>
      <c r="AX2095" s="36">
        <f>IF($C2095="",0,SUMPRODUCT(--(O2095:AS2095="R")))</f>
        <v/>
      </c>
      <c r="AY2095" s="44" t="n"/>
    </row>
    <row r="2096" hidden="1" ht="15" customHeight="1" s="15">
      <c r="B2096" s="36" t="inlineStr">
        <is>
          <t>Jour sem. (réf. grisage)</t>
        </is>
      </c>
      <c r="O2096" s="37">
        <f>IF(1&gt;DAY(EOMONTH(DATE(PARAMETRES!$C$29,9,1),0)),"",WEEKDAY(DATE(PARAMETRES!$C$29,9,1),2))</f>
        <v/>
      </c>
      <c r="P2096" s="37">
        <f>IF(2&gt;DAY(EOMONTH(DATE(PARAMETRES!$C$29,9,1),0)),"",WEEKDAY(DATE(PARAMETRES!$C$29,9,2),2))</f>
        <v/>
      </c>
      <c r="Q2096" s="37">
        <f>IF(3&gt;DAY(EOMONTH(DATE(PARAMETRES!$C$29,9,1),0)),"",WEEKDAY(DATE(PARAMETRES!$C$29,9,3),2))</f>
        <v/>
      </c>
      <c r="R2096" s="37">
        <f>IF(4&gt;DAY(EOMONTH(DATE(PARAMETRES!$C$29,9,1),0)),"",WEEKDAY(DATE(PARAMETRES!$C$29,9,4),2))</f>
        <v/>
      </c>
      <c r="S2096" s="37">
        <f>IF(5&gt;DAY(EOMONTH(DATE(PARAMETRES!$C$29,9,1),0)),"",WEEKDAY(DATE(PARAMETRES!$C$29,9,5),2))</f>
        <v/>
      </c>
      <c r="T2096" s="37">
        <f>IF(6&gt;DAY(EOMONTH(DATE(PARAMETRES!$C$29,9,1),0)),"",WEEKDAY(DATE(PARAMETRES!$C$29,9,6),2))</f>
        <v/>
      </c>
      <c r="U2096" s="37">
        <f>IF(7&gt;DAY(EOMONTH(DATE(PARAMETRES!$C$29,9,1),0)),"",WEEKDAY(DATE(PARAMETRES!$C$29,9,7),2))</f>
        <v/>
      </c>
      <c r="V2096" s="37">
        <f>IF(8&gt;DAY(EOMONTH(DATE(PARAMETRES!$C$29,9,1),0)),"",WEEKDAY(DATE(PARAMETRES!$C$29,9,8),2))</f>
        <v/>
      </c>
      <c r="W2096" s="37">
        <f>IF(9&gt;DAY(EOMONTH(DATE(PARAMETRES!$C$29,9,1),0)),"",WEEKDAY(DATE(PARAMETRES!$C$29,9,9),2))</f>
        <v/>
      </c>
      <c r="X2096" s="37">
        <f>IF(10&gt;DAY(EOMONTH(DATE(PARAMETRES!$C$29,9,1),0)),"",WEEKDAY(DATE(PARAMETRES!$C$29,9,10),2))</f>
        <v/>
      </c>
      <c r="Y2096" s="37">
        <f>IF(11&gt;DAY(EOMONTH(DATE(PARAMETRES!$C$29,9,1),0)),"",WEEKDAY(DATE(PARAMETRES!$C$29,9,11),2))</f>
        <v/>
      </c>
      <c r="Z2096" s="37">
        <f>IF(12&gt;DAY(EOMONTH(DATE(PARAMETRES!$C$29,9,1),0)),"",WEEKDAY(DATE(PARAMETRES!$C$29,9,12),2))</f>
        <v/>
      </c>
      <c r="AA2096" s="37">
        <f>IF(13&gt;DAY(EOMONTH(DATE(PARAMETRES!$C$29,9,1),0)),"",WEEKDAY(DATE(PARAMETRES!$C$29,9,13),2))</f>
        <v/>
      </c>
      <c r="AB2096" s="37">
        <f>IF(14&gt;DAY(EOMONTH(DATE(PARAMETRES!$C$29,9,1),0)),"",WEEKDAY(DATE(PARAMETRES!$C$29,9,14),2))</f>
        <v/>
      </c>
      <c r="AC2096" s="37">
        <f>IF(15&gt;DAY(EOMONTH(DATE(PARAMETRES!$C$29,9,1),0)),"",WEEKDAY(DATE(PARAMETRES!$C$29,9,15),2))</f>
        <v/>
      </c>
      <c r="AD2096" s="37">
        <f>IF(16&gt;DAY(EOMONTH(DATE(PARAMETRES!$C$29,9,1),0)),"",WEEKDAY(DATE(PARAMETRES!$C$29,9,16),2))</f>
        <v/>
      </c>
      <c r="AE2096" s="37">
        <f>IF(17&gt;DAY(EOMONTH(DATE(PARAMETRES!$C$29,9,1),0)),"",WEEKDAY(DATE(PARAMETRES!$C$29,9,17),2))</f>
        <v/>
      </c>
      <c r="AF2096" s="37">
        <f>IF(18&gt;DAY(EOMONTH(DATE(PARAMETRES!$C$29,9,1),0)),"",WEEKDAY(DATE(PARAMETRES!$C$29,9,18),2))</f>
        <v/>
      </c>
      <c r="AG2096" s="37">
        <f>IF(19&gt;DAY(EOMONTH(DATE(PARAMETRES!$C$29,9,1),0)),"",WEEKDAY(DATE(PARAMETRES!$C$29,9,19),2))</f>
        <v/>
      </c>
      <c r="AH2096" s="37">
        <f>IF(20&gt;DAY(EOMONTH(DATE(PARAMETRES!$C$29,9,1),0)),"",WEEKDAY(DATE(PARAMETRES!$C$29,9,20),2))</f>
        <v/>
      </c>
      <c r="AI2096" s="37">
        <f>IF(21&gt;DAY(EOMONTH(DATE(PARAMETRES!$C$29,9,1),0)),"",WEEKDAY(DATE(PARAMETRES!$C$29,9,21),2))</f>
        <v/>
      </c>
      <c r="AJ2096" s="37">
        <f>IF(22&gt;DAY(EOMONTH(DATE(PARAMETRES!$C$29,9,1),0)),"",WEEKDAY(DATE(PARAMETRES!$C$29,9,22),2))</f>
        <v/>
      </c>
      <c r="AK2096" s="37">
        <f>IF(23&gt;DAY(EOMONTH(DATE(PARAMETRES!$C$29,9,1),0)),"",WEEKDAY(DATE(PARAMETRES!$C$29,9,23),2))</f>
        <v/>
      </c>
      <c r="AL2096" s="37">
        <f>IF(24&gt;DAY(EOMONTH(DATE(PARAMETRES!$C$29,9,1),0)),"",WEEKDAY(DATE(PARAMETRES!$C$29,9,24),2))</f>
        <v/>
      </c>
      <c r="AM2096" s="37">
        <f>IF(25&gt;DAY(EOMONTH(DATE(PARAMETRES!$C$29,9,1),0)),"",WEEKDAY(DATE(PARAMETRES!$C$29,9,25),2))</f>
        <v/>
      </c>
      <c r="AN2096" s="37">
        <f>IF(26&gt;DAY(EOMONTH(DATE(PARAMETRES!$C$29,9,1),0)),"",WEEKDAY(DATE(PARAMETRES!$C$29,9,26),2))</f>
        <v/>
      </c>
      <c r="AO2096" s="37">
        <f>IF(27&gt;DAY(EOMONTH(DATE(PARAMETRES!$C$29,9,1),0)),"",WEEKDAY(DATE(PARAMETRES!$C$29,9,27),2))</f>
        <v/>
      </c>
      <c r="AP2096" s="37">
        <f>IF(28&gt;DAY(EOMONTH(DATE(PARAMETRES!$C$29,9,1),0)),"",WEEKDAY(DATE(PARAMETRES!$C$29,9,28),2))</f>
        <v/>
      </c>
      <c r="AQ2096" s="37">
        <f>IF(29&gt;DAY(EOMONTH(DATE(PARAMETRES!$C$29,9,1),0)),"",WEEKDAY(DATE(PARAMETRES!$C$29,9,29),2))</f>
        <v/>
      </c>
      <c r="AR2096" s="37">
        <f>IF(30&gt;DAY(EOMONTH(DATE(PARAMETRES!$C$29,9,1),0)),"",WEEKDAY(DATE(PARAMETRES!$C$29,9,30),2))</f>
        <v/>
      </c>
      <c r="AS2096" s="37">
        <f>IF(31&gt;DAY(EOMONTH(DATE(PARAMETRES!$C$29,9,1),0)),"",WEEKDAY(DATE(PARAMETRES!$C$29,9,31),2))</f>
        <v/>
      </c>
    </row>
    <row r="2097" hidden="1" outlineLevel="1" ht="15" customHeight="1" s="15">
      <c r="AT2097" s="36">
        <f>IF(OR(O2033="",O2033=7),"","P")</f>
        <v/>
      </c>
      <c r="AU2097" s="36">
        <f>IF(OR(O2033="",O2033&gt;=6),"","P")</f>
        <v/>
      </c>
    </row>
    <row r="2098" hidden="1" outlineLevel="1" ht="15" customHeight="1" s="15">
      <c r="AT2098" s="36">
        <f>IF(OR(O2033="",O2033=7),"","D")</f>
        <v/>
      </c>
      <c r="AU2098" s="36">
        <f>IF(OR(O2033="",O2033&gt;=6),"","D")</f>
        <v/>
      </c>
    </row>
    <row r="2099" hidden="1" outlineLevel="1" ht="15" customHeight="1" s="15">
      <c r="AT2099" s="36">
        <f>IF(OR(O2033="",O2033=7),"","A")</f>
        <v/>
      </c>
      <c r="AU2099" s="36">
        <f>IF(OR(O2033="",O2033&gt;=6),"","A")</f>
        <v/>
      </c>
    </row>
    <row r="2100" hidden="1" outlineLevel="1" ht="15" customHeight="1" s="15">
      <c r="AT2100" s="36">
        <f>IF(OR(O2033="",O2033=7),"","F")</f>
        <v/>
      </c>
      <c r="AU2100" s="36">
        <f>IF(OR(O2033="",O2033&gt;=6),"","F")</f>
        <v/>
      </c>
    </row>
    <row r="2101" hidden="1" outlineLevel="1" ht="15" customHeight="1" s="15">
      <c r="AT2101" s="36">
        <f>IF(OR(O2033="",O2033=7),"","C")</f>
        <v/>
      </c>
      <c r="AU2101" s="36">
        <f>IF(OR(O2033="",O2033&gt;=6),"","C")</f>
        <v/>
      </c>
    </row>
    <row r="2102" hidden="1" outlineLevel="1" ht="15" customHeight="1" s="15">
      <c r="AT2102" s="36">
        <f>IF(AND(O2033&lt;&gt;"",O2033=7),"R","")</f>
        <v/>
      </c>
      <c r="AU2102" s="36">
        <f>IF(AND(O2033&lt;&gt;"",O2033&gt;=6),"R","")</f>
        <v/>
      </c>
    </row>
    <row r="2103" hidden="1" outlineLevel="1" ht="15" customHeight="1" s="15">
      <c r="AT2103" s="36">
        <f>IF(OR(P2033="",P2033=7),"","P")</f>
        <v/>
      </c>
      <c r="AU2103" s="36">
        <f>IF(OR(P2033="",P2033&gt;=6),"","P")</f>
        <v/>
      </c>
    </row>
    <row r="2104" hidden="1" outlineLevel="1" ht="15" customHeight="1" s="15">
      <c r="AT2104" s="36">
        <f>IF(OR(P2033="",P2033=7),"","D")</f>
        <v/>
      </c>
      <c r="AU2104" s="36">
        <f>IF(OR(P2033="",P2033&gt;=6),"","D")</f>
        <v/>
      </c>
    </row>
    <row r="2105" hidden="1" outlineLevel="1" ht="15" customHeight="1" s="15">
      <c r="AT2105" s="36">
        <f>IF(OR(P2033="",P2033=7),"","A")</f>
        <v/>
      </c>
      <c r="AU2105" s="36">
        <f>IF(OR(P2033="",P2033&gt;=6),"","A")</f>
        <v/>
      </c>
    </row>
    <row r="2106" hidden="1" outlineLevel="1" ht="15" customHeight="1" s="15">
      <c r="AT2106" s="36">
        <f>IF(OR(P2033="",P2033=7),"","F")</f>
        <v/>
      </c>
      <c r="AU2106" s="36">
        <f>IF(OR(P2033="",P2033&gt;=6),"","F")</f>
        <v/>
      </c>
    </row>
    <row r="2107" hidden="1" outlineLevel="1" ht="15" customHeight="1" s="15">
      <c r="AT2107" s="36">
        <f>IF(OR(P2033="",P2033=7),"","C")</f>
        <v/>
      </c>
      <c r="AU2107" s="36">
        <f>IF(OR(P2033="",P2033&gt;=6),"","C")</f>
        <v/>
      </c>
    </row>
    <row r="2108" hidden="1" outlineLevel="1" ht="15" customHeight="1" s="15">
      <c r="AT2108" s="36">
        <f>IF(AND(P2033&lt;&gt;"",P2033=7),"R","")</f>
        <v/>
      </c>
      <c r="AU2108" s="36">
        <f>IF(AND(P2033&lt;&gt;"",P2033&gt;=6),"R","")</f>
        <v/>
      </c>
    </row>
    <row r="2109" hidden="1" outlineLevel="1" ht="15" customHeight="1" s="15">
      <c r="AT2109" s="36">
        <f>IF(OR(Q2033="",Q2033=7),"","P")</f>
        <v/>
      </c>
      <c r="AU2109" s="36">
        <f>IF(OR(Q2033="",Q2033&gt;=6),"","P")</f>
        <v/>
      </c>
    </row>
    <row r="2110" hidden="1" outlineLevel="1" ht="15" customHeight="1" s="15">
      <c r="AT2110" s="36">
        <f>IF(OR(Q2033="",Q2033=7),"","D")</f>
        <v/>
      </c>
      <c r="AU2110" s="36">
        <f>IF(OR(Q2033="",Q2033&gt;=6),"","D")</f>
        <v/>
      </c>
    </row>
    <row r="2111" hidden="1" outlineLevel="1" ht="15" customHeight="1" s="15">
      <c r="AT2111" s="36">
        <f>IF(OR(Q2033="",Q2033=7),"","A")</f>
        <v/>
      </c>
      <c r="AU2111" s="36">
        <f>IF(OR(Q2033="",Q2033&gt;=6),"","A")</f>
        <v/>
      </c>
    </row>
    <row r="2112" hidden="1" outlineLevel="1" ht="15" customHeight="1" s="15">
      <c r="AT2112" s="36">
        <f>IF(OR(Q2033="",Q2033=7),"","F")</f>
        <v/>
      </c>
      <c r="AU2112" s="36">
        <f>IF(OR(Q2033="",Q2033&gt;=6),"","F")</f>
        <v/>
      </c>
    </row>
    <row r="2113" hidden="1" outlineLevel="1" ht="15" customHeight="1" s="15">
      <c r="AT2113" s="36">
        <f>IF(OR(Q2033="",Q2033=7),"","C")</f>
        <v/>
      </c>
      <c r="AU2113" s="36">
        <f>IF(OR(Q2033="",Q2033&gt;=6),"","C")</f>
        <v/>
      </c>
    </row>
    <row r="2114" hidden="1" outlineLevel="1" ht="15" customHeight="1" s="15">
      <c r="AT2114" s="36">
        <f>IF(AND(Q2033&lt;&gt;"",Q2033=7),"R","")</f>
        <v/>
      </c>
      <c r="AU2114" s="36">
        <f>IF(AND(Q2033&lt;&gt;"",Q2033&gt;=6),"R","")</f>
        <v/>
      </c>
    </row>
    <row r="2115" hidden="1" outlineLevel="1" ht="15" customHeight="1" s="15">
      <c r="AT2115" s="36">
        <f>IF(OR(R2033="",R2033=7),"","P")</f>
        <v/>
      </c>
      <c r="AU2115" s="36">
        <f>IF(OR(R2033="",R2033&gt;=6),"","P")</f>
        <v/>
      </c>
    </row>
    <row r="2116" hidden="1" outlineLevel="1" ht="15" customHeight="1" s="15">
      <c r="AT2116" s="36">
        <f>IF(OR(R2033="",R2033=7),"","D")</f>
        <v/>
      </c>
      <c r="AU2116" s="36">
        <f>IF(OR(R2033="",R2033&gt;=6),"","D")</f>
        <v/>
      </c>
    </row>
    <row r="2117" hidden="1" outlineLevel="1" ht="15" customHeight="1" s="15">
      <c r="AT2117" s="36">
        <f>IF(OR(R2033="",R2033=7),"","A")</f>
        <v/>
      </c>
      <c r="AU2117" s="36">
        <f>IF(OR(R2033="",R2033&gt;=6),"","A")</f>
        <v/>
      </c>
    </row>
    <row r="2118" hidden="1" outlineLevel="1" ht="15" customHeight="1" s="15">
      <c r="AT2118" s="36">
        <f>IF(OR(R2033="",R2033=7),"","F")</f>
        <v/>
      </c>
      <c r="AU2118" s="36">
        <f>IF(OR(R2033="",R2033&gt;=6),"","F")</f>
        <v/>
      </c>
    </row>
    <row r="2119" hidden="1" outlineLevel="1" ht="15" customHeight="1" s="15">
      <c r="AT2119" s="36">
        <f>IF(OR(R2033="",R2033=7),"","C")</f>
        <v/>
      </c>
      <c r="AU2119" s="36">
        <f>IF(OR(R2033="",R2033&gt;=6),"","C")</f>
        <v/>
      </c>
    </row>
    <row r="2120" hidden="1" outlineLevel="1" ht="15" customHeight="1" s="15">
      <c r="AT2120" s="36">
        <f>IF(AND(R2033&lt;&gt;"",R2033=7),"R","")</f>
        <v/>
      </c>
      <c r="AU2120" s="36">
        <f>IF(AND(R2033&lt;&gt;"",R2033&gt;=6),"R","")</f>
        <v/>
      </c>
    </row>
    <row r="2121" hidden="1" outlineLevel="1" ht="15" customHeight="1" s="15">
      <c r="AT2121" s="36">
        <f>IF(OR(S2033="",S2033=7),"","P")</f>
        <v/>
      </c>
      <c r="AU2121" s="36">
        <f>IF(OR(S2033="",S2033&gt;=6),"","P")</f>
        <v/>
      </c>
    </row>
    <row r="2122" hidden="1" outlineLevel="1" ht="15" customHeight="1" s="15">
      <c r="AT2122" s="36">
        <f>IF(OR(S2033="",S2033=7),"","D")</f>
        <v/>
      </c>
      <c r="AU2122" s="36">
        <f>IF(OR(S2033="",S2033&gt;=6),"","D")</f>
        <v/>
      </c>
    </row>
    <row r="2123" hidden="1" outlineLevel="1" ht="15" customHeight="1" s="15">
      <c r="AT2123" s="36">
        <f>IF(OR(S2033="",S2033=7),"","A")</f>
        <v/>
      </c>
      <c r="AU2123" s="36">
        <f>IF(OR(S2033="",S2033&gt;=6),"","A")</f>
        <v/>
      </c>
    </row>
    <row r="2124" hidden="1" outlineLevel="1" ht="15" customHeight="1" s="15">
      <c r="AT2124" s="36">
        <f>IF(OR(S2033="",S2033=7),"","F")</f>
        <v/>
      </c>
      <c r="AU2124" s="36">
        <f>IF(OR(S2033="",S2033&gt;=6),"","F")</f>
        <v/>
      </c>
    </row>
    <row r="2125" hidden="1" outlineLevel="1" ht="15" customHeight="1" s="15">
      <c r="AT2125" s="36">
        <f>IF(OR(S2033="",S2033=7),"","C")</f>
        <v/>
      </c>
      <c r="AU2125" s="36">
        <f>IF(OR(S2033="",S2033&gt;=6),"","C")</f>
        <v/>
      </c>
    </row>
    <row r="2126" hidden="1" outlineLevel="1" ht="15" customHeight="1" s="15">
      <c r="AT2126" s="36">
        <f>IF(AND(S2033&lt;&gt;"",S2033=7),"R","")</f>
        <v/>
      </c>
      <c r="AU2126" s="36">
        <f>IF(AND(S2033&lt;&gt;"",S2033&gt;=6),"R","")</f>
        <v/>
      </c>
    </row>
    <row r="2127" hidden="1" outlineLevel="1" ht="15" customHeight="1" s="15">
      <c r="AT2127" s="36">
        <f>IF(OR(T2033="",T2033=7),"","P")</f>
        <v/>
      </c>
      <c r="AU2127" s="36">
        <f>IF(OR(T2033="",T2033&gt;=6),"","P")</f>
        <v/>
      </c>
    </row>
    <row r="2128" hidden="1" outlineLevel="1" ht="15" customHeight="1" s="15">
      <c r="AT2128" s="36">
        <f>IF(OR(T2033="",T2033=7),"","D")</f>
        <v/>
      </c>
      <c r="AU2128" s="36">
        <f>IF(OR(T2033="",T2033&gt;=6),"","D")</f>
        <v/>
      </c>
    </row>
    <row r="2129" hidden="1" outlineLevel="1" ht="15" customHeight="1" s="15">
      <c r="AT2129" s="36">
        <f>IF(OR(T2033="",T2033=7),"","A")</f>
        <v/>
      </c>
      <c r="AU2129" s="36">
        <f>IF(OR(T2033="",T2033&gt;=6),"","A")</f>
        <v/>
      </c>
    </row>
    <row r="2130" hidden="1" outlineLevel="1" ht="15" customHeight="1" s="15">
      <c r="AT2130" s="36">
        <f>IF(OR(T2033="",T2033=7),"","F")</f>
        <v/>
      </c>
      <c r="AU2130" s="36">
        <f>IF(OR(T2033="",T2033&gt;=6),"","F")</f>
        <v/>
      </c>
    </row>
    <row r="2131" hidden="1" outlineLevel="1" ht="15" customHeight="1" s="15">
      <c r="AT2131" s="36">
        <f>IF(OR(T2033="",T2033=7),"","C")</f>
        <v/>
      </c>
      <c r="AU2131" s="36">
        <f>IF(OR(T2033="",T2033&gt;=6),"","C")</f>
        <v/>
      </c>
    </row>
    <row r="2132" hidden="1" outlineLevel="1" ht="15" customHeight="1" s="15">
      <c r="AT2132" s="36">
        <f>IF(AND(T2033&lt;&gt;"",T2033=7),"R","")</f>
        <v/>
      </c>
      <c r="AU2132" s="36">
        <f>IF(AND(T2033&lt;&gt;"",T2033&gt;=6),"R","")</f>
        <v/>
      </c>
    </row>
    <row r="2133" hidden="1" outlineLevel="1" ht="15" customHeight="1" s="15">
      <c r="AT2133" s="36">
        <f>IF(OR(U2033="",U2033=7),"","P")</f>
        <v/>
      </c>
      <c r="AU2133" s="36">
        <f>IF(OR(U2033="",U2033&gt;=6),"","P")</f>
        <v/>
      </c>
    </row>
    <row r="2134" hidden="1" outlineLevel="1" ht="15" customHeight="1" s="15">
      <c r="AT2134" s="36">
        <f>IF(OR(U2033="",U2033=7),"","D")</f>
        <v/>
      </c>
      <c r="AU2134" s="36">
        <f>IF(OR(U2033="",U2033&gt;=6),"","D")</f>
        <v/>
      </c>
    </row>
    <row r="2135" hidden="1" outlineLevel="1" ht="15" customHeight="1" s="15">
      <c r="AT2135" s="36">
        <f>IF(OR(U2033="",U2033=7),"","A")</f>
        <v/>
      </c>
      <c r="AU2135" s="36">
        <f>IF(OR(U2033="",U2033&gt;=6),"","A")</f>
        <v/>
      </c>
    </row>
    <row r="2136" hidden="1" outlineLevel="1" ht="15" customHeight="1" s="15">
      <c r="AT2136" s="36">
        <f>IF(OR(U2033="",U2033=7),"","F")</f>
        <v/>
      </c>
      <c r="AU2136" s="36">
        <f>IF(OR(U2033="",U2033&gt;=6),"","F")</f>
        <v/>
      </c>
    </row>
    <row r="2137" hidden="1" outlineLevel="1" ht="15" customHeight="1" s="15">
      <c r="AT2137" s="36">
        <f>IF(OR(U2033="",U2033=7),"","C")</f>
        <v/>
      </c>
      <c r="AU2137" s="36">
        <f>IF(OR(U2033="",U2033&gt;=6),"","C")</f>
        <v/>
      </c>
    </row>
    <row r="2138" hidden="1" outlineLevel="1" ht="15" customHeight="1" s="15">
      <c r="AT2138" s="36">
        <f>IF(AND(U2033&lt;&gt;"",U2033=7),"R","")</f>
        <v/>
      </c>
      <c r="AU2138" s="36">
        <f>IF(AND(U2033&lt;&gt;"",U2033&gt;=6),"R","")</f>
        <v/>
      </c>
    </row>
    <row r="2139" hidden="1" outlineLevel="1" ht="15" customHeight="1" s="15">
      <c r="AT2139" s="36">
        <f>IF(OR(V2033="",V2033=7),"","P")</f>
        <v/>
      </c>
      <c r="AU2139" s="36">
        <f>IF(OR(V2033="",V2033&gt;=6),"","P")</f>
        <v/>
      </c>
    </row>
    <row r="2140" hidden="1" outlineLevel="1" ht="15" customHeight="1" s="15">
      <c r="AT2140" s="36">
        <f>IF(OR(V2033="",V2033=7),"","D")</f>
        <v/>
      </c>
      <c r="AU2140" s="36">
        <f>IF(OR(V2033="",V2033&gt;=6),"","D")</f>
        <v/>
      </c>
    </row>
    <row r="2141" hidden="1" outlineLevel="1" ht="15" customHeight="1" s="15">
      <c r="AT2141" s="36">
        <f>IF(OR(V2033="",V2033=7),"","A")</f>
        <v/>
      </c>
      <c r="AU2141" s="36">
        <f>IF(OR(V2033="",V2033&gt;=6),"","A")</f>
        <v/>
      </c>
    </row>
    <row r="2142" hidden="1" outlineLevel="1" ht="15" customHeight="1" s="15">
      <c r="AT2142" s="36">
        <f>IF(OR(V2033="",V2033=7),"","F")</f>
        <v/>
      </c>
      <c r="AU2142" s="36">
        <f>IF(OR(V2033="",V2033&gt;=6),"","F")</f>
        <v/>
      </c>
    </row>
    <row r="2143" hidden="1" outlineLevel="1" ht="15" customHeight="1" s="15">
      <c r="AT2143" s="36">
        <f>IF(OR(V2033="",V2033=7),"","C")</f>
        <v/>
      </c>
      <c r="AU2143" s="36">
        <f>IF(OR(V2033="",V2033&gt;=6),"","C")</f>
        <v/>
      </c>
    </row>
    <row r="2144" hidden="1" outlineLevel="1" ht="15" customHeight="1" s="15">
      <c r="AT2144" s="36">
        <f>IF(AND(V2033&lt;&gt;"",V2033=7),"R","")</f>
        <v/>
      </c>
      <c r="AU2144" s="36">
        <f>IF(AND(V2033&lt;&gt;"",V2033&gt;=6),"R","")</f>
        <v/>
      </c>
    </row>
    <row r="2145" hidden="1" outlineLevel="1" ht="15" customHeight="1" s="15">
      <c r="AT2145" s="36">
        <f>IF(OR(W2033="",W2033=7),"","P")</f>
        <v/>
      </c>
      <c r="AU2145" s="36">
        <f>IF(OR(W2033="",W2033&gt;=6),"","P")</f>
        <v/>
      </c>
    </row>
    <row r="2146" hidden="1" outlineLevel="1" ht="15" customHeight="1" s="15">
      <c r="AT2146" s="36">
        <f>IF(OR(W2033="",W2033=7),"","D")</f>
        <v/>
      </c>
      <c r="AU2146" s="36">
        <f>IF(OR(W2033="",W2033&gt;=6),"","D")</f>
        <v/>
      </c>
    </row>
    <row r="2147" hidden="1" outlineLevel="1" ht="15" customHeight="1" s="15">
      <c r="AT2147" s="36">
        <f>IF(OR(W2033="",W2033=7),"","A")</f>
        <v/>
      </c>
      <c r="AU2147" s="36">
        <f>IF(OR(W2033="",W2033&gt;=6),"","A")</f>
        <v/>
      </c>
    </row>
    <row r="2148" hidden="1" outlineLevel="1" ht="15" customHeight="1" s="15">
      <c r="AT2148" s="36">
        <f>IF(OR(W2033="",W2033=7),"","F")</f>
        <v/>
      </c>
      <c r="AU2148" s="36">
        <f>IF(OR(W2033="",W2033&gt;=6),"","F")</f>
        <v/>
      </c>
    </row>
    <row r="2149" hidden="1" outlineLevel="1" ht="15" customHeight="1" s="15">
      <c r="AT2149" s="36">
        <f>IF(OR(W2033="",W2033=7),"","C")</f>
        <v/>
      </c>
      <c r="AU2149" s="36">
        <f>IF(OR(W2033="",W2033&gt;=6),"","C")</f>
        <v/>
      </c>
    </row>
    <row r="2150" hidden="1" outlineLevel="1" ht="15" customHeight="1" s="15">
      <c r="AT2150" s="36">
        <f>IF(AND(W2033&lt;&gt;"",W2033=7),"R","")</f>
        <v/>
      </c>
      <c r="AU2150" s="36">
        <f>IF(AND(W2033&lt;&gt;"",W2033&gt;=6),"R","")</f>
        <v/>
      </c>
    </row>
    <row r="2151" hidden="1" outlineLevel="1" ht="15" customHeight="1" s="15">
      <c r="AT2151" s="36">
        <f>IF(OR(X2033="",X2033=7),"","P")</f>
        <v/>
      </c>
      <c r="AU2151" s="36">
        <f>IF(OR(X2033="",X2033&gt;=6),"","P")</f>
        <v/>
      </c>
    </row>
    <row r="2152" hidden="1" outlineLevel="1" ht="15" customHeight="1" s="15">
      <c r="AT2152" s="36">
        <f>IF(OR(X2033="",X2033=7),"","D")</f>
        <v/>
      </c>
      <c r="AU2152" s="36">
        <f>IF(OR(X2033="",X2033&gt;=6),"","D")</f>
        <v/>
      </c>
    </row>
    <row r="2153" hidden="1" outlineLevel="1" ht="15" customHeight="1" s="15">
      <c r="AT2153" s="36">
        <f>IF(OR(X2033="",X2033=7),"","A")</f>
        <v/>
      </c>
      <c r="AU2153" s="36">
        <f>IF(OR(X2033="",X2033&gt;=6),"","A")</f>
        <v/>
      </c>
    </row>
    <row r="2154" hidden="1" outlineLevel="1" ht="15" customHeight="1" s="15">
      <c r="AT2154" s="36">
        <f>IF(OR(X2033="",X2033=7),"","F")</f>
        <v/>
      </c>
      <c r="AU2154" s="36">
        <f>IF(OR(X2033="",X2033&gt;=6),"","F")</f>
        <v/>
      </c>
    </row>
    <row r="2155" hidden="1" outlineLevel="1" ht="15" customHeight="1" s="15">
      <c r="AT2155" s="36">
        <f>IF(OR(X2033="",X2033=7),"","C")</f>
        <v/>
      </c>
      <c r="AU2155" s="36">
        <f>IF(OR(X2033="",X2033&gt;=6),"","C")</f>
        <v/>
      </c>
    </row>
    <row r="2156" hidden="1" outlineLevel="1" ht="15" customHeight="1" s="15">
      <c r="AT2156" s="36">
        <f>IF(AND(X2033&lt;&gt;"",X2033=7),"R","")</f>
        <v/>
      </c>
      <c r="AU2156" s="36">
        <f>IF(AND(X2033&lt;&gt;"",X2033&gt;=6),"R","")</f>
        <v/>
      </c>
    </row>
    <row r="2157" hidden="1" outlineLevel="1" ht="15" customHeight="1" s="15">
      <c r="AT2157" s="36">
        <f>IF(OR(Y2033="",Y2033=7),"","P")</f>
        <v/>
      </c>
      <c r="AU2157" s="36">
        <f>IF(OR(Y2033="",Y2033&gt;=6),"","P")</f>
        <v/>
      </c>
    </row>
    <row r="2158" hidden="1" outlineLevel="1" ht="15" customHeight="1" s="15">
      <c r="AT2158" s="36">
        <f>IF(OR(Y2033="",Y2033=7),"","D")</f>
        <v/>
      </c>
      <c r="AU2158" s="36">
        <f>IF(OR(Y2033="",Y2033&gt;=6),"","D")</f>
        <v/>
      </c>
    </row>
    <row r="2159" hidden="1" outlineLevel="1" ht="15" customHeight="1" s="15">
      <c r="AT2159" s="36">
        <f>IF(OR(Y2033="",Y2033=7),"","A")</f>
        <v/>
      </c>
      <c r="AU2159" s="36">
        <f>IF(OR(Y2033="",Y2033&gt;=6),"","A")</f>
        <v/>
      </c>
    </row>
    <row r="2160" hidden="1" outlineLevel="1" ht="15" customHeight="1" s="15">
      <c r="AT2160" s="36">
        <f>IF(OR(Y2033="",Y2033=7),"","F")</f>
        <v/>
      </c>
      <c r="AU2160" s="36">
        <f>IF(OR(Y2033="",Y2033&gt;=6),"","F")</f>
        <v/>
      </c>
    </row>
    <row r="2161" hidden="1" outlineLevel="1" ht="15" customHeight="1" s="15">
      <c r="AT2161" s="36">
        <f>IF(OR(Y2033="",Y2033=7),"","C")</f>
        <v/>
      </c>
      <c r="AU2161" s="36">
        <f>IF(OR(Y2033="",Y2033&gt;=6),"","C")</f>
        <v/>
      </c>
    </row>
    <row r="2162" hidden="1" outlineLevel="1" ht="15" customHeight="1" s="15">
      <c r="AT2162" s="36">
        <f>IF(AND(Y2033&lt;&gt;"",Y2033=7),"R","")</f>
        <v/>
      </c>
      <c r="AU2162" s="36">
        <f>IF(AND(Y2033&lt;&gt;"",Y2033&gt;=6),"R","")</f>
        <v/>
      </c>
    </row>
    <row r="2163" hidden="1" outlineLevel="1" ht="15" customHeight="1" s="15">
      <c r="AT2163" s="36">
        <f>IF(OR(Z2033="",Z2033=7),"","P")</f>
        <v/>
      </c>
      <c r="AU2163" s="36">
        <f>IF(OR(Z2033="",Z2033&gt;=6),"","P")</f>
        <v/>
      </c>
    </row>
    <row r="2164" hidden="1" outlineLevel="1" ht="15" customHeight="1" s="15">
      <c r="AT2164" s="36">
        <f>IF(OR(Z2033="",Z2033=7),"","D")</f>
        <v/>
      </c>
      <c r="AU2164" s="36">
        <f>IF(OR(Z2033="",Z2033&gt;=6),"","D")</f>
        <v/>
      </c>
    </row>
    <row r="2165" hidden="1" outlineLevel="1" ht="15" customHeight="1" s="15">
      <c r="AT2165" s="36">
        <f>IF(OR(Z2033="",Z2033=7),"","A")</f>
        <v/>
      </c>
      <c r="AU2165" s="36">
        <f>IF(OR(Z2033="",Z2033&gt;=6),"","A")</f>
        <v/>
      </c>
    </row>
    <row r="2166" hidden="1" outlineLevel="1" ht="15" customHeight="1" s="15">
      <c r="AT2166" s="36">
        <f>IF(OR(Z2033="",Z2033=7),"","F")</f>
        <v/>
      </c>
      <c r="AU2166" s="36">
        <f>IF(OR(Z2033="",Z2033&gt;=6),"","F")</f>
        <v/>
      </c>
    </row>
    <row r="2167" hidden="1" outlineLevel="1" ht="15" customHeight="1" s="15">
      <c r="AT2167" s="36">
        <f>IF(OR(Z2033="",Z2033=7),"","C")</f>
        <v/>
      </c>
      <c r="AU2167" s="36">
        <f>IF(OR(Z2033="",Z2033&gt;=6),"","C")</f>
        <v/>
      </c>
    </row>
    <row r="2168" hidden="1" outlineLevel="1" ht="15" customHeight="1" s="15">
      <c r="AT2168" s="36">
        <f>IF(AND(Z2033&lt;&gt;"",Z2033=7),"R","")</f>
        <v/>
      </c>
      <c r="AU2168" s="36">
        <f>IF(AND(Z2033&lt;&gt;"",Z2033&gt;=6),"R","")</f>
        <v/>
      </c>
    </row>
    <row r="2169" hidden="1" outlineLevel="1" ht="15" customHeight="1" s="15">
      <c r="AT2169" s="36">
        <f>IF(OR(AA2033="",AA2033=7),"","P")</f>
        <v/>
      </c>
      <c r="AU2169" s="36">
        <f>IF(OR(AA2033="",AA2033&gt;=6),"","P")</f>
        <v/>
      </c>
    </row>
    <row r="2170" hidden="1" outlineLevel="1" ht="15" customHeight="1" s="15">
      <c r="AT2170" s="36">
        <f>IF(OR(AA2033="",AA2033=7),"","D")</f>
        <v/>
      </c>
      <c r="AU2170" s="36">
        <f>IF(OR(AA2033="",AA2033&gt;=6),"","D")</f>
        <v/>
      </c>
    </row>
    <row r="2171" hidden="1" outlineLevel="1" ht="15" customHeight="1" s="15">
      <c r="AT2171" s="36">
        <f>IF(OR(AA2033="",AA2033=7),"","A")</f>
        <v/>
      </c>
      <c r="AU2171" s="36">
        <f>IF(OR(AA2033="",AA2033&gt;=6),"","A")</f>
        <v/>
      </c>
    </row>
    <row r="2172" hidden="1" outlineLevel="1" ht="15" customHeight="1" s="15">
      <c r="AT2172" s="36">
        <f>IF(OR(AA2033="",AA2033=7),"","F")</f>
        <v/>
      </c>
      <c r="AU2172" s="36">
        <f>IF(OR(AA2033="",AA2033&gt;=6),"","F")</f>
        <v/>
      </c>
    </row>
    <row r="2173" hidden="1" outlineLevel="1" ht="15" customHeight="1" s="15">
      <c r="AT2173" s="36">
        <f>IF(OR(AA2033="",AA2033=7),"","C")</f>
        <v/>
      </c>
      <c r="AU2173" s="36">
        <f>IF(OR(AA2033="",AA2033&gt;=6),"","C")</f>
        <v/>
      </c>
    </row>
    <row r="2174" hidden="1" outlineLevel="1" ht="15" customHeight="1" s="15">
      <c r="AT2174" s="36">
        <f>IF(AND(AA2033&lt;&gt;"",AA2033=7),"R","")</f>
        <v/>
      </c>
      <c r="AU2174" s="36">
        <f>IF(AND(AA2033&lt;&gt;"",AA2033&gt;=6),"R","")</f>
        <v/>
      </c>
    </row>
    <row r="2175" hidden="1" outlineLevel="1" ht="15" customHeight="1" s="15">
      <c r="AT2175" s="36">
        <f>IF(OR(AB2033="",AB2033=7),"","P")</f>
        <v/>
      </c>
      <c r="AU2175" s="36">
        <f>IF(OR(AB2033="",AB2033&gt;=6),"","P")</f>
        <v/>
      </c>
    </row>
    <row r="2176" hidden="1" outlineLevel="1" ht="15" customHeight="1" s="15">
      <c r="AT2176" s="36">
        <f>IF(OR(AB2033="",AB2033=7),"","D")</f>
        <v/>
      </c>
      <c r="AU2176" s="36">
        <f>IF(OR(AB2033="",AB2033&gt;=6),"","D")</f>
        <v/>
      </c>
    </row>
    <row r="2177" hidden="1" outlineLevel="1" ht="15" customHeight="1" s="15">
      <c r="AT2177" s="36">
        <f>IF(OR(AB2033="",AB2033=7),"","A")</f>
        <v/>
      </c>
      <c r="AU2177" s="36">
        <f>IF(OR(AB2033="",AB2033&gt;=6),"","A")</f>
        <v/>
      </c>
    </row>
    <row r="2178" hidden="1" outlineLevel="1" ht="15" customHeight="1" s="15">
      <c r="AT2178" s="36">
        <f>IF(OR(AB2033="",AB2033=7),"","F")</f>
        <v/>
      </c>
      <c r="AU2178" s="36">
        <f>IF(OR(AB2033="",AB2033&gt;=6),"","F")</f>
        <v/>
      </c>
    </row>
    <row r="2179" hidden="1" outlineLevel="1" ht="15" customHeight="1" s="15">
      <c r="AT2179" s="36">
        <f>IF(OR(AB2033="",AB2033=7),"","C")</f>
        <v/>
      </c>
      <c r="AU2179" s="36">
        <f>IF(OR(AB2033="",AB2033&gt;=6),"","C")</f>
        <v/>
      </c>
    </row>
    <row r="2180" hidden="1" outlineLevel="1" ht="15" customHeight="1" s="15">
      <c r="AT2180" s="36">
        <f>IF(AND(AB2033&lt;&gt;"",AB2033=7),"R","")</f>
        <v/>
      </c>
      <c r="AU2180" s="36">
        <f>IF(AND(AB2033&lt;&gt;"",AB2033&gt;=6),"R","")</f>
        <v/>
      </c>
    </row>
    <row r="2181" hidden="1" outlineLevel="1" ht="15" customHeight="1" s="15">
      <c r="AT2181" s="36">
        <f>IF(OR(AC2033="",AC2033=7),"","P")</f>
        <v/>
      </c>
      <c r="AU2181" s="36">
        <f>IF(OR(AC2033="",AC2033&gt;=6),"","P")</f>
        <v/>
      </c>
    </row>
    <row r="2182" hidden="1" outlineLevel="1" ht="15" customHeight="1" s="15">
      <c r="AT2182" s="36">
        <f>IF(OR(AC2033="",AC2033=7),"","D")</f>
        <v/>
      </c>
      <c r="AU2182" s="36">
        <f>IF(OR(AC2033="",AC2033&gt;=6),"","D")</f>
        <v/>
      </c>
    </row>
    <row r="2183" hidden="1" outlineLevel="1" ht="15" customHeight="1" s="15">
      <c r="AT2183" s="36">
        <f>IF(OR(AC2033="",AC2033=7),"","A")</f>
        <v/>
      </c>
      <c r="AU2183" s="36">
        <f>IF(OR(AC2033="",AC2033&gt;=6),"","A")</f>
        <v/>
      </c>
    </row>
    <row r="2184" hidden="1" outlineLevel="1" ht="15" customHeight="1" s="15">
      <c r="AT2184" s="36">
        <f>IF(OR(AC2033="",AC2033=7),"","F")</f>
        <v/>
      </c>
      <c r="AU2184" s="36">
        <f>IF(OR(AC2033="",AC2033&gt;=6),"","F")</f>
        <v/>
      </c>
    </row>
    <row r="2185" hidden="1" outlineLevel="1" ht="15" customHeight="1" s="15">
      <c r="AT2185" s="36">
        <f>IF(OR(AC2033="",AC2033=7),"","C")</f>
        <v/>
      </c>
      <c r="AU2185" s="36">
        <f>IF(OR(AC2033="",AC2033&gt;=6),"","C")</f>
        <v/>
      </c>
    </row>
    <row r="2186" hidden="1" outlineLevel="1" ht="15" customHeight="1" s="15">
      <c r="AT2186" s="36">
        <f>IF(AND(AC2033&lt;&gt;"",AC2033=7),"R","")</f>
        <v/>
      </c>
      <c r="AU2186" s="36">
        <f>IF(AND(AC2033&lt;&gt;"",AC2033&gt;=6),"R","")</f>
        <v/>
      </c>
    </row>
    <row r="2187" hidden="1" outlineLevel="1" ht="15" customHeight="1" s="15">
      <c r="AT2187" s="36">
        <f>IF(OR(AD2033="",AD2033=7),"","P")</f>
        <v/>
      </c>
      <c r="AU2187" s="36">
        <f>IF(OR(AD2033="",AD2033&gt;=6),"","P")</f>
        <v/>
      </c>
    </row>
    <row r="2188" hidden="1" outlineLevel="1" ht="15" customHeight="1" s="15">
      <c r="AT2188" s="36">
        <f>IF(OR(AD2033="",AD2033=7),"","D")</f>
        <v/>
      </c>
      <c r="AU2188" s="36">
        <f>IF(OR(AD2033="",AD2033&gt;=6),"","D")</f>
        <v/>
      </c>
    </row>
    <row r="2189" hidden="1" outlineLevel="1" ht="15" customHeight="1" s="15">
      <c r="AT2189" s="36">
        <f>IF(OR(AD2033="",AD2033=7),"","A")</f>
        <v/>
      </c>
      <c r="AU2189" s="36">
        <f>IF(OR(AD2033="",AD2033&gt;=6),"","A")</f>
        <v/>
      </c>
    </row>
    <row r="2190" hidden="1" outlineLevel="1" ht="15" customHeight="1" s="15">
      <c r="AT2190" s="36">
        <f>IF(OR(AD2033="",AD2033=7),"","F")</f>
        <v/>
      </c>
      <c r="AU2190" s="36">
        <f>IF(OR(AD2033="",AD2033&gt;=6),"","F")</f>
        <v/>
      </c>
    </row>
    <row r="2191" hidden="1" outlineLevel="1" ht="15" customHeight="1" s="15">
      <c r="AT2191" s="36">
        <f>IF(OR(AD2033="",AD2033=7),"","C")</f>
        <v/>
      </c>
      <c r="AU2191" s="36">
        <f>IF(OR(AD2033="",AD2033&gt;=6),"","C")</f>
        <v/>
      </c>
    </row>
    <row r="2192" hidden="1" outlineLevel="1" ht="15" customHeight="1" s="15">
      <c r="AT2192" s="36">
        <f>IF(AND(AD2033&lt;&gt;"",AD2033=7),"R","")</f>
        <v/>
      </c>
      <c r="AU2192" s="36">
        <f>IF(AND(AD2033&lt;&gt;"",AD2033&gt;=6),"R","")</f>
        <v/>
      </c>
    </row>
    <row r="2193" hidden="1" outlineLevel="1" ht="15" customHeight="1" s="15">
      <c r="AT2193" s="36">
        <f>IF(OR(AE2033="",AE2033=7),"","P")</f>
        <v/>
      </c>
      <c r="AU2193" s="36">
        <f>IF(OR(AE2033="",AE2033&gt;=6),"","P")</f>
        <v/>
      </c>
    </row>
    <row r="2194" hidden="1" outlineLevel="1" ht="15" customHeight="1" s="15">
      <c r="AT2194" s="36">
        <f>IF(OR(AE2033="",AE2033=7),"","D")</f>
        <v/>
      </c>
      <c r="AU2194" s="36">
        <f>IF(OR(AE2033="",AE2033&gt;=6),"","D")</f>
        <v/>
      </c>
    </row>
    <row r="2195" hidden="1" outlineLevel="1" ht="15" customHeight="1" s="15">
      <c r="AT2195" s="36">
        <f>IF(OR(AE2033="",AE2033=7),"","A")</f>
        <v/>
      </c>
      <c r="AU2195" s="36">
        <f>IF(OR(AE2033="",AE2033&gt;=6),"","A")</f>
        <v/>
      </c>
    </row>
    <row r="2196" hidden="1" outlineLevel="1" ht="15" customHeight="1" s="15">
      <c r="AT2196" s="36">
        <f>IF(OR(AE2033="",AE2033=7),"","F")</f>
        <v/>
      </c>
      <c r="AU2196" s="36">
        <f>IF(OR(AE2033="",AE2033&gt;=6),"","F")</f>
        <v/>
      </c>
    </row>
    <row r="2197" hidden="1" outlineLevel="1" ht="15" customHeight="1" s="15">
      <c r="AT2197" s="36">
        <f>IF(OR(AE2033="",AE2033=7),"","C")</f>
        <v/>
      </c>
      <c r="AU2197" s="36">
        <f>IF(OR(AE2033="",AE2033&gt;=6),"","C")</f>
        <v/>
      </c>
    </row>
    <row r="2198" hidden="1" outlineLevel="1" ht="15" customHeight="1" s="15">
      <c r="AT2198" s="36">
        <f>IF(AND(AE2033&lt;&gt;"",AE2033=7),"R","")</f>
        <v/>
      </c>
      <c r="AU2198" s="36">
        <f>IF(AND(AE2033&lt;&gt;"",AE2033&gt;=6),"R","")</f>
        <v/>
      </c>
    </row>
    <row r="2199" hidden="1" outlineLevel="1" ht="15" customHeight="1" s="15">
      <c r="AT2199" s="36">
        <f>IF(OR(AF2033="",AF2033=7),"","P")</f>
        <v/>
      </c>
      <c r="AU2199" s="36">
        <f>IF(OR(AF2033="",AF2033&gt;=6),"","P")</f>
        <v/>
      </c>
    </row>
    <row r="2200" hidden="1" outlineLevel="1" ht="15" customHeight="1" s="15">
      <c r="AT2200" s="36">
        <f>IF(OR(AF2033="",AF2033=7),"","D")</f>
        <v/>
      </c>
      <c r="AU2200" s="36">
        <f>IF(OR(AF2033="",AF2033&gt;=6),"","D")</f>
        <v/>
      </c>
    </row>
    <row r="2201" hidden="1" outlineLevel="1" ht="15" customHeight="1" s="15">
      <c r="AT2201" s="36">
        <f>IF(OR(AF2033="",AF2033=7),"","A")</f>
        <v/>
      </c>
      <c r="AU2201" s="36">
        <f>IF(OR(AF2033="",AF2033&gt;=6),"","A")</f>
        <v/>
      </c>
    </row>
    <row r="2202" hidden="1" outlineLevel="1" ht="15" customHeight="1" s="15">
      <c r="AT2202" s="36">
        <f>IF(OR(AF2033="",AF2033=7),"","F")</f>
        <v/>
      </c>
      <c r="AU2202" s="36">
        <f>IF(OR(AF2033="",AF2033&gt;=6),"","F")</f>
        <v/>
      </c>
    </row>
    <row r="2203" hidden="1" outlineLevel="1" ht="15" customHeight="1" s="15">
      <c r="AT2203" s="36">
        <f>IF(OR(AF2033="",AF2033=7),"","C")</f>
        <v/>
      </c>
      <c r="AU2203" s="36">
        <f>IF(OR(AF2033="",AF2033&gt;=6),"","C")</f>
        <v/>
      </c>
    </row>
    <row r="2204" hidden="1" outlineLevel="1" ht="15" customHeight="1" s="15">
      <c r="AT2204" s="36">
        <f>IF(AND(AF2033&lt;&gt;"",AF2033=7),"R","")</f>
        <v/>
      </c>
      <c r="AU2204" s="36">
        <f>IF(AND(AF2033&lt;&gt;"",AF2033&gt;=6),"R","")</f>
        <v/>
      </c>
    </row>
    <row r="2205" hidden="1" outlineLevel="1" ht="15" customHeight="1" s="15">
      <c r="AT2205" s="36">
        <f>IF(OR(AG2033="",AG2033=7),"","P")</f>
        <v/>
      </c>
      <c r="AU2205" s="36">
        <f>IF(OR(AG2033="",AG2033&gt;=6),"","P")</f>
        <v/>
      </c>
    </row>
    <row r="2206" hidden="1" outlineLevel="1" ht="15" customHeight="1" s="15">
      <c r="AT2206" s="36">
        <f>IF(OR(AG2033="",AG2033=7),"","D")</f>
        <v/>
      </c>
      <c r="AU2206" s="36">
        <f>IF(OR(AG2033="",AG2033&gt;=6),"","D")</f>
        <v/>
      </c>
    </row>
    <row r="2207" hidden="1" outlineLevel="1" ht="15" customHeight="1" s="15">
      <c r="AT2207" s="36">
        <f>IF(OR(AG2033="",AG2033=7),"","A")</f>
        <v/>
      </c>
      <c r="AU2207" s="36">
        <f>IF(OR(AG2033="",AG2033&gt;=6),"","A")</f>
        <v/>
      </c>
    </row>
    <row r="2208" hidden="1" outlineLevel="1" ht="15" customHeight="1" s="15">
      <c r="AT2208" s="36">
        <f>IF(OR(AG2033="",AG2033=7),"","F")</f>
        <v/>
      </c>
      <c r="AU2208" s="36">
        <f>IF(OR(AG2033="",AG2033&gt;=6),"","F")</f>
        <v/>
      </c>
    </row>
    <row r="2209" hidden="1" outlineLevel="1" ht="15" customHeight="1" s="15">
      <c r="AT2209" s="36">
        <f>IF(OR(AG2033="",AG2033=7),"","C")</f>
        <v/>
      </c>
      <c r="AU2209" s="36">
        <f>IF(OR(AG2033="",AG2033&gt;=6),"","C")</f>
        <v/>
      </c>
    </row>
    <row r="2210" hidden="1" outlineLevel="1" ht="15" customHeight="1" s="15">
      <c r="AT2210" s="36">
        <f>IF(AND(AG2033&lt;&gt;"",AG2033=7),"R","")</f>
        <v/>
      </c>
      <c r="AU2210" s="36">
        <f>IF(AND(AG2033&lt;&gt;"",AG2033&gt;=6),"R","")</f>
        <v/>
      </c>
    </row>
    <row r="2211" hidden="1" outlineLevel="1" ht="15" customHeight="1" s="15">
      <c r="AT2211" s="36">
        <f>IF(OR(AH2033="",AH2033=7),"","P")</f>
        <v/>
      </c>
      <c r="AU2211" s="36">
        <f>IF(OR(AH2033="",AH2033&gt;=6),"","P")</f>
        <v/>
      </c>
    </row>
    <row r="2212" hidden="1" outlineLevel="1" ht="15" customHeight="1" s="15">
      <c r="AT2212" s="36">
        <f>IF(OR(AH2033="",AH2033=7),"","D")</f>
        <v/>
      </c>
      <c r="AU2212" s="36">
        <f>IF(OR(AH2033="",AH2033&gt;=6),"","D")</f>
        <v/>
      </c>
    </row>
    <row r="2213" hidden="1" outlineLevel="1" ht="15" customHeight="1" s="15">
      <c r="AT2213" s="36">
        <f>IF(OR(AH2033="",AH2033=7),"","A")</f>
        <v/>
      </c>
      <c r="AU2213" s="36">
        <f>IF(OR(AH2033="",AH2033&gt;=6),"","A")</f>
        <v/>
      </c>
    </row>
    <row r="2214" hidden="1" outlineLevel="1" ht="15" customHeight="1" s="15">
      <c r="AT2214" s="36">
        <f>IF(OR(AH2033="",AH2033=7),"","F")</f>
        <v/>
      </c>
      <c r="AU2214" s="36">
        <f>IF(OR(AH2033="",AH2033&gt;=6),"","F")</f>
        <v/>
      </c>
    </row>
    <row r="2215" hidden="1" outlineLevel="1" ht="15" customHeight="1" s="15">
      <c r="AT2215" s="36">
        <f>IF(OR(AH2033="",AH2033=7),"","C")</f>
        <v/>
      </c>
      <c r="AU2215" s="36">
        <f>IF(OR(AH2033="",AH2033&gt;=6),"","C")</f>
        <v/>
      </c>
    </row>
    <row r="2216" hidden="1" outlineLevel="1" ht="15" customHeight="1" s="15">
      <c r="AT2216" s="36">
        <f>IF(AND(AH2033&lt;&gt;"",AH2033=7),"R","")</f>
        <v/>
      </c>
      <c r="AU2216" s="36">
        <f>IF(AND(AH2033&lt;&gt;"",AH2033&gt;=6),"R","")</f>
        <v/>
      </c>
    </row>
    <row r="2217" hidden="1" outlineLevel="1" ht="15" customHeight="1" s="15">
      <c r="AT2217" s="36">
        <f>IF(OR(AI2033="",AI2033=7),"","P")</f>
        <v/>
      </c>
      <c r="AU2217" s="36">
        <f>IF(OR(AI2033="",AI2033&gt;=6),"","P")</f>
        <v/>
      </c>
    </row>
    <row r="2218" hidden="1" outlineLevel="1" ht="15" customHeight="1" s="15">
      <c r="AT2218" s="36">
        <f>IF(OR(AI2033="",AI2033=7),"","D")</f>
        <v/>
      </c>
      <c r="AU2218" s="36">
        <f>IF(OR(AI2033="",AI2033&gt;=6),"","D")</f>
        <v/>
      </c>
    </row>
    <row r="2219" hidden="1" outlineLevel="1" ht="15" customHeight="1" s="15">
      <c r="AT2219" s="36">
        <f>IF(OR(AI2033="",AI2033=7),"","A")</f>
        <v/>
      </c>
      <c r="AU2219" s="36">
        <f>IF(OR(AI2033="",AI2033&gt;=6),"","A")</f>
        <v/>
      </c>
    </row>
    <row r="2220" hidden="1" outlineLevel="1" ht="15" customHeight="1" s="15">
      <c r="AT2220" s="36">
        <f>IF(OR(AI2033="",AI2033=7),"","F")</f>
        <v/>
      </c>
      <c r="AU2220" s="36">
        <f>IF(OR(AI2033="",AI2033&gt;=6),"","F")</f>
        <v/>
      </c>
    </row>
    <row r="2221" hidden="1" outlineLevel="1" ht="15" customHeight="1" s="15">
      <c r="AT2221" s="36">
        <f>IF(OR(AI2033="",AI2033=7),"","C")</f>
        <v/>
      </c>
      <c r="AU2221" s="36">
        <f>IF(OR(AI2033="",AI2033&gt;=6),"","C")</f>
        <v/>
      </c>
    </row>
    <row r="2222" hidden="1" outlineLevel="1" ht="15" customHeight="1" s="15">
      <c r="AT2222" s="36">
        <f>IF(AND(AI2033&lt;&gt;"",AI2033=7),"R","")</f>
        <v/>
      </c>
      <c r="AU2222" s="36">
        <f>IF(AND(AI2033&lt;&gt;"",AI2033&gt;=6),"R","")</f>
        <v/>
      </c>
    </row>
    <row r="2223" hidden="1" outlineLevel="1" ht="15" customHeight="1" s="15">
      <c r="AT2223" s="36">
        <f>IF(OR(AJ2033="",AJ2033=7),"","P")</f>
        <v/>
      </c>
      <c r="AU2223" s="36">
        <f>IF(OR(AJ2033="",AJ2033&gt;=6),"","P")</f>
        <v/>
      </c>
    </row>
    <row r="2224" hidden="1" outlineLevel="1" ht="15" customHeight="1" s="15">
      <c r="AT2224" s="36">
        <f>IF(OR(AJ2033="",AJ2033=7),"","D")</f>
        <v/>
      </c>
      <c r="AU2224" s="36">
        <f>IF(OR(AJ2033="",AJ2033&gt;=6),"","D")</f>
        <v/>
      </c>
    </row>
    <row r="2225" hidden="1" outlineLevel="1" ht="15" customHeight="1" s="15">
      <c r="AT2225" s="36">
        <f>IF(OR(AJ2033="",AJ2033=7),"","A")</f>
        <v/>
      </c>
      <c r="AU2225" s="36">
        <f>IF(OR(AJ2033="",AJ2033&gt;=6),"","A")</f>
        <v/>
      </c>
    </row>
    <row r="2226" hidden="1" outlineLevel="1" ht="15" customHeight="1" s="15">
      <c r="AT2226" s="36">
        <f>IF(OR(AJ2033="",AJ2033=7),"","F")</f>
        <v/>
      </c>
      <c r="AU2226" s="36">
        <f>IF(OR(AJ2033="",AJ2033&gt;=6),"","F")</f>
        <v/>
      </c>
    </row>
    <row r="2227" hidden="1" outlineLevel="1" ht="15" customHeight="1" s="15">
      <c r="AT2227" s="36">
        <f>IF(OR(AJ2033="",AJ2033=7),"","C")</f>
        <v/>
      </c>
      <c r="AU2227" s="36">
        <f>IF(OR(AJ2033="",AJ2033&gt;=6),"","C")</f>
        <v/>
      </c>
    </row>
    <row r="2228" hidden="1" outlineLevel="1" ht="15" customHeight="1" s="15">
      <c r="AT2228" s="36">
        <f>IF(AND(AJ2033&lt;&gt;"",AJ2033=7),"R","")</f>
        <v/>
      </c>
      <c r="AU2228" s="36">
        <f>IF(AND(AJ2033&lt;&gt;"",AJ2033&gt;=6),"R","")</f>
        <v/>
      </c>
    </row>
    <row r="2229" hidden="1" outlineLevel="1" ht="15" customHeight="1" s="15">
      <c r="AT2229" s="36">
        <f>IF(OR(AK2033="",AK2033=7),"","P")</f>
        <v/>
      </c>
      <c r="AU2229" s="36">
        <f>IF(OR(AK2033="",AK2033&gt;=6),"","P")</f>
        <v/>
      </c>
    </row>
    <row r="2230" hidden="1" outlineLevel="1" ht="15" customHeight="1" s="15">
      <c r="AT2230" s="36">
        <f>IF(OR(AK2033="",AK2033=7),"","D")</f>
        <v/>
      </c>
      <c r="AU2230" s="36">
        <f>IF(OR(AK2033="",AK2033&gt;=6),"","D")</f>
        <v/>
      </c>
    </row>
    <row r="2231" hidden="1" outlineLevel="1" ht="15" customHeight="1" s="15">
      <c r="AT2231" s="36">
        <f>IF(OR(AK2033="",AK2033=7),"","A")</f>
        <v/>
      </c>
      <c r="AU2231" s="36">
        <f>IF(OR(AK2033="",AK2033&gt;=6),"","A")</f>
        <v/>
      </c>
    </row>
    <row r="2232" hidden="1" outlineLevel="1" ht="15" customHeight="1" s="15">
      <c r="AT2232" s="36">
        <f>IF(OR(AK2033="",AK2033=7),"","F")</f>
        <v/>
      </c>
      <c r="AU2232" s="36">
        <f>IF(OR(AK2033="",AK2033&gt;=6),"","F")</f>
        <v/>
      </c>
    </row>
    <row r="2233" hidden="1" outlineLevel="1" ht="15" customHeight="1" s="15">
      <c r="AT2233" s="36">
        <f>IF(OR(AK2033="",AK2033=7),"","C")</f>
        <v/>
      </c>
      <c r="AU2233" s="36">
        <f>IF(OR(AK2033="",AK2033&gt;=6),"","C")</f>
        <v/>
      </c>
    </row>
    <row r="2234" hidden="1" outlineLevel="1" ht="15" customHeight="1" s="15">
      <c r="AT2234" s="36">
        <f>IF(AND(AK2033&lt;&gt;"",AK2033=7),"R","")</f>
        <v/>
      </c>
      <c r="AU2234" s="36">
        <f>IF(AND(AK2033&lt;&gt;"",AK2033&gt;=6),"R","")</f>
        <v/>
      </c>
    </row>
    <row r="2235" hidden="1" outlineLevel="1" ht="15" customHeight="1" s="15">
      <c r="AT2235" s="36">
        <f>IF(OR(AL2033="",AL2033=7),"","P")</f>
        <v/>
      </c>
      <c r="AU2235" s="36">
        <f>IF(OR(AL2033="",AL2033&gt;=6),"","P")</f>
        <v/>
      </c>
    </row>
    <row r="2236" hidden="1" outlineLevel="1" ht="15" customHeight="1" s="15">
      <c r="AT2236" s="36">
        <f>IF(OR(AL2033="",AL2033=7),"","D")</f>
        <v/>
      </c>
      <c r="AU2236" s="36">
        <f>IF(OR(AL2033="",AL2033&gt;=6),"","D")</f>
        <v/>
      </c>
    </row>
    <row r="2237" hidden="1" outlineLevel="1" ht="15" customHeight="1" s="15">
      <c r="AT2237" s="36">
        <f>IF(OR(AL2033="",AL2033=7),"","A")</f>
        <v/>
      </c>
      <c r="AU2237" s="36">
        <f>IF(OR(AL2033="",AL2033&gt;=6),"","A")</f>
        <v/>
      </c>
    </row>
    <row r="2238" hidden="1" outlineLevel="1" ht="15" customHeight="1" s="15">
      <c r="AT2238" s="36">
        <f>IF(OR(AL2033="",AL2033=7),"","F")</f>
        <v/>
      </c>
      <c r="AU2238" s="36">
        <f>IF(OR(AL2033="",AL2033&gt;=6),"","F")</f>
        <v/>
      </c>
    </row>
    <row r="2239" hidden="1" outlineLevel="1" ht="15" customHeight="1" s="15">
      <c r="AT2239" s="36">
        <f>IF(OR(AL2033="",AL2033=7),"","C")</f>
        <v/>
      </c>
      <c r="AU2239" s="36">
        <f>IF(OR(AL2033="",AL2033&gt;=6),"","C")</f>
        <v/>
      </c>
    </row>
    <row r="2240" hidden="1" outlineLevel="1" ht="15" customHeight="1" s="15">
      <c r="AT2240" s="36">
        <f>IF(AND(AL2033&lt;&gt;"",AL2033=7),"R","")</f>
        <v/>
      </c>
      <c r="AU2240" s="36">
        <f>IF(AND(AL2033&lt;&gt;"",AL2033&gt;=6),"R","")</f>
        <v/>
      </c>
    </row>
    <row r="2241" hidden="1" outlineLevel="1" ht="15" customHeight="1" s="15">
      <c r="AT2241" s="36">
        <f>IF(OR(AM2033="",AM2033=7),"","P")</f>
        <v/>
      </c>
      <c r="AU2241" s="36">
        <f>IF(OR(AM2033="",AM2033&gt;=6),"","P")</f>
        <v/>
      </c>
    </row>
    <row r="2242" hidden="1" outlineLevel="1" ht="15" customHeight="1" s="15">
      <c r="AT2242" s="36">
        <f>IF(OR(AM2033="",AM2033=7),"","D")</f>
        <v/>
      </c>
      <c r="AU2242" s="36">
        <f>IF(OR(AM2033="",AM2033&gt;=6),"","D")</f>
        <v/>
      </c>
    </row>
    <row r="2243" hidden="1" outlineLevel="1" ht="15" customHeight="1" s="15">
      <c r="AT2243" s="36">
        <f>IF(OR(AM2033="",AM2033=7),"","A")</f>
        <v/>
      </c>
      <c r="AU2243" s="36">
        <f>IF(OR(AM2033="",AM2033&gt;=6),"","A")</f>
        <v/>
      </c>
    </row>
    <row r="2244" hidden="1" outlineLevel="1" ht="15" customHeight="1" s="15">
      <c r="AT2244" s="36">
        <f>IF(OR(AM2033="",AM2033=7),"","F")</f>
        <v/>
      </c>
      <c r="AU2244" s="36">
        <f>IF(OR(AM2033="",AM2033&gt;=6),"","F")</f>
        <v/>
      </c>
    </row>
    <row r="2245" hidden="1" outlineLevel="1" ht="15" customHeight="1" s="15">
      <c r="AT2245" s="36">
        <f>IF(OR(AM2033="",AM2033=7),"","C")</f>
        <v/>
      </c>
      <c r="AU2245" s="36">
        <f>IF(OR(AM2033="",AM2033&gt;=6),"","C")</f>
        <v/>
      </c>
    </row>
    <row r="2246" hidden="1" outlineLevel="1" ht="15" customHeight="1" s="15">
      <c r="AT2246" s="36">
        <f>IF(AND(AM2033&lt;&gt;"",AM2033=7),"R","")</f>
        <v/>
      </c>
      <c r="AU2246" s="36">
        <f>IF(AND(AM2033&lt;&gt;"",AM2033&gt;=6),"R","")</f>
        <v/>
      </c>
    </row>
    <row r="2247" hidden="1" outlineLevel="1" ht="15" customHeight="1" s="15">
      <c r="AT2247" s="36">
        <f>IF(OR(AN2033="",AN2033=7),"","P")</f>
        <v/>
      </c>
      <c r="AU2247" s="36">
        <f>IF(OR(AN2033="",AN2033&gt;=6),"","P")</f>
        <v/>
      </c>
    </row>
    <row r="2248" hidden="1" outlineLevel="1" ht="15" customHeight="1" s="15">
      <c r="AT2248" s="36">
        <f>IF(OR(AN2033="",AN2033=7),"","D")</f>
        <v/>
      </c>
      <c r="AU2248" s="36">
        <f>IF(OR(AN2033="",AN2033&gt;=6),"","D")</f>
        <v/>
      </c>
    </row>
    <row r="2249" hidden="1" outlineLevel="1" ht="15" customHeight="1" s="15">
      <c r="AT2249" s="36">
        <f>IF(OR(AN2033="",AN2033=7),"","A")</f>
        <v/>
      </c>
      <c r="AU2249" s="36">
        <f>IF(OR(AN2033="",AN2033&gt;=6),"","A")</f>
        <v/>
      </c>
    </row>
    <row r="2250" hidden="1" outlineLevel="1" ht="15" customHeight="1" s="15">
      <c r="AT2250" s="36">
        <f>IF(OR(AN2033="",AN2033=7),"","F")</f>
        <v/>
      </c>
      <c r="AU2250" s="36">
        <f>IF(OR(AN2033="",AN2033&gt;=6),"","F")</f>
        <v/>
      </c>
    </row>
    <row r="2251" hidden="1" outlineLevel="1" ht="15" customHeight="1" s="15">
      <c r="AT2251" s="36">
        <f>IF(OR(AN2033="",AN2033=7),"","C")</f>
        <v/>
      </c>
      <c r="AU2251" s="36">
        <f>IF(OR(AN2033="",AN2033&gt;=6),"","C")</f>
        <v/>
      </c>
    </row>
    <row r="2252" hidden="1" outlineLevel="1" ht="15" customHeight="1" s="15">
      <c r="AT2252" s="36">
        <f>IF(AND(AN2033&lt;&gt;"",AN2033=7),"R","")</f>
        <v/>
      </c>
      <c r="AU2252" s="36">
        <f>IF(AND(AN2033&lt;&gt;"",AN2033&gt;=6),"R","")</f>
        <v/>
      </c>
    </row>
    <row r="2253" hidden="1" outlineLevel="1" ht="15" customHeight="1" s="15">
      <c r="AT2253" s="36">
        <f>IF(OR(AO2033="",AO2033=7),"","P")</f>
        <v/>
      </c>
      <c r="AU2253" s="36">
        <f>IF(OR(AO2033="",AO2033&gt;=6),"","P")</f>
        <v/>
      </c>
    </row>
    <row r="2254" hidden="1" outlineLevel="1" ht="15" customHeight="1" s="15">
      <c r="AT2254" s="36">
        <f>IF(OR(AO2033="",AO2033=7),"","D")</f>
        <v/>
      </c>
      <c r="AU2254" s="36">
        <f>IF(OR(AO2033="",AO2033&gt;=6),"","D")</f>
        <v/>
      </c>
    </row>
    <row r="2255" hidden="1" outlineLevel="1" ht="15" customHeight="1" s="15">
      <c r="AT2255" s="36">
        <f>IF(OR(AO2033="",AO2033=7),"","A")</f>
        <v/>
      </c>
      <c r="AU2255" s="36">
        <f>IF(OR(AO2033="",AO2033&gt;=6),"","A")</f>
        <v/>
      </c>
    </row>
    <row r="2256" hidden="1" outlineLevel="1" ht="15" customHeight="1" s="15">
      <c r="AT2256" s="36">
        <f>IF(OR(AO2033="",AO2033=7),"","F")</f>
        <v/>
      </c>
      <c r="AU2256" s="36">
        <f>IF(OR(AO2033="",AO2033&gt;=6),"","F")</f>
        <v/>
      </c>
    </row>
    <row r="2257" hidden="1" outlineLevel="1" ht="15" customHeight="1" s="15">
      <c r="AT2257" s="36">
        <f>IF(OR(AO2033="",AO2033=7),"","C")</f>
        <v/>
      </c>
      <c r="AU2257" s="36">
        <f>IF(OR(AO2033="",AO2033&gt;=6),"","C")</f>
        <v/>
      </c>
    </row>
    <row r="2258" hidden="1" outlineLevel="1" ht="15" customHeight="1" s="15">
      <c r="AT2258" s="36">
        <f>IF(AND(AO2033&lt;&gt;"",AO2033=7),"R","")</f>
        <v/>
      </c>
      <c r="AU2258" s="36">
        <f>IF(AND(AO2033&lt;&gt;"",AO2033&gt;=6),"R","")</f>
        <v/>
      </c>
    </row>
    <row r="2259" hidden="1" outlineLevel="1" ht="15" customHeight="1" s="15">
      <c r="AT2259" s="36">
        <f>IF(OR(AP2033="",AP2033=7),"","P")</f>
        <v/>
      </c>
      <c r="AU2259" s="36">
        <f>IF(OR(AP2033="",AP2033&gt;=6),"","P")</f>
        <v/>
      </c>
    </row>
    <row r="2260" hidden="1" outlineLevel="1" ht="15" customHeight="1" s="15">
      <c r="AT2260" s="36">
        <f>IF(OR(AP2033="",AP2033=7),"","D")</f>
        <v/>
      </c>
      <c r="AU2260" s="36">
        <f>IF(OR(AP2033="",AP2033&gt;=6),"","D")</f>
        <v/>
      </c>
    </row>
    <row r="2261" hidden="1" outlineLevel="1" ht="15" customHeight="1" s="15">
      <c r="AT2261" s="36">
        <f>IF(OR(AP2033="",AP2033=7),"","A")</f>
        <v/>
      </c>
      <c r="AU2261" s="36">
        <f>IF(OR(AP2033="",AP2033&gt;=6),"","A")</f>
        <v/>
      </c>
    </row>
    <row r="2262" hidden="1" outlineLevel="1" ht="15" customHeight="1" s="15">
      <c r="AT2262" s="36">
        <f>IF(OR(AP2033="",AP2033=7),"","F")</f>
        <v/>
      </c>
      <c r="AU2262" s="36">
        <f>IF(OR(AP2033="",AP2033&gt;=6),"","F")</f>
        <v/>
      </c>
    </row>
    <row r="2263" hidden="1" outlineLevel="1" ht="15" customHeight="1" s="15">
      <c r="AT2263" s="36">
        <f>IF(OR(AP2033="",AP2033=7),"","C")</f>
        <v/>
      </c>
      <c r="AU2263" s="36">
        <f>IF(OR(AP2033="",AP2033&gt;=6),"","C")</f>
        <v/>
      </c>
    </row>
    <row r="2264" hidden="1" outlineLevel="1" ht="15" customHeight="1" s="15">
      <c r="AT2264" s="36">
        <f>IF(AND(AP2033&lt;&gt;"",AP2033=7),"R","")</f>
        <v/>
      </c>
      <c r="AU2264" s="36">
        <f>IF(AND(AP2033&lt;&gt;"",AP2033&gt;=6),"R","")</f>
        <v/>
      </c>
    </row>
    <row r="2265" hidden="1" outlineLevel="1" ht="15" customHeight="1" s="15">
      <c r="AT2265" s="36">
        <f>IF(OR(AQ2033="",AQ2033=7),"","P")</f>
        <v/>
      </c>
      <c r="AU2265" s="36">
        <f>IF(OR(AQ2033="",AQ2033&gt;=6),"","P")</f>
        <v/>
      </c>
    </row>
    <row r="2266" hidden="1" outlineLevel="1" ht="15" customHeight="1" s="15">
      <c r="AT2266" s="36">
        <f>IF(OR(AQ2033="",AQ2033=7),"","D")</f>
        <v/>
      </c>
      <c r="AU2266" s="36">
        <f>IF(OR(AQ2033="",AQ2033&gt;=6),"","D")</f>
        <v/>
      </c>
    </row>
    <row r="2267" hidden="1" outlineLevel="1" ht="15" customHeight="1" s="15">
      <c r="AT2267" s="36">
        <f>IF(OR(AQ2033="",AQ2033=7),"","A")</f>
        <v/>
      </c>
      <c r="AU2267" s="36">
        <f>IF(OR(AQ2033="",AQ2033&gt;=6),"","A")</f>
        <v/>
      </c>
    </row>
    <row r="2268" hidden="1" outlineLevel="1" ht="15" customHeight="1" s="15">
      <c r="AT2268" s="36">
        <f>IF(OR(AQ2033="",AQ2033=7),"","F")</f>
        <v/>
      </c>
      <c r="AU2268" s="36">
        <f>IF(OR(AQ2033="",AQ2033&gt;=6),"","F")</f>
        <v/>
      </c>
    </row>
    <row r="2269" hidden="1" outlineLevel="1" ht="15" customHeight="1" s="15">
      <c r="AT2269" s="36">
        <f>IF(OR(AQ2033="",AQ2033=7),"","C")</f>
        <v/>
      </c>
      <c r="AU2269" s="36">
        <f>IF(OR(AQ2033="",AQ2033&gt;=6),"","C")</f>
        <v/>
      </c>
    </row>
    <row r="2270" hidden="1" outlineLevel="1" ht="15" customHeight="1" s="15">
      <c r="AT2270" s="36">
        <f>IF(AND(AQ2033&lt;&gt;"",AQ2033=7),"R","")</f>
        <v/>
      </c>
      <c r="AU2270" s="36">
        <f>IF(AND(AQ2033&lt;&gt;"",AQ2033&gt;=6),"R","")</f>
        <v/>
      </c>
    </row>
    <row r="2271" hidden="1" outlineLevel="1" ht="15" customHeight="1" s="15">
      <c r="AT2271" s="36">
        <f>IF(OR(AR2033="",AR2033=7),"","P")</f>
        <v/>
      </c>
      <c r="AU2271" s="36">
        <f>IF(OR(AR2033="",AR2033&gt;=6),"","P")</f>
        <v/>
      </c>
    </row>
    <row r="2272" hidden="1" outlineLevel="1" ht="15" customHeight="1" s="15">
      <c r="AT2272" s="36">
        <f>IF(OR(AR2033="",AR2033=7),"","D")</f>
        <v/>
      </c>
      <c r="AU2272" s="36">
        <f>IF(OR(AR2033="",AR2033&gt;=6),"","D")</f>
        <v/>
      </c>
    </row>
    <row r="2273" hidden="1" outlineLevel="1" ht="15" customHeight="1" s="15">
      <c r="AT2273" s="36">
        <f>IF(OR(AR2033="",AR2033=7),"","A")</f>
        <v/>
      </c>
      <c r="AU2273" s="36">
        <f>IF(OR(AR2033="",AR2033&gt;=6),"","A")</f>
        <v/>
      </c>
    </row>
    <row r="2274" hidden="1" outlineLevel="1" ht="15" customHeight="1" s="15">
      <c r="AT2274" s="36">
        <f>IF(OR(AR2033="",AR2033=7),"","F")</f>
        <v/>
      </c>
      <c r="AU2274" s="36">
        <f>IF(OR(AR2033="",AR2033&gt;=6),"","F")</f>
        <v/>
      </c>
    </row>
    <row r="2275" hidden="1" outlineLevel="1" ht="15" customHeight="1" s="15">
      <c r="AT2275" s="36">
        <f>IF(OR(AR2033="",AR2033=7),"","C")</f>
        <v/>
      </c>
      <c r="AU2275" s="36">
        <f>IF(OR(AR2033="",AR2033&gt;=6),"","C")</f>
        <v/>
      </c>
    </row>
    <row r="2276" hidden="1" outlineLevel="1" ht="15" customHeight="1" s="15">
      <c r="AT2276" s="36">
        <f>IF(AND(AR2033&lt;&gt;"",AR2033=7),"R","")</f>
        <v/>
      </c>
      <c r="AU2276" s="36">
        <f>IF(AND(AR2033&lt;&gt;"",AR2033&gt;=6),"R","")</f>
        <v/>
      </c>
    </row>
    <row r="2277" hidden="1" outlineLevel="1" ht="15" customHeight="1" s="15">
      <c r="AT2277" s="36">
        <f>IF(OR(AS2033="",AS2033=7),"","P")</f>
        <v/>
      </c>
      <c r="AU2277" s="36">
        <f>IF(OR(AS2033="",AS2033&gt;=6),"","P")</f>
        <v/>
      </c>
    </row>
    <row r="2278" hidden="1" outlineLevel="1" ht="15" customHeight="1" s="15">
      <c r="AT2278" s="36">
        <f>IF(OR(AS2033="",AS2033=7),"","D")</f>
        <v/>
      </c>
      <c r="AU2278" s="36">
        <f>IF(OR(AS2033="",AS2033&gt;=6),"","D")</f>
        <v/>
      </c>
    </row>
    <row r="2279" hidden="1" outlineLevel="1" ht="15" customHeight="1" s="15">
      <c r="AT2279" s="36">
        <f>IF(OR(AS2033="",AS2033=7),"","A")</f>
        <v/>
      </c>
      <c r="AU2279" s="36">
        <f>IF(OR(AS2033="",AS2033&gt;=6),"","A")</f>
        <v/>
      </c>
    </row>
    <row r="2280" hidden="1" outlineLevel="1" ht="15" customHeight="1" s="15">
      <c r="AT2280" s="36">
        <f>IF(OR(AS2033="",AS2033=7),"","F")</f>
        <v/>
      </c>
      <c r="AU2280" s="36">
        <f>IF(OR(AS2033="",AS2033&gt;=6),"","F")</f>
        <v/>
      </c>
    </row>
    <row r="2281" hidden="1" outlineLevel="1" ht="15" customHeight="1" s="15">
      <c r="AT2281" s="36">
        <f>IF(OR(AS2033="",AS2033=7),"","C")</f>
        <v/>
      </c>
      <c r="AU2281" s="36">
        <f>IF(OR(AS2033="",AS2033&gt;=6),"","C")</f>
        <v/>
      </c>
    </row>
    <row r="2282" hidden="1" outlineLevel="1" ht="15" customHeight="1" s="15">
      <c r="AT2282" s="36">
        <f>IF(AND(AS2033&lt;&gt;"",AS2033=7),"R","")</f>
        <v/>
      </c>
      <c r="AU2282" s="36">
        <f>IF(AND(AS2033&lt;&gt;"",AS2033&gt;=6),"R","")</f>
        <v/>
      </c>
    </row>
    <row r="2283" ht="21.75" customHeight="1" s="15">
      <c r="B2283" s="6" t="inlineStr">
        <is>
          <t>ℹ  Grille de pointage Septembre — P/D/A/F/C/R, jours prévus/réels/absence calculés (jours ouvrables réels, WEEKDAY). R ne se propose que le jour de repos (repos exceptionnellement travaillé, +majoration). Listes techniques et ligne de calendrier repliées par défaut.</t>
        </is>
      </c>
    </row>
    <row r="2285" ht="19.5" customHeight="1" s="15">
      <c r="B2285" s="71">
        <f>"  OCTOBRE " &amp; PARAMETRES!$C$29</f>
        <v/>
      </c>
    </row>
    <row r="2286" hidden="1" ht="15" customHeight="1" s="15">
      <c r="B2286" s="36" t="inlineStr">
        <is>
          <t>Jour sem. (technique)</t>
        </is>
      </c>
      <c r="O2286" s="37">
        <f>IF(1&gt;DAY(EOMONTH(DATE(PARAMETRES!$C$29,10,1),0)),"",WEEKDAY(DATE(PARAMETRES!$C$29,10,1),2))</f>
        <v/>
      </c>
      <c r="P2286" s="37">
        <f>IF(2&gt;DAY(EOMONTH(DATE(PARAMETRES!$C$29,10,1),0)),"",WEEKDAY(DATE(PARAMETRES!$C$29,10,2),2))</f>
        <v/>
      </c>
      <c r="Q2286" s="37">
        <f>IF(3&gt;DAY(EOMONTH(DATE(PARAMETRES!$C$29,10,1),0)),"",WEEKDAY(DATE(PARAMETRES!$C$29,10,3),2))</f>
        <v/>
      </c>
      <c r="R2286" s="37">
        <f>IF(4&gt;DAY(EOMONTH(DATE(PARAMETRES!$C$29,10,1),0)),"",WEEKDAY(DATE(PARAMETRES!$C$29,10,4),2))</f>
        <v/>
      </c>
      <c r="S2286" s="37">
        <f>IF(5&gt;DAY(EOMONTH(DATE(PARAMETRES!$C$29,10,1),0)),"",WEEKDAY(DATE(PARAMETRES!$C$29,10,5),2))</f>
        <v/>
      </c>
      <c r="T2286" s="37">
        <f>IF(6&gt;DAY(EOMONTH(DATE(PARAMETRES!$C$29,10,1),0)),"",WEEKDAY(DATE(PARAMETRES!$C$29,10,6),2))</f>
        <v/>
      </c>
      <c r="U2286" s="37">
        <f>IF(7&gt;DAY(EOMONTH(DATE(PARAMETRES!$C$29,10,1),0)),"",WEEKDAY(DATE(PARAMETRES!$C$29,10,7),2))</f>
        <v/>
      </c>
      <c r="V2286" s="37">
        <f>IF(8&gt;DAY(EOMONTH(DATE(PARAMETRES!$C$29,10,1),0)),"",WEEKDAY(DATE(PARAMETRES!$C$29,10,8),2))</f>
        <v/>
      </c>
      <c r="W2286" s="37">
        <f>IF(9&gt;DAY(EOMONTH(DATE(PARAMETRES!$C$29,10,1),0)),"",WEEKDAY(DATE(PARAMETRES!$C$29,10,9),2))</f>
        <v/>
      </c>
      <c r="X2286" s="37">
        <f>IF(10&gt;DAY(EOMONTH(DATE(PARAMETRES!$C$29,10,1),0)),"",WEEKDAY(DATE(PARAMETRES!$C$29,10,10),2))</f>
        <v/>
      </c>
      <c r="Y2286" s="37">
        <f>IF(11&gt;DAY(EOMONTH(DATE(PARAMETRES!$C$29,10,1),0)),"",WEEKDAY(DATE(PARAMETRES!$C$29,10,11),2))</f>
        <v/>
      </c>
      <c r="Z2286" s="37">
        <f>IF(12&gt;DAY(EOMONTH(DATE(PARAMETRES!$C$29,10,1),0)),"",WEEKDAY(DATE(PARAMETRES!$C$29,10,12),2))</f>
        <v/>
      </c>
      <c r="AA2286" s="37">
        <f>IF(13&gt;DAY(EOMONTH(DATE(PARAMETRES!$C$29,10,1),0)),"",WEEKDAY(DATE(PARAMETRES!$C$29,10,13),2))</f>
        <v/>
      </c>
      <c r="AB2286" s="37">
        <f>IF(14&gt;DAY(EOMONTH(DATE(PARAMETRES!$C$29,10,1),0)),"",WEEKDAY(DATE(PARAMETRES!$C$29,10,14),2))</f>
        <v/>
      </c>
      <c r="AC2286" s="37">
        <f>IF(15&gt;DAY(EOMONTH(DATE(PARAMETRES!$C$29,10,1),0)),"",WEEKDAY(DATE(PARAMETRES!$C$29,10,15),2))</f>
        <v/>
      </c>
      <c r="AD2286" s="37">
        <f>IF(16&gt;DAY(EOMONTH(DATE(PARAMETRES!$C$29,10,1),0)),"",WEEKDAY(DATE(PARAMETRES!$C$29,10,16),2))</f>
        <v/>
      </c>
      <c r="AE2286" s="37">
        <f>IF(17&gt;DAY(EOMONTH(DATE(PARAMETRES!$C$29,10,1),0)),"",WEEKDAY(DATE(PARAMETRES!$C$29,10,17),2))</f>
        <v/>
      </c>
      <c r="AF2286" s="37">
        <f>IF(18&gt;DAY(EOMONTH(DATE(PARAMETRES!$C$29,10,1),0)),"",WEEKDAY(DATE(PARAMETRES!$C$29,10,18),2))</f>
        <v/>
      </c>
      <c r="AG2286" s="37">
        <f>IF(19&gt;DAY(EOMONTH(DATE(PARAMETRES!$C$29,10,1),0)),"",WEEKDAY(DATE(PARAMETRES!$C$29,10,19),2))</f>
        <v/>
      </c>
      <c r="AH2286" s="37">
        <f>IF(20&gt;DAY(EOMONTH(DATE(PARAMETRES!$C$29,10,1),0)),"",WEEKDAY(DATE(PARAMETRES!$C$29,10,20),2))</f>
        <v/>
      </c>
      <c r="AI2286" s="37">
        <f>IF(21&gt;DAY(EOMONTH(DATE(PARAMETRES!$C$29,10,1),0)),"",WEEKDAY(DATE(PARAMETRES!$C$29,10,21),2))</f>
        <v/>
      </c>
      <c r="AJ2286" s="37">
        <f>IF(22&gt;DAY(EOMONTH(DATE(PARAMETRES!$C$29,10,1),0)),"",WEEKDAY(DATE(PARAMETRES!$C$29,10,22),2))</f>
        <v/>
      </c>
      <c r="AK2286" s="37">
        <f>IF(23&gt;DAY(EOMONTH(DATE(PARAMETRES!$C$29,10,1),0)),"",WEEKDAY(DATE(PARAMETRES!$C$29,10,23),2))</f>
        <v/>
      </c>
      <c r="AL2286" s="37">
        <f>IF(24&gt;DAY(EOMONTH(DATE(PARAMETRES!$C$29,10,1),0)),"",WEEKDAY(DATE(PARAMETRES!$C$29,10,24),2))</f>
        <v/>
      </c>
      <c r="AM2286" s="37">
        <f>IF(25&gt;DAY(EOMONTH(DATE(PARAMETRES!$C$29,10,1),0)),"",WEEKDAY(DATE(PARAMETRES!$C$29,10,25),2))</f>
        <v/>
      </c>
      <c r="AN2286" s="37">
        <f>IF(26&gt;DAY(EOMONTH(DATE(PARAMETRES!$C$29,10,1),0)),"",WEEKDAY(DATE(PARAMETRES!$C$29,10,26),2))</f>
        <v/>
      </c>
      <c r="AO2286" s="37">
        <f>IF(27&gt;DAY(EOMONTH(DATE(PARAMETRES!$C$29,10,1),0)),"",WEEKDAY(DATE(PARAMETRES!$C$29,10,27),2))</f>
        <v/>
      </c>
      <c r="AP2286" s="37">
        <f>IF(28&gt;DAY(EOMONTH(DATE(PARAMETRES!$C$29,10,1),0)),"",WEEKDAY(DATE(PARAMETRES!$C$29,10,28),2))</f>
        <v/>
      </c>
      <c r="AQ2286" s="37">
        <f>IF(29&gt;DAY(EOMONTH(DATE(PARAMETRES!$C$29,10,1),0)),"",WEEKDAY(DATE(PARAMETRES!$C$29,10,29),2))</f>
        <v/>
      </c>
      <c r="AR2286" s="37">
        <f>IF(30&gt;DAY(EOMONTH(DATE(PARAMETRES!$C$29,10,1),0)),"",WEEKDAY(DATE(PARAMETRES!$C$29,10,30),2))</f>
        <v/>
      </c>
      <c r="AS2286" s="37">
        <f>IF(31&gt;DAY(EOMONTH(DATE(PARAMETRES!$C$29,10,1),0)),"",WEEKDAY(DATE(PARAMETRES!$C$29,10,31),2))</f>
        <v/>
      </c>
    </row>
    <row r="2287" ht="15" customHeight="1" s="15">
      <c r="B2287" s="38" t="inlineStr">
        <is>
          <t>Jour</t>
        </is>
      </c>
      <c r="O2287" s="39">
        <f>IF(O2286="","",CHOOSE(O2286,"L","M","M","J","V","S","D"))</f>
        <v/>
      </c>
      <c r="P2287" s="39">
        <f>IF(P2286="","",CHOOSE(P2286,"L","M","M","J","V","S","D"))</f>
        <v/>
      </c>
      <c r="Q2287" s="39">
        <f>IF(Q2286="","",CHOOSE(Q2286,"L","M","M","J","V","S","D"))</f>
        <v/>
      </c>
      <c r="R2287" s="39">
        <f>IF(R2286="","",CHOOSE(R2286,"L","M","M","J","V","S","D"))</f>
        <v/>
      </c>
      <c r="S2287" s="39">
        <f>IF(S2286="","",CHOOSE(S2286,"L","M","M","J","V","S","D"))</f>
        <v/>
      </c>
      <c r="T2287" s="39">
        <f>IF(T2286="","",CHOOSE(T2286,"L","M","M","J","V","S","D"))</f>
        <v/>
      </c>
      <c r="U2287" s="39">
        <f>IF(U2286="","",CHOOSE(U2286,"L","M","M","J","V","S","D"))</f>
        <v/>
      </c>
      <c r="V2287" s="39">
        <f>IF(V2286="","",CHOOSE(V2286,"L","M","M","J","V","S","D"))</f>
        <v/>
      </c>
      <c r="W2287" s="39">
        <f>IF(W2286="","",CHOOSE(W2286,"L","M","M","J","V","S","D"))</f>
        <v/>
      </c>
      <c r="X2287" s="39">
        <f>IF(X2286="","",CHOOSE(X2286,"L","M","M","J","V","S","D"))</f>
        <v/>
      </c>
      <c r="Y2287" s="39">
        <f>IF(Y2286="","",CHOOSE(Y2286,"L","M","M","J","V","S","D"))</f>
        <v/>
      </c>
      <c r="Z2287" s="39">
        <f>IF(Z2286="","",CHOOSE(Z2286,"L","M","M","J","V","S","D"))</f>
        <v/>
      </c>
      <c r="AA2287" s="39">
        <f>IF(AA2286="","",CHOOSE(AA2286,"L","M","M","J","V","S","D"))</f>
        <v/>
      </c>
      <c r="AB2287" s="39">
        <f>IF(AB2286="","",CHOOSE(AB2286,"L","M","M","J","V","S","D"))</f>
        <v/>
      </c>
      <c r="AC2287" s="39">
        <f>IF(AC2286="","",CHOOSE(AC2286,"L","M","M","J","V","S","D"))</f>
        <v/>
      </c>
      <c r="AD2287" s="39">
        <f>IF(AD2286="","",CHOOSE(AD2286,"L","M","M","J","V","S","D"))</f>
        <v/>
      </c>
      <c r="AE2287" s="39">
        <f>IF(AE2286="","",CHOOSE(AE2286,"L","M","M","J","V","S","D"))</f>
        <v/>
      </c>
      <c r="AF2287" s="39">
        <f>IF(AF2286="","",CHOOSE(AF2286,"L","M","M","J","V","S","D"))</f>
        <v/>
      </c>
      <c r="AG2287" s="39">
        <f>IF(AG2286="","",CHOOSE(AG2286,"L","M","M","J","V","S","D"))</f>
        <v/>
      </c>
      <c r="AH2287" s="39">
        <f>IF(AH2286="","",CHOOSE(AH2286,"L","M","M","J","V","S","D"))</f>
        <v/>
      </c>
      <c r="AI2287" s="39">
        <f>IF(AI2286="","",CHOOSE(AI2286,"L","M","M","J","V","S","D"))</f>
        <v/>
      </c>
      <c r="AJ2287" s="39">
        <f>IF(AJ2286="","",CHOOSE(AJ2286,"L","M","M","J","V","S","D"))</f>
        <v/>
      </c>
      <c r="AK2287" s="39">
        <f>IF(AK2286="","",CHOOSE(AK2286,"L","M","M","J","V","S","D"))</f>
        <v/>
      </c>
      <c r="AL2287" s="39">
        <f>IF(AL2286="","",CHOOSE(AL2286,"L","M","M","J","V","S","D"))</f>
        <v/>
      </c>
      <c r="AM2287" s="39">
        <f>IF(AM2286="","",CHOOSE(AM2286,"L","M","M","J","V","S","D"))</f>
        <v/>
      </c>
      <c r="AN2287" s="39">
        <f>IF(AN2286="","",CHOOSE(AN2286,"L","M","M","J","V","S","D"))</f>
        <v/>
      </c>
      <c r="AO2287" s="39">
        <f>IF(AO2286="","",CHOOSE(AO2286,"L","M","M","J","V","S","D"))</f>
        <v/>
      </c>
      <c r="AP2287" s="39">
        <f>IF(AP2286="","",CHOOSE(AP2286,"L","M","M","J","V","S","D"))</f>
        <v/>
      </c>
      <c r="AQ2287" s="39">
        <f>IF(AQ2286="","",CHOOSE(AQ2286,"L","M","M","J","V","S","D"))</f>
        <v/>
      </c>
      <c r="AR2287" s="39">
        <f>IF(AR2286="","",CHOOSE(AR2286,"L","M","M","J","V","S","D"))</f>
        <v/>
      </c>
      <c r="AS2287" s="39">
        <f>IF(AS2286="","",CHOOSE(AS2286,"L","M","M","J","V","S","D"))</f>
        <v/>
      </c>
    </row>
    <row r="2288" ht="24" customHeight="1" s="15">
      <c r="B2288" s="40" t="inlineStr">
        <is>
          <t>Mois</t>
        </is>
      </c>
      <c r="C2288" s="40" t="inlineStr">
        <is>
          <t>Matricule</t>
        </is>
      </c>
      <c r="D2288" s="40" t="inlineStr">
        <is>
          <t>Nom complet</t>
        </is>
      </c>
      <c r="E2288" s="40" t="inlineStr">
        <is>
          <t>Heures
sup.</t>
        </is>
      </c>
      <c r="F2288" s="40" t="inlineStr">
        <is>
          <t>Primes
(CDF)</t>
        </is>
      </c>
      <c r="G2288" s="40" t="inlineStr">
        <is>
          <t>Jours
abs.</t>
        </is>
      </c>
      <c r="H2288" s="40" t="inlineStr">
        <is>
          <t>Avance
(CDF)</t>
        </is>
      </c>
      <c r="I2288" s="40" t="inlineStr">
        <is>
          <t>Contrôle
auto.</t>
        </is>
      </c>
      <c r="J2288" s="40" t="inlineStr">
        <is>
          <t>Retenues
(CDF)</t>
        </is>
      </c>
      <c r="K2288" s="40" t="inlineStr">
        <is>
          <t>Motif</t>
        </is>
      </c>
      <c r="L2288" s="40" t="inlineStr">
        <is>
          <t>Observ.</t>
        </is>
      </c>
      <c r="M2288" s="40" t="inlineStr">
        <is>
          <t>Jours
prévus</t>
        </is>
      </c>
      <c r="N2288" s="40" t="inlineStr">
        <is>
          <t>Jours
réels</t>
        </is>
      </c>
      <c r="O2288" s="40" t="n">
        <v>1</v>
      </c>
      <c r="P2288" s="40" t="n">
        <v>2</v>
      </c>
      <c r="Q2288" s="40" t="n">
        <v>3</v>
      </c>
      <c r="R2288" s="40" t="n">
        <v>4</v>
      </c>
      <c r="S2288" s="40" t="n">
        <v>5</v>
      </c>
      <c r="T2288" s="40" t="n">
        <v>6</v>
      </c>
      <c r="U2288" s="40" t="n">
        <v>7</v>
      </c>
      <c r="V2288" s="40" t="n">
        <v>8</v>
      </c>
      <c r="W2288" s="40" t="n">
        <v>9</v>
      </c>
      <c r="X2288" s="40" t="n">
        <v>10</v>
      </c>
      <c r="Y2288" s="40" t="n">
        <v>11</v>
      </c>
      <c r="Z2288" s="40" t="n">
        <v>12</v>
      </c>
      <c r="AA2288" s="40" t="n">
        <v>13</v>
      </c>
      <c r="AB2288" s="40" t="n">
        <v>14</v>
      </c>
      <c r="AC2288" s="40" t="n">
        <v>15</v>
      </c>
      <c r="AD2288" s="40" t="n">
        <v>16</v>
      </c>
      <c r="AE2288" s="40" t="n">
        <v>17</v>
      </c>
      <c r="AF2288" s="40" t="n">
        <v>18</v>
      </c>
      <c r="AG2288" s="40" t="n">
        <v>19</v>
      </c>
      <c r="AH2288" s="40" t="n">
        <v>20</v>
      </c>
      <c r="AI2288" s="40" t="n">
        <v>21</v>
      </c>
      <c r="AJ2288" s="40" t="n">
        <v>22</v>
      </c>
      <c r="AK2288" s="40" t="n">
        <v>23</v>
      </c>
      <c r="AL2288" s="40" t="n">
        <v>24</v>
      </c>
      <c r="AM2288" s="40" t="n">
        <v>25</v>
      </c>
      <c r="AN2288" s="40" t="n">
        <v>26</v>
      </c>
      <c r="AO2288" s="40" t="n">
        <v>27</v>
      </c>
      <c r="AP2288" s="40" t="n">
        <v>28</v>
      </c>
      <c r="AQ2288" s="40" t="n">
        <v>29</v>
      </c>
      <c r="AR2288" s="40" t="n">
        <v>30</v>
      </c>
      <c r="AS2288" s="40" t="n">
        <v>31</v>
      </c>
      <c r="AY2288" s="40" t="inlineStr">
        <is>
          <t>Heures
nuit</t>
        </is>
      </c>
    </row>
    <row r="2289" hidden="1" outlineLevel="1" ht="15" customHeight="1" s="15">
      <c r="B2289" s="41" t="n">
        <v>10</v>
      </c>
      <c r="C2289" s="42">
        <f>IF(EMPLOYES!C15="","",EMPLOYES!C15)</f>
        <v/>
      </c>
      <c r="D2289" s="43">
        <f>IF(EMPLOYES!C15="","",EMPLOYES!D15)</f>
        <v/>
      </c>
      <c r="E2289" s="44" t="n"/>
      <c r="F2289" s="42" t="n"/>
      <c r="G2289" s="41">
        <f>IF($C2289="",0,MAX(0,$M2289-$N2289))</f>
        <v/>
      </c>
      <c r="H2289" s="45" t="n"/>
      <c r="I2289" s="41">
        <f>IF($C2289="","",IF(H2289="","OK",IF(H2289&gt;EMPLOYES!P15,"⚠ Avance &gt; salaire",IF(H2289&gt;EMPLOYES!P15*PARAMETRES!$C$218,"⚠ Avance élevée","OK"))))</f>
        <v/>
      </c>
      <c r="J2289" s="45" t="n"/>
      <c r="K2289" s="46" t="n"/>
      <c r="L2289" s="46" t="n"/>
      <c r="M2289" s="41">
        <f>IF($C2289="","",SUMPRODUCT((PARAMETRES!$B$38:$B$157=PARAMETRES!$C$29)*(PARAMETRES!$C$38:$C$157=10)*(IF(EMPLOYES!M15="5j",PARAMETRES!$I$38:$I$157,PARAMETRES!$H$38:$H$157))))</f>
        <v/>
      </c>
      <c r="N2289" s="41">
        <f>IF($C2289="","",SUMPRODUCT((O2289:AS2289="P")+(O2289:AS2289="F")+(O2289:AS2289="C")+0.5*(O2289:AS2289="D"),(1-((O2286:AS2286=6)*(EMPLOYES!M15="5j")))))</f>
        <v/>
      </c>
      <c r="O2289" s="46" t="n"/>
      <c r="P2289" s="46" t="n"/>
      <c r="Q2289" s="46" t="n"/>
      <c r="R2289" s="46" t="n"/>
      <c r="S2289" s="46" t="n"/>
      <c r="T2289" s="46" t="n"/>
      <c r="U2289" s="46" t="n"/>
      <c r="V2289" s="46" t="n"/>
      <c r="W2289" s="46" t="n"/>
      <c r="X2289" s="46" t="n"/>
      <c r="Y2289" s="46" t="n"/>
      <c r="Z2289" s="46" t="n"/>
      <c r="AA2289" s="46" t="n"/>
      <c r="AB2289" s="46" t="n"/>
      <c r="AC2289" s="46" t="n"/>
      <c r="AD2289" s="46" t="n"/>
      <c r="AE2289" s="46" t="n"/>
      <c r="AF2289" s="46" t="n"/>
      <c r="AG2289" s="46" t="n"/>
      <c r="AH2289" s="46" t="n"/>
      <c r="AI2289" s="46" t="n"/>
      <c r="AJ2289" s="46" t="n"/>
      <c r="AK2289" s="46" t="n"/>
      <c r="AL2289" s="46" t="n"/>
      <c r="AM2289" s="46" t="n"/>
      <c r="AN2289" s="46" t="n"/>
      <c r="AO2289" s="46" t="n"/>
      <c r="AP2289" s="46" t="n"/>
      <c r="AQ2289" s="46" t="n"/>
      <c r="AR2289" s="46" t="n"/>
      <c r="AS2289" s="46" t="n"/>
      <c r="AV2289" s="36">
        <f>IF($C2289="","",EMPLOYES!M15)</f>
        <v/>
      </c>
      <c r="AW2289" s="36">
        <f>IF($C2289="",0,SUMPRODUCT(--(O2289:AS2289="C")))</f>
        <v/>
      </c>
      <c r="AX2289" s="36">
        <f>IF($C2289="",0,SUMPRODUCT(--(O2289:AS2289="R")))</f>
        <v/>
      </c>
      <c r="AY2289" s="44" t="n"/>
    </row>
    <row r="2290" hidden="1" outlineLevel="1" ht="15" customHeight="1" s="15">
      <c r="B2290" s="41" t="n">
        <v>10</v>
      </c>
      <c r="C2290" s="42">
        <f>IF(EMPLOYES!C16="","",EMPLOYES!C16)</f>
        <v/>
      </c>
      <c r="D2290" s="43">
        <f>IF(EMPLOYES!C16="","",EMPLOYES!D16)</f>
        <v/>
      </c>
      <c r="E2290" s="44" t="n"/>
      <c r="F2290" s="42" t="n"/>
      <c r="G2290" s="41">
        <f>IF($C2290="",0,MAX(0,$M2290-$N2290))</f>
        <v/>
      </c>
      <c r="H2290" s="45" t="n"/>
      <c r="I2290" s="41">
        <f>IF($C2290="","",IF(H2290="","OK",IF(H2290&gt;EMPLOYES!P16,"⚠ Avance &gt; salaire",IF(H2290&gt;EMPLOYES!P16*PARAMETRES!$C$218,"⚠ Avance élevée","OK"))))</f>
        <v/>
      </c>
      <c r="J2290" s="45" t="n"/>
      <c r="K2290" s="46" t="n"/>
      <c r="L2290" s="46" t="n"/>
      <c r="M2290" s="41">
        <f>IF($C2290="","",SUMPRODUCT((PARAMETRES!$B$38:$B$157=PARAMETRES!$C$29)*(PARAMETRES!$C$38:$C$157=10)*(IF(EMPLOYES!M16="5j",PARAMETRES!$I$38:$I$157,PARAMETRES!$H$38:$H$157))))</f>
        <v/>
      </c>
      <c r="N2290" s="41">
        <f>IF($C2290="","",SUMPRODUCT((O2290:AS2290="P")+(O2290:AS2290="F")+(O2290:AS2290="C")+0.5*(O2290:AS2290="D"),(1-((O2286:AS2286=6)*(EMPLOYES!M16="5j")))))</f>
        <v/>
      </c>
      <c r="O2290" s="46" t="n"/>
      <c r="P2290" s="46" t="n"/>
      <c r="Q2290" s="46" t="n"/>
      <c r="R2290" s="46" t="n"/>
      <c r="S2290" s="46" t="n"/>
      <c r="T2290" s="46" t="n"/>
      <c r="U2290" s="46" t="n"/>
      <c r="V2290" s="46" t="n"/>
      <c r="W2290" s="46" t="n"/>
      <c r="X2290" s="46" t="n"/>
      <c r="Y2290" s="46" t="n"/>
      <c r="Z2290" s="46" t="n"/>
      <c r="AA2290" s="46" t="n"/>
      <c r="AB2290" s="46" t="n"/>
      <c r="AC2290" s="46" t="n"/>
      <c r="AD2290" s="46" t="n"/>
      <c r="AE2290" s="46" t="n"/>
      <c r="AF2290" s="46" t="n"/>
      <c r="AG2290" s="46" t="n"/>
      <c r="AH2290" s="46" t="n"/>
      <c r="AI2290" s="46" t="n"/>
      <c r="AJ2290" s="46" t="n"/>
      <c r="AK2290" s="46" t="n"/>
      <c r="AL2290" s="46" t="n"/>
      <c r="AM2290" s="46" t="n"/>
      <c r="AN2290" s="46" t="n"/>
      <c r="AO2290" s="46" t="n"/>
      <c r="AP2290" s="46" t="n"/>
      <c r="AQ2290" s="46" t="n"/>
      <c r="AR2290" s="46" t="n"/>
      <c r="AS2290" s="46" t="n"/>
      <c r="AV2290" s="36">
        <f>IF($C2290="","",EMPLOYES!M16)</f>
        <v/>
      </c>
      <c r="AW2290" s="36">
        <f>IF($C2290="",0,SUMPRODUCT(--(O2290:AS2290="C")))</f>
        <v/>
      </c>
      <c r="AX2290" s="36">
        <f>IF($C2290="",0,SUMPRODUCT(--(O2290:AS2290="R")))</f>
        <v/>
      </c>
      <c r="AY2290" s="44" t="n"/>
    </row>
    <row r="2291" hidden="1" outlineLevel="1" ht="15" customHeight="1" s="15">
      <c r="B2291" s="41" t="n">
        <v>10</v>
      </c>
      <c r="C2291" s="42">
        <f>IF(EMPLOYES!C17="","",EMPLOYES!C17)</f>
        <v/>
      </c>
      <c r="D2291" s="43">
        <f>IF(EMPLOYES!C17="","",EMPLOYES!D17)</f>
        <v/>
      </c>
      <c r="E2291" s="44" t="n"/>
      <c r="F2291" s="42" t="n"/>
      <c r="G2291" s="41">
        <f>IF($C2291="",0,MAX(0,$M2291-$N2291))</f>
        <v/>
      </c>
      <c r="H2291" s="45" t="n"/>
      <c r="I2291" s="41">
        <f>IF($C2291="","",IF(H2291="","OK",IF(H2291&gt;EMPLOYES!P17,"⚠ Avance &gt; salaire",IF(H2291&gt;EMPLOYES!P17*PARAMETRES!$C$218,"⚠ Avance élevée","OK"))))</f>
        <v/>
      </c>
      <c r="J2291" s="45" t="n"/>
      <c r="K2291" s="46" t="n"/>
      <c r="L2291" s="46" t="n"/>
      <c r="M2291" s="41">
        <f>IF($C2291="","",SUMPRODUCT((PARAMETRES!$B$38:$B$157=PARAMETRES!$C$29)*(PARAMETRES!$C$38:$C$157=10)*(IF(EMPLOYES!M17="5j",PARAMETRES!$I$38:$I$157,PARAMETRES!$H$38:$H$157))))</f>
        <v/>
      </c>
      <c r="N2291" s="41">
        <f>IF($C2291="","",SUMPRODUCT((O2291:AS2291="P")+(O2291:AS2291="F")+(O2291:AS2291="C")+0.5*(O2291:AS2291="D"),(1-((O2286:AS2286=6)*(EMPLOYES!M17="5j")))))</f>
        <v/>
      </c>
      <c r="O2291" s="46" t="n"/>
      <c r="P2291" s="46" t="n"/>
      <c r="Q2291" s="46" t="n"/>
      <c r="R2291" s="46" t="n"/>
      <c r="S2291" s="46" t="n"/>
      <c r="T2291" s="46" t="n"/>
      <c r="U2291" s="46" t="n"/>
      <c r="V2291" s="46" t="n"/>
      <c r="W2291" s="46" t="n"/>
      <c r="X2291" s="46" t="n"/>
      <c r="Y2291" s="46" t="n"/>
      <c r="Z2291" s="46" t="n"/>
      <c r="AA2291" s="46" t="n"/>
      <c r="AB2291" s="46" t="n"/>
      <c r="AC2291" s="46" t="n"/>
      <c r="AD2291" s="46" t="n"/>
      <c r="AE2291" s="46" t="n"/>
      <c r="AF2291" s="46" t="n"/>
      <c r="AG2291" s="46" t="n"/>
      <c r="AH2291" s="46" t="n"/>
      <c r="AI2291" s="46" t="n"/>
      <c r="AJ2291" s="46" t="n"/>
      <c r="AK2291" s="46" t="n"/>
      <c r="AL2291" s="46" t="n"/>
      <c r="AM2291" s="46" t="n"/>
      <c r="AN2291" s="46" t="n"/>
      <c r="AO2291" s="46" t="n"/>
      <c r="AP2291" s="46" t="n"/>
      <c r="AQ2291" s="46" t="n"/>
      <c r="AR2291" s="46" t="n"/>
      <c r="AS2291" s="46" t="n"/>
      <c r="AV2291" s="36">
        <f>IF($C2291="","",EMPLOYES!M17)</f>
        <v/>
      </c>
      <c r="AW2291" s="36">
        <f>IF($C2291="",0,SUMPRODUCT(--(O2291:AS2291="C")))</f>
        <v/>
      </c>
      <c r="AX2291" s="36">
        <f>IF($C2291="",0,SUMPRODUCT(--(O2291:AS2291="R")))</f>
        <v/>
      </c>
      <c r="AY2291" s="44" t="n"/>
    </row>
    <row r="2292" hidden="1" outlineLevel="1" ht="15" customHeight="1" s="15">
      <c r="B2292" s="41" t="n">
        <v>10</v>
      </c>
      <c r="C2292" s="42">
        <f>IF(EMPLOYES!C18="","",EMPLOYES!C18)</f>
        <v/>
      </c>
      <c r="D2292" s="43">
        <f>IF(EMPLOYES!C18="","",EMPLOYES!D18)</f>
        <v/>
      </c>
      <c r="E2292" s="44" t="n"/>
      <c r="F2292" s="42" t="n"/>
      <c r="G2292" s="41">
        <f>IF($C2292="",0,MAX(0,$M2292-$N2292))</f>
        <v/>
      </c>
      <c r="H2292" s="45" t="n"/>
      <c r="I2292" s="41">
        <f>IF($C2292="","",IF(H2292="","OK",IF(H2292&gt;EMPLOYES!P18,"⚠ Avance &gt; salaire",IF(H2292&gt;EMPLOYES!P18*PARAMETRES!$C$218,"⚠ Avance élevée","OK"))))</f>
        <v/>
      </c>
      <c r="J2292" s="45" t="n"/>
      <c r="K2292" s="46" t="n"/>
      <c r="L2292" s="46" t="n"/>
      <c r="M2292" s="41">
        <f>IF($C2292="","",SUMPRODUCT((PARAMETRES!$B$38:$B$157=PARAMETRES!$C$29)*(PARAMETRES!$C$38:$C$157=10)*(IF(EMPLOYES!M18="5j",PARAMETRES!$I$38:$I$157,PARAMETRES!$H$38:$H$157))))</f>
        <v/>
      </c>
      <c r="N2292" s="41">
        <f>IF($C2292="","",SUMPRODUCT((O2292:AS2292="P")+(O2292:AS2292="F")+(O2292:AS2292="C")+0.5*(O2292:AS2292="D"),(1-((O2286:AS2286=6)*(EMPLOYES!M18="5j")))))</f>
        <v/>
      </c>
      <c r="O2292" s="46" t="n"/>
      <c r="P2292" s="46" t="n"/>
      <c r="Q2292" s="46" t="n"/>
      <c r="R2292" s="46" t="n"/>
      <c r="S2292" s="46" t="n"/>
      <c r="T2292" s="46" t="n"/>
      <c r="U2292" s="46" t="n"/>
      <c r="V2292" s="46" t="n"/>
      <c r="W2292" s="46" t="n"/>
      <c r="X2292" s="46" t="n"/>
      <c r="Y2292" s="46" t="n"/>
      <c r="Z2292" s="46" t="n"/>
      <c r="AA2292" s="46" t="n"/>
      <c r="AB2292" s="46" t="n"/>
      <c r="AC2292" s="46" t="n"/>
      <c r="AD2292" s="46" t="n"/>
      <c r="AE2292" s="46" t="n"/>
      <c r="AF2292" s="46" t="n"/>
      <c r="AG2292" s="46" t="n"/>
      <c r="AH2292" s="46" t="n"/>
      <c r="AI2292" s="46" t="n"/>
      <c r="AJ2292" s="46" t="n"/>
      <c r="AK2292" s="46" t="n"/>
      <c r="AL2292" s="46" t="n"/>
      <c r="AM2292" s="46" t="n"/>
      <c r="AN2292" s="46" t="n"/>
      <c r="AO2292" s="46" t="n"/>
      <c r="AP2292" s="46" t="n"/>
      <c r="AQ2292" s="46" t="n"/>
      <c r="AR2292" s="46" t="n"/>
      <c r="AS2292" s="46" t="n"/>
      <c r="AV2292" s="36">
        <f>IF($C2292="","",EMPLOYES!M18)</f>
        <v/>
      </c>
      <c r="AW2292" s="36">
        <f>IF($C2292="",0,SUMPRODUCT(--(O2292:AS2292="C")))</f>
        <v/>
      </c>
      <c r="AX2292" s="36">
        <f>IF($C2292="",0,SUMPRODUCT(--(O2292:AS2292="R")))</f>
        <v/>
      </c>
      <c r="AY2292" s="44" t="n"/>
    </row>
    <row r="2293" hidden="1" outlineLevel="1" ht="15" customHeight="1" s="15">
      <c r="B2293" s="41" t="n">
        <v>10</v>
      </c>
      <c r="C2293" s="42">
        <f>IF(EMPLOYES!C19="","",EMPLOYES!C19)</f>
        <v/>
      </c>
      <c r="D2293" s="43">
        <f>IF(EMPLOYES!C19="","",EMPLOYES!D19)</f>
        <v/>
      </c>
      <c r="E2293" s="44" t="n"/>
      <c r="F2293" s="42" t="n"/>
      <c r="G2293" s="41">
        <f>IF($C2293="",0,MAX(0,$M2293-$N2293))</f>
        <v/>
      </c>
      <c r="H2293" s="45" t="n"/>
      <c r="I2293" s="41">
        <f>IF($C2293="","",IF(H2293="","OK",IF(H2293&gt;EMPLOYES!P19,"⚠ Avance &gt; salaire",IF(H2293&gt;EMPLOYES!P19*PARAMETRES!$C$218,"⚠ Avance élevée","OK"))))</f>
        <v/>
      </c>
      <c r="J2293" s="45" t="n"/>
      <c r="K2293" s="46" t="n"/>
      <c r="L2293" s="46" t="n"/>
      <c r="M2293" s="41">
        <f>IF($C2293="","",SUMPRODUCT((PARAMETRES!$B$38:$B$157=PARAMETRES!$C$29)*(PARAMETRES!$C$38:$C$157=10)*(IF(EMPLOYES!M19="5j",PARAMETRES!$I$38:$I$157,PARAMETRES!$H$38:$H$157))))</f>
        <v/>
      </c>
      <c r="N2293" s="41">
        <f>IF($C2293="","",SUMPRODUCT((O2293:AS2293="P")+(O2293:AS2293="F")+(O2293:AS2293="C")+0.5*(O2293:AS2293="D"),(1-((O2286:AS2286=6)*(EMPLOYES!M19="5j")))))</f>
        <v/>
      </c>
      <c r="O2293" s="46" t="n"/>
      <c r="P2293" s="46" t="n"/>
      <c r="Q2293" s="46" t="n"/>
      <c r="R2293" s="46" t="n"/>
      <c r="S2293" s="46" t="n"/>
      <c r="T2293" s="46" t="n"/>
      <c r="U2293" s="46" t="n"/>
      <c r="V2293" s="46" t="n"/>
      <c r="W2293" s="46" t="n"/>
      <c r="X2293" s="46" t="n"/>
      <c r="Y2293" s="46" t="n"/>
      <c r="Z2293" s="46" t="n"/>
      <c r="AA2293" s="46" t="n"/>
      <c r="AB2293" s="46" t="n"/>
      <c r="AC2293" s="46" t="n"/>
      <c r="AD2293" s="46" t="n"/>
      <c r="AE2293" s="46" t="n"/>
      <c r="AF2293" s="46" t="n"/>
      <c r="AG2293" s="46" t="n"/>
      <c r="AH2293" s="46" t="n"/>
      <c r="AI2293" s="46" t="n"/>
      <c r="AJ2293" s="46" t="n"/>
      <c r="AK2293" s="46" t="n"/>
      <c r="AL2293" s="46" t="n"/>
      <c r="AM2293" s="46" t="n"/>
      <c r="AN2293" s="46" t="n"/>
      <c r="AO2293" s="46" t="n"/>
      <c r="AP2293" s="46" t="n"/>
      <c r="AQ2293" s="46" t="n"/>
      <c r="AR2293" s="46" t="n"/>
      <c r="AS2293" s="46" t="n"/>
      <c r="AV2293" s="36">
        <f>IF($C2293="","",EMPLOYES!M19)</f>
        <v/>
      </c>
      <c r="AW2293" s="36">
        <f>IF($C2293="",0,SUMPRODUCT(--(O2293:AS2293="C")))</f>
        <v/>
      </c>
      <c r="AX2293" s="36">
        <f>IF($C2293="",0,SUMPRODUCT(--(O2293:AS2293="R")))</f>
        <v/>
      </c>
      <c r="AY2293" s="44" t="n"/>
    </row>
    <row r="2294" hidden="1" outlineLevel="1" ht="15" customHeight="1" s="15">
      <c r="B2294" s="41" t="n">
        <v>10</v>
      </c>
      <c r="C2294" s="42">
        <f>IF(EMPLOYES!C20="","",EMPLOYES!C20)</f>
        <v/>
      </c>
      <c r="D2294" s="43">
        <f>IF(EMPLOYES!C20="","",EMPLOYES!D20)</f>
        <v/>
      </c>
      <c r="E2294" s="44" t="n"/>
      <c r="F2294" s="42" t="n"/>
      <c r="G2294" s="41">
        <f>IF($C2294="",0,MAX(0,$M2294-$N2294))</f>
        <v/>
      </c>
      <c r="H2294" s="45" t="n"/>
      <c r="I2294" s="41">
        <f>IF($C2294="","",IF(H2294="","OK",IF(H2294&gt;EMPLOYES!P20,"⚠ Avance &gt; salaire",IF(H2294&gt;EMPLOYES!P20*PARAMETRES!$C$218,"⚠ Avance élevée","OK"))))</f>
        <v/>
      </c>
      <c r="J2294" s="45" t="n"/>
      <c r="K2294" s="46" t="n"/>
      <c r="L2294" s="46" t="n"/>
      <c r="M2294" s="41">
        <f>IF($C2294="","",SUMPRODUCT((PARAMETRES!$B$38:$B$157=PARAMETRES!$C$29)*(PARAMETRES!$C$38:$C$157=10)*(IF(EMPLOYES!M20="5j",PARAMETRES!$I$38:$I$157,PARAMETRES!$H$38:$H$157))))</f>
        <v/>
      </c>
      <c r="N2294" s="41">
        <f>IF($C2294="","",SUMPRODUCT((O2294:AS2294="P")+(O2294:AS2294="F")+(O2294:AS2294="C")+0.5*(O2294:AS2294="D"),(1-((O2286:AS2286=6)*(EMPLOYES!M20="5j")))))</f>
        <v/>
      </c>
      <c r="O2294" s="46" t="n"/>
      <c r="P2294" s="46" t="n"/>
      <c r="Q2294" s="46" t="n"/>
      <c r="R2294" s="46" t="n"/>
      <c r="S2294" s="46" t="n"/>
      <c r="T2294" s="46" t="n"/>
      <c r="U2294" s="46" t="n"/>
      <c r="V2294" s="46" t="n"/>
      <c r="W2294" s="46" t="n"/>
      <c r="X2294" s="46" t="n"/>
      <c r="Y2294" s="46" t="n"/>
      <c r="Z2294" s="46" t="n"/>
      <c r="AA2294" s="46" t="n"/>
      <c r="AB2294" s="46" t="n"/>
      <c r="AC2294" s="46" t="n"/>
      <c r="AD2294" s="46" t="n"/>
      <c r="AE2294" s="46" t="n"/>
      <c r="AF2294" s="46" t="n"/>
      <c r="AG2294" s="46" t="n"/>
      <c r="AH2294" s="46" t="n"/>
      <c r="AI2294" s="46" t="n"/>
      <c r="AJ2294" s="46" t="n"/>
      <c r="AK2294" s="46" t="n"/>
      <c r="AL2294" s="46" t="n"/>
      <c r="AM2294" s="46" t="n"/>
      <c r="AN2294" s="46" t="n"/>
      <c r="AO2294" s="46" t="n"/>
      <c r="AP2294" s="46" t="n"/>
      <c r="AQ2294" s="46" t="n"/>
      <c r="AR2294" s="46" t="n"/>
      <c r="AS2294" s="46" t="n"/>
      <c r="AV2294" s="36">
        <f>IF($C2294="","",EMPLOYES!M20)</f>
        <v/>
      </c>
      <c r="AW2294" s="36">
        <f>IF($C2294="",0,SUMPRODUCT(--(O2294:AS2294="C")))</f>
        <v/>
      </c>
      <c r="AX2294" s="36">
        <f>IF($C2294="",0,SUMPRODUCT(--(O2294:AS2294="R")))</f>
        <v/>
      </c>
      <c r="AY2294" s="44" t="n"/>
    </row>
    <row r="2295" hidden="1" outlineLevel="1" ht="15" customHeight="1" s="15">
      <c r="B2295" s="41" t="n">
        <v>10</v>
      </c>
      <c r="C2295" s="42">
        <f>IF(EMPLOYES!C21="","",EMPLOYES!C21)</f>
        <v/>
      </c>
      <c r="D2295" s="43">
        <f>IF(EMPLOYES!C21="","",EMPLOYES!D21)</f>
        <v/>
      </c>
      <c r="E2295" s="44" t="n"/>
      <c r="F2295" s="42" t="n"/>
      <c r="G2295" s="41">
        <f>IF($C2295="",0,MAX(0,$M2295-$N2295))</f>
        <v/>
      </c>
      <c r="H2295" s="45" t="n"/>
      <c r="I2295" s="41">
        <f>IF($C2295="","",IF(H2295="","OK",IF(H2295&gt;EMPLOYES!P21,"⚠ Avance &gt; salaire",IF(H2295&gt;EMPLOYES!P21*PARAMETRES!$C$218,"⚠ Avance élevée","OK"))))</f>
        <v/>
      </c>
      <c r="J2295" s="45" t="n"/>
      <c r="K2295" s="46" t="n"/>
      <c r="L2295" s="46" t="n"/>
      <c r="M2295" s="41">
        <f>IF($C2295="","",SUMPRODUCT((PARAMETRES!$B$38:$B$157=PARAMETRES!$C$29)*(PARAMETRES!$C$38:$C$157=10)*(IF(EMPLOYES!M21="5j",PARAMETRES!$I$38:$I$157,PARAMETRES!$H$38:$H$157))))</f>
        <v/>
      </c>
      <c r="N2295" s="41">
        <f>IF($C2295="","",SUMPRODUCT((O2295:AS2295="P")+(O2295:AS2295="F")+(O2295:AS2295="C")+0.5*(O2295:AS2295="D"),(1-((O2286:AS2286=6)*(EMPLOYES!M21="5j")))))</f>
        <v/>
      </c>
      <c r="O2295" s="46" t="n"/>
      <c r="P2295" s="46" t="n"/>
      <c r="Q2295" s="46" t="n"/>
      <c r="R2295" s="46" t="n"/>
      <c r="S2295" s="46" t="n"/>
      <c r="T2295" s="46" t="n"/>
      <c r="U2295" s="46" t="n"/>
      <c r="V2295" s="46" t="n"/>
      <c r="W2295" s="46" t="n"/>
      <c r="X2295" s="46" t="n"/>
      <c r="Y2295" s="46" t="n"/>
      <c r="Z2295" s="46" t="n"/>
      <c r="AA2295" s="46" t="n"/>
      <c r="AB2295" s="46" t="n"/>
      <c r="AC2295" s="46" t="n"/>
      <c r="AD2295" s="46" t="n"/>
      <c r="AE2295" s="46" t="n"/>
      <c r="AF2295" s="46" t="n"/>
      <c r="AG2295" s="46" t="n"/>
      <c r="AH2295" s="46" t="n"/>
      <c r="AI2295" s="46" t="n"/>
      <c r="AJ2295" s="46" t="n"/>
      <c r="AK2295" s="46" t="n"/>
      <c r="AL2295" s="46" t="n"/>
      <c r="AM2295" s="46" t="n"/>
      <c r="AN2295" s="46" t="n"/>
      <c r="AO2295" s="46" t="n"/>
      <c r="AP2295" s="46" t="n"/>
      <c r="AQ2295" s="46" t="n"/>
      <c r="AR2295" s="46" t="n"/>
      <c r="AS2295" s="46" t="n"/>
      <c r="AV2295" s="36">
        <f>IF($C2295="","",EMPLOYES!M21)</f>
        <v/>
      </c>
      <c r="AW2295" s="36">
        <f>IF($C2295="",0,SUMPRODUCT(--(O2295:AS2295="C")))</f>
        <v/>
      </c>
      <c r="AX2295" s="36">
        <f>IF($C2295="",0,SUMPRODUCT(--(O2295:AS2295="R")))</f>
        <v/>
      </c>
      <c r="AY2295" s="44" t="n"/>
    </row>
    <row r="2296" hidden="1" outlineLevel="1" ht="15" customHeight="1" s="15">
      <c r="B2296" s="41" t="n">
        <v>10</v>
      </c>
      <c r="C2296" s="42">
        <f>IF(EMPLOYES!C22="","",EMPLOYES!C22)</f>
        <v/>
      </c>
      <c r="D2296" s="43">
        <f>IF(EMPLOYES!C22="","",EMPLOYES!D22)</f>
        <v/>
      </c>
      <c r="E2296" s="44" t="n"/>
      <c r="F2296" s="42" t="n"/>
      <c r="G2296" s="41">
        <f>IF($C2296="",0,MAX(0,$M2296-$N2296))</f>
        <v/>
      </c>
      <c r="H2296" s="45" t="n"/>
      <c r="I2296" s="41">
        <f>IF($C2296="","",IF(H2296="","OK",IF(H2296&gt;EMPLOYES!P22,"⚠ Avance &gt; salaire",IF(H2296&gt;EMPLOYES!P22*PARAMETRES!$C$218,"⚠ Avance élevée","OK"))))</f>
        <v/>
      </c>
      <c r="J2296" s="45" t="n"/>
      <c r="K2296" s="46" t="n"/>
      <c r="L2296" s="46" t="n"/>
      <c r="M2296" s="41">
        <f>IF($C2296="","",SUMPRODUCT((PARAMETRES!$B$38:$B$157=PARAMETRES!$C$29)*(PARAMETRES!$C$38:$C$157=10)*(IF(EMPLOYES!M22="5j",PARAMETRES!$I$38:$I$157,PARAMETRES!$H$38:$H$157))))</f>
        <v/>
      </c>
      <c r="N2296" s="41">
        <f>IF($C2296="","",SUMPRODUCT((O2296:AS2296="P")+(O2296:AS2296="F")+(O2296:AS2296="C")+0.5*(O2296:AS2296="D"),(1-((O2286:AS2286=6)*(EMPLOYES!M22="5j")))))</f>
        <v/>
      </c>
      <c r="O2296" s="46" t="n"/>
      <c r="P2296" s="46" t="n"/>
      <c r="Q2296" s="46" t="n"/>
      <c r="R2296" s="46" t="n"/>
      <c r="S2296" s="46" t="n"/>
      <c r="T2296" s="46" t="n"/>
      <c r="U2296" s="46" t="n"/>
      <c r="V2296" s="46" t="n"/>
      <c r="W2296" s="46" t="n"/>
      <c r="X2296" s="46" t="n"/>
      <c r="Y2296" s="46" t="n"/>
      <c r="Z2296" s="46" t="n"/>
      <c r="AA2296" s="46" t="n"/>
      <c r="AB2296" s="46" t="n"/>
      <c r="AC2296" s="46" t="n"/>
      <c r="AD2296" s="46" t="n"/>
      <c r="AE2296" s="46" t="n"/>
      <c r="AF2296" s="46" t="n"/>
      <c r="AG2296" s="46" t="n"/>
      <c r="AH2296" s="46" t="n"/>
      <c r="AI2296" s="46" t="n"/>
      <c r="AJ2296" s="46" t="n"/>
      <c r="AK2296" s="46" t="n"/>
      <c r="AL2296" s="46" t="n"/>
      <c r="AM2296" s="46" t="n"/>
      <c r="AN2296" s="46" t="n"/>
      <c r="AO2296" s="46" t="n"/>
      <c r="AP2296" s="46" t="n"/>
      <c r="AQ2296" s="46" t="n"/>
      <c r="AR2296" s="46" t="n"/>
      <c r="AS2296" s="46" t="n"/>
      <c r="AV2296" s="36">
        <f>IF($C2296="","",EMPLOYES!M22)</f>
        <v/>
      </c>
      <c r="AW2296" s="36">
        <f>IF($C2296="",0,SUMPRODUCT(--(O2296:AS2296="C")))</f>
        <v/>
      </c>
      <c r="AX2296" s="36">
        <f>IF($C2296="",0,SUMPRODUCT(--(O2296:AS2296="R")))</f>
        <v/>
      </c>
      <c r="AY2296" s="44" t="n"/>
    </row>
    <row r="2297" hidden="1" outlineLevel="1" ht="15" customHeight="1" s="15">
      <c r="B2297" s="41" t="n">
        <v>10</v>
      </c>
      <c r="C2297" s="42">
        <f>IF(EMPLOYES!C23="","",EMPLOYES!C23)</f>
        <v/>
      </c>
      <c r="D2297" s="43">
        <f>IF(EMPLOYES!C23="","",EMPLOYES!D23)</f>
        <v/>
      </c>
      <c r="E2297" s="44" t="n"/>
      <c r="F2297" s="42" t="n"/>
      <c r="G2297" s="41">
        <f>IF($C2297="",0,MAX(0,$M2297-$N2297))</f>
        <v/>
      </c>
      <c r="H2297" s="45" t="n"/>
      <c r="I2297" s="41">
        <f>IF($C2297="","",IF(H2297="","OK",IF(H2297&gt;EMPLOYES!P23,"⚠ Avance &gt; salaire",IF(H2297&gt;EMPLOYES!P23*PARAMETRES!$C$218,"⚠ Avance élevée","OK"))))</f>
        <v/>
      </c>
      <c r="J2297" s="45" t="n"/>
      <c r="K2297" s="46" t="n"/>
      <c r="L2297" s="46" t="n"/>
      <c r="M2297" s="41">
        <f>IF($C2297="","",SUMPRODUCT((PARAMETRES!$B$38:$B$157=PARAMETRES!$C$29)*(PARAMETRES!$C$38:$C$157=10)*(IF(EMPLOYES!M23="5j",PARAMETRES!$I$38:$I$157,PARAMETRES!$H$38:$H$157))))</f>
        <v/>
      </c>
      <c r="N2297" s="41">
        <f>IF($C2297="","",SUMPRODUCT((O2297:AS2297="P")+(O2297:AS2297="F")+(O2297:AS2297="C")+0.5*(O2297:AS2297="D"),(1-((O2286:AS2286=6)*(EMPLOYES!M23="5j")))))</f>
        <v/>
      </c>
      <c r="O2297" s="46" t="n"/>
      <c r="P2297" s="46" t="n"/>
      <c r="Q2297" s="46" t="n"/>
      <c r="R2297" s="46" t="n"/>
      <c r="S2297" s="46" t="n"/>
      <c r="T2297" s="46" t="n"/>
      <c r="U2297" s="46" t="n"/>
      <c r="V2297" s="46" t="n"/>
      <c r="W2297" s="46" t="n"/>
      <c r="X2297" s="46" t="n"/>
      <c r="Y2297" s="46" t="n"/>
      <c r="Z2297" s="46" t="n"/>
      <c r="AA2297" s="46" t="n"/>
      <c r="AB2297" s="46" t="n"/>
      <c r="AC2297" s="46" t="n"/>
      <c r="AD2297" s="46" t="n"/>
      <c r="AE2297" s="46" t="n"/>
      <c r="AF2297" s="46" t="n"/>
      <c r="AG2297" s="46" t="n"/>
      <c r="AH2297" s="46" t="n"/>
      <c r="AI2297" s="46" t="n"/>
      <c r="AJ2297" s="46" t="n"/>
      <c r="AK2297" s="46" t="n"/>
      <c r="AL2297" s="46" t="n"/>
      <c r="AM2297" s="46" t="n"/>
      <c r="AN2297" s="46" t="n"/>
      <c r="AO2297" s="46" t="n"/>
      <c r="AP2297" s="46" t="n"/>
      <c r="AQ2297" s="46" t="n"/>
      <c r="AR2297" s="46" t="n"/>
      <c r="AS2297" s="46" t="n"/>
      <c r="AV2297" s="36">
        <f>IF($C2297="","",EMPLOYES!M23)</f>
        <v/>
      </c>
      <c r="AW2297" s="36">
        <f>IF($C2297="",0,SUMPRODUCT(--(O2297:AS2297="C")))</f>
        <v/>
      </c>
      <c r="AX2297" s="36">
        <f>IF($C2297="",0,SUMPRODUCT(--(O2297:AS2297="R")))</f>
        <v/>
      </c>
      <c r="AY2297" s="44" t="n"/>
    </row>
    <row r="2298" hidden="1" outlineLevel="1" ht="15" customHeight="1" s="15">
      <c r="B2298" s="41" t="n">
        <v>10</v>
      </c>
      <c r="C2298" s="42">
        <f>IF(EMPLOYES!C24="","",EMPLOYES!C24)</f>
        <v/>
      </c>
      <c r="D2298" s="43">
        <f>IF(EMPLOYES!C24="","",EMPLOYES!D24)</f>
        <v/>
      </c>
      <c r="E2298" s="44" t="n"/>
      <c r="F2298" s="42" t="n"/>
      <c r="G2298" s="41">
        <f>IF($C2298="",0,MAX(0,$M2298-$N2298))</f>
        <v/>
      </c>
      <c r="H2298" s="45" t="n"/>
      <c r="I2298" s="41">
        <f>IF($C2298="","",IF(H2298="","OK",IF(H2298&gt;EMPLOYES!P24,"⚠ Avance &gt; salaire",IF(H2298&gt;EMPLOYES!P24*PARAMETRES!$C$218,"⚠ Avance élevée","OK"))))</f>
        <v/>
      </c>
      <c r="J2298" s="45" t="n"/>
      <c r="K2298" s="46" t="n"/>
      <c r="L2298" s="46" t="n"/>
      <c r="M2298" s="41">
        <f>IF($C2298="","",SUMPRODUCT((PARAMETRES!$B$38:$B$157=PARAMETRES!$C$29)*(PARAMETRES!$C$38:$C$157=10)*(IF(EMPLOYES!M24="5j",PARAMETRES!$I$38:$I$157,PARAMETRES!$H$38:$H$157))))</f>
        <v/>
      </c>
      <c r="N2298" s="41">
        <f>IF($C2298="","",SUMPRODUCT((O2298:AS2298="P")+(O2298:AS2298="F")+(O2298:AS2298="C")+0.5*(O2298:AS2298="D"),(1-((O2286:AS2286=6)*(EMPLOYES!M24="5j")))))</f>
        <v/>
      </c>
      <c r="O2298" s="46" t="n"/>
      <c r="P2298" s="46" t="n"/>
      <c r="Q2298" s="46" t="n"/>
      <c r="R2298" s="46" t="n"/>
      <c r="S2298" s="46" t="n"/>
      <c r="T2298" s="46" t="n"/>
      <c r="U2298" s="46" t="n"/>
      <c r="V2298" s="46" t="n"/>
      <c r="W2298" s="46" t="n"/>
      <c r="X2298" s="46" t="n"/>
      <c r="Y2298" s="46" t="n"/>
      <c r="Z2298" s="46" t="n"/>
      <c r="AA2298" s="46" t="n"/>
      <c r="AB2298" s="46" t="n"/>
      <c r="AC2298" s="46" t="n"/>
      <c r="AD2298" s="46" t="n"/>
      <c r="AE2298" s="46" t="n"/>
      <c r="AF2298" s="46" t="n"/>
      <c r="AG2298" s="46" t="n"/>
      <c r="AH2298" s="46" t="n"/>
      <c r="AI2298" s="46" t="n"/>
      <c r="AJ2298" s="46" t="n"/>
      <c r="AK2298" s="46" t="n"/>
      <c r="AL2298" s="46" t="n"/>
      <c r="AM2298" s="46" t="n"/>
      <c r="AN2298" s="46" t="n"/>
      <c r="AO2298" s="46" t="n"/>
      <c r="AP2298" s="46" t="n"/>
      <c r="AQ2298" s="46" t="n"/>
      <c r="AR2298" s="46" t="n"/>
      <c r="AS2298" s="46" t="n"/>
      <c r="AV2298" s="36">
        <f>IF($C2298="","",EMPLOYES!M24)</f>
        <v/>
      </c>
      <c r="AW2298" s="36">
        <f>IF($C2298="",0,SUMPRODUCT(--(O2298:AS2298="C")))</f>
        <v/>
      </c>
      <c r="AX2298" s="36">
        <f>IF($C2298="",0,SUMPRODUCT(--(O2298:AS2298="R")))</f>
        <v/>
      </c>
      <c r="AY2298" s="44" t="n"/>
    </row>
    <row r="2299" hidden="1" outlineLevel="1" ht="15" customHeight="1" s="15">
      <c r="B2299" s="41" t="n">
        <v>10</v>
      </c>
      <c r="C2299" s="42">
        <f>IF(EMPLOYES!C25="","",EMPLOYES!C25)</f>
        <v/>
      </c>
      <c r="D2299" s="43">
        <f>IF(EMPLOYES!C25="","",EMPLOYES!D25)</f>
        <v/>
      </c>
      <c r="E2299" s="44" t="n"/>
      <c r="F2299" s="42" t="n"/>
      <c r="G2299" s="41">
        <f>IF($C2299="",0,MAX(0,$M2299-$N2299))</f>
        <v/>
      </c>
      <c r="H2299" s="45" t="n"/>
      <c r="I2299" s="41">
        <f>IF($C2299="","",IF(H2299="","OK",IF(H2299&gt;EMPLOYES!P25,"⚠ Avance &gt; salaire",IF(H2299&gt;EMPLOYES!P25*PARAMETRES!$C$218,"⚠ Avance élevée","OK"))))</f>
        <v/>
      </c>
      <c r="J2299" s="45" t="n"/>
      <c r="K2299" s="46" t="n"/>
      <c r="L2299" s="46" t="n"/>
      <c r="M2299" s="41">
        <f>IF($C2299="","",SUMPRODUCT((PARAMETRES!$B$38:$B$157=PARAMETRES!$C$29)*(PARAMETRES!$C$38:$C$157=10)*(IF(EMPLOYES!M25="5j",PARAMETRES!$I$38:$I$157,PARAMETRES!$H$38:$H$157))))</f>
        <v/>
      </c>
      <c r="N2299" s="41">
        <f>IF($C2299="","",SUMPRODUCT((O2299:AS2299="P")+(O2299:AS2299="F")+(O2299:AS2299="C")+0.5*(O2299:AS2299="D"),(1-((O2286:AS2286=6)*(EMPLOYES!M25="5j")))))</f>
        <v/>
      </c>
      <c r="O2299" s="46" t="n"/>
      <c r="P2299" s="46" t="n"/>
      <c r="Q2299" s="46" t="n"/>
      <c r="R2299" s="46" t="n"/>
      <c r="S2299" s="46" t="n"/>
      <c r="T2299" s="46" t="n"/>
      <c r="U2299" s="46" t="n"/>
      <c r="V2299" s="46" t="n"/>
      <c r="W2299" s="46" t="n"/>
      <c r="X2299" s="46" t="n"/>
      <c r="Y2299" s="46" t="n"/>
      <c r="Z2299" s="46" t="n"/>
      <c r="AA2299" s="46" t="n"/>
      <c r="AB2299" s="46" t="n"/>
      <c r="AC2299" s="46" t="n"/>
      <c r="AD2299" s="46" t="n"/>
      <c r="AE2299" s="46" t="n"/>
      <c r="AF2299" s="46" t="n"/>
      <c r="AG2299" s="46" t="n"/>
      <c r="AH2299" s="46" t="n"/>
      <c r="AI2299" s="46" t="n"/>
      <c r="AJ2299" s="46" t="n"/>
      <c r="AK2299" s="46" t="n"/>
      <c r="AL2299" s="46" t="n"/>
      <c r="AM2299" s="46" t="n"/>
      <c r="AN2299" s="46" t="n"/>
      <c r="AO2299" s="46" t="n"/>
      <c r="AP2299" s="46" t="n"/>
      <c r="AQ2299" s="46" t="n"/>
      <c r="AR2299" s="46" t="n"/>
      <c r="AS2299" s="46" t="n"/>
      <c r="AV2299" s="36">
        <f>IF($C2299="","",EMPLOYES!M25)</f>
        <v/>
      </c>
      <c r="AW2299" s="36">
        <f>IF($C2299="",0,SUMPRODUCT(--(O2299:AS2299="C")))</f>
        <v/>
      </c>
      <c r="AX2299" s="36">
        <f>IF($C2299="",0,SUMPRODUCT(--(O2299:AS2299="R")))</f>
        <v/>
      </c>
      <c r="AY2299" s="44" t="n"/>
    </row>
    <row r="2300" hidden="1" outlineLevel="1" ht="15" customHeight="1" s="15">
      <c r="B2300" s="41" t="n">
        <v>10</v>
      </c>
      <c r="C2300" s="42">
        <f>IF(EMPLOYES!C26="","",EMPLOYES!C26)</f>
        <v/>
      </c>
      <c r="D2300" s="43">
        <f>IF(EMPLOYES!C26="","",EMPLOYES!D26)</f>
        <v/>
      </c>
      <c r="E2300" s="44" t="n"/>
      <c r="F2300" s="42" t="n"/>
      <c r="G2300" s="41">
        <f>IF($C2300="",0,MAX(0,$M2300-$N2300))</f>
        <v/>
      </c>
      <c r="H2300" s="45" t="n"/>
      <c r="I2300" s="41">
        <f>IF($C2300="","",IF(H2300="","OK",IF(H2300&gt;EMPLOYES!P26,"⚠ Avance &gt; salaire",IF(H2300&gt;EMPLOYES!P26*PARAMETRES!$C$218,"⚠ Avance élevée","OK"))))</f>
        <v/>
      </c>
      <c r="J2300" s="45" t="n"/>
      <c r="K2300" s="46" t="n"/>
      <c r="L2300" s="46" t="n"/>
      <c r="M2300" s="41">
        <f>IF($C2300="","",SUMPRODUCT((PARAMETRES!$B$38:$B$157=PARAMETRES!$C$29)*(PARAMETRES!$C$38:$C$157=10)*(IF(EMPLOYES!M26="5j",PARAMETRES!$I$38:$I$157,PARAMETRES!$H$38:$H$157))))</f>
        <v/>
      </c>
      <c r="N2300" s="41">
        <f>IF($C2300="","",SUMPRODUCT((O2300:AS2300="P")+(O2300:AS2300="F")+(O2300:AS2300="C")+0.5*(O2300:AS2300="D"),(1-((O2286:AS2286=6)*(EMPLOYES!M26="5j")))))</f>
        <v/>
      </c>
      <c r="O2300" s="46" t="n"/>
      <c r="P2300" s="46" t="n"/>
      <c r="Q2300" s="46" t="n"/>
      <c r="R2300" s="46" t="n"/>
      <c r="S2300" s="46" t="n"/>
      <c r="T2300" s="46" t="n"/>
      <c r="U2300" s="46" t="n"/>
      <c r="V2300" s="46" t="n"/>
      <c r="W2300" s="46" t="n"/>
      <c r="X2300" s="46" t="n"/>
      <c r="Y2300" s="46" t="n"/>
      <c r="Z2300" s="46" t="n"/>
      <c r="AA2300" s="46" t="n"/>
      <c r="AB2300" s="46" t="n"/>
      <c r="AC2300" s="46" t="n"/>
      <c r="AD2300" s="46" t="n"/>
      <c r="AE2300" s="46" t="n"/>
      <c r="AF2300" s="46" t="n"/>
      <c r="AG2300" s="46" t="n"/>
      <c r="AH2300" s="46" t="n"/>
      <c r="AI2300" s="46" t="n"/>
      <c r="AJ2300" s="46" t="n"/>
      <c r="AK2300" s="46" t="n"/>
      <c r="AL2300" s="46" t="n"/>
      <c r="AM2300" s="46" t="n"/>
      <c r="AN2300" s="46" t="n"/>
      <c r="AO2300" s="46" t="n"/>
      <c r="AP2300" s="46" t="n"/>
      <c r="AQ2300" s="46" t="n"/>
      <c r="AR2300" s="46" t="n"/>
      <c r="AS2300" s="46" t="n"/>
      <c r="AV2300" s="36">
        <f>IF($C2300="","",EMPLOYES!M26)</f>
        <v/>
      </c>
      <c r="AW2300" s="36">
        <f>IF($C2300="",0,SUMPRODUCT(--(O2300:AS2300="C")))</f>
        <v/>
      </c>
      <c r="AX2300" s="36">
        <f>IF($C2300="",0,SUMPRODUCT(--(O2300:AS2300="R")))</f>
        <v/>
      </c>
      <c r="AY2300" s="44" t="n"/>
    </row>
    <row r="2301" hidden="1" outlineLevel="1" ht="15" customHeight="1" s="15">
      <c r="B2301" s="41" t="n">
        <v>10</v>
      </c>
      <c r="C2301" s="42">
        <f>IF(EMPLOYES!C27="","",EMPLOYES!C27)</f>
        <v/>
      </c>
      <c r="D2301" s="43">
        <f>IF(EMPLOYES!C27="","",EMPLOYES!D27)</f>
        <v/>
      </c>
      <c r="E2301" s="44" t="n"/>
      <c r="F2301" s="42" t="n"/>
      <c r="G2301" s="41">
        <f>IF($C2301="",0,MAX(0,$M2301-$N2301))</f>
        <v/>
      </c>
      <c r="H2301" s="45" t="n"/>
      <c r="I2301" s="41">
        <f>IF($C2301="","",IF(H2301="","OK",IF(H2301&gt;EMPLOYES!P27,"⚠ Avance &gt; salaire",IF(H2301&gt;EMPLOYES!P27*PARAMETRES!$C$218,"⚠ Avance élevée","OK"))))</f>
        <v/>
      </c>
      <c r="J2301" s="45" t="n"/>
      <c r="K2301" s="46" t="n"/>
      <c r="L2301" s="46" t="n"/>
      <c r="M2301" s="41">
        <f>IF($C2301="","",SUMPRODUCT((PARAMETRES!$B$38:$B$157=PARAMETRES!$C$29)*(PARAMETRES!$C$38:$C$157=10)*(IF(EMPLOYES!M27="5j",PARAMETRES!$I$38:$I$157,PARAMETRES!$H$38:$H$157))))</f>
        <v/>
      </c>
      <c r="N2301" s="41">
        <f>IF($C2301="","",SUMPRODUCT((O2301:AS2301="P")+(O2301:AS2301="F")+(O2301:AS2301="C")+0.5*(O2301:AS2301="D"),(1-((O2286:AS2286=6)*(EMPLOYES!M27="5j")))))</f>
        <v/>
      </c>
      <c r="O2301" s="46" t="n"/>
      <c r="P2301" s="46" t="n"/>
      <c r="Q2301" s="46" t="n"/>
      <c r="R2301" s="46" t="n"/>
      <c r="S2301" s="46" t="n"/>
      <c r="T2301" s="46" t="n"/>
      <c r="U2301" s="46" t="n"/>
      <c r="V2301" s="46" t="n"/>
      <c r="W2301" s="46" t="n"/>
      <c r="X2301" s="46" t="n"/>
      <c r="Y2301" s="46" t="n"/>
      <c r="Z2301" s="46" t="n"/>
      <c r="AA2301" s="46" t="n"/>
      <c r="AB2301" s="46" t="n"/>
      <c r="AC2301" s="46" t="n"/>
      <c r="AD2301" s="46" t="n"/>
      <c r="AE2301" s="46" t="n"/>
      <c r="AF2301" s="46" t="n"/>
      <c r="AG2301" s="46" t="n"/>
      <c r="AH2301" s="46" t="n"/>
      <c r="AI2301" s="46" t="n"/>
      <c r="AJ2301" s="46" t="n"/>
      <c r="AK2301" s="46" t="n"/>
      <c r="AL2301" s="46" t="n"/>
      <c r="AM2301" s="46" t="n"/>
      <c r="AN2301" s="46" t="n"/>
      <c r="AO2301" s="46" t="n"/>
      <c r="AP2301" s="46" t="n"/>
      <c r="AQ2301" s="46" t="n"/>
      <c r="AR2301" s="46" t="n"/>
      <c r="AS2301" s="46" t="n"/>
      <c r="AV2301" s="36">
        <f>IF($C2301="","",EMPLOYES!M27)</f>
        <v/>
      </c>
      <c r="AW2301" s="36">
        <f>IF($C2301="",0,SUMPRODUCT(--(O2301:AS2301="C")))</f>
        <v/>
      </c>
      <c r="AX2301" s="36">
        <f>IF($C2301="",0,SUMPRODUCT(--(O2301:AS2301="R")))</f>
        <v/>
      </c>
      <c r="AY2301" s="44" t="n"/>
    </row>
    <row r="2302" hidden="1" outlineLevel="1" ht="15" customHeight="1" s="15">
      <c r="B2302" s="41" t="n">
        <v>10</v>
      </c>
      <c r="C2302" s="42">
        <f>IF(EMPLOYES!C28="","",EMPLOYES!C28)</f>
        <v/>
      </c>
      <c r="D2302" s="43">
        <f>IF(EMPLOYES!C28="","",EMPLOYES!D28)</f>
        <v/>
      </c>
      <c r="E2302" s="44" t="n"/>
      <c r="F2302" s="42" t="n"/>
      <c r="G2302" s="41">
        <f>IF($C2302="",0,MAX(0,$M2302-$N2302))</f>
        <v/>
      </c>
      <c r="H2302" s="45" t="n"/>
      <c r="I2302" s="41">
        <f>IF($C2302="","",IF(H2302="","OK",IF(H2302&gt;EMPLOYES!P28,"⚠ Avance &gt; salaire",IF(H2302&gt;EMPLOYES!P28*PARAMETRES!$C$218,"⚠ Avance élevée","OK"))))</f>
        <v/>
      </c>
      <c r="J2302" s="45" t="n"/>
      <c r="K2302" s="46" t="n"/>
      <c r="L2302" s="46" t="n"/>
      <c r="M2302" s="41">
        <f>IF($C2302="","",SUMPRODUCT((PARAMETRES!$B$38:$B$157=PARAMETRES!$C$29)*(PARAMETRES!$C$38:$C$157=10)*(IF(EMPLOYES!M28="5j",PARAMETRES!$I$38:$I$157,PARAMETRES!$H$38:$H$157))))</f>
        <v/>
      </c>
      <c r="N2302" s="41">
        <f>IF($C2302="","",SUMPRODUCT((O2302:AS2302="P")+(O2302:AS2302="F")+(O2302:AS2302="C")+0.5*(O2302:AS2302="D"),(1-((O2286:AS2286=6)*(EMPLOYES!M28="5j")))))</f>
        <v/>
      </c>
      <c r="O2302" s="46" t="n"/>
      <c r="P2302" s="46" t="n"/>
      <c r="Q2302" s="46" t="n"/>
      <c r="R2302" s="46" t="n"/>
      <c r="S2302" s="46" t="n"/>
      <c r="T2302" s="46" t="n"/>
      <c r="U2302" s="46" t="n"/>
      <c r="V2302" s="46" t="n"/>
      <c r="W2302" s="46" t="n"/>
      <c r="X2302" s="46" t="n"/>
      <c r="Y2302" s="46" t="n"/>
      <c r="Z2302" s="46" t="n"/>
      <c r="AA2302" s="46" t="n"/>
      <c r="AB2302" s="46" t="n"/>
      <c r="AC2302" s="46" t="n"/>
      <c r="AD2302" s="46" t="n"/>
      <c r="AE2302" s="46" t="n"/>
      <c r="AF2302" s="46" t="n"/>
      <c r="AG2302" s="46" t="n"/>
      <c r="AH2302" s="46" t="n"/>
      <c r="AI2302" s="46" t="n"/>
      <c r="AJ2302" s="46" t="n"/>
      <c r="AK2302" s="46" t="n"/>
      <c r="AL2302" s="46" t="n"/>
      <c r="AM2302" s="46" t="n"/>
      <c r="AN2302" s="46" t="n"/>
      <c r="AO2302" s="46" t="n"/>
      <c r="AP2302" s="46" t="n"/>
      <c r="AQ2302" s="46" t="n"/>
      <c r="AR2302" s="46" t="n"/>
      <c r="AS2302" s="46" t="n"/>
      <c r="AV2302" s="36">
        <f>IF($C2302="","",EMPLOYES!M28)</f>
        <v/>
      </c>
      <c r="AW2302" s="36">
        <f>IF($C2302="",0,SUMPRODUCT(--(O2302:AS2302="C")))</f>
        <v/>
      </c>
      <c r="AX2302" s="36">
        <f>IF($C2302="",0,SUMPRODUCT(--(O2302:AS2302="R")))</f>
        <v/>
      </c>
      <c r="AY2302" s="44" t="n"/>
    </row>
    <row r="2303" hidden="1" outlineLevel="1" ht="15" customHeight="1" s="15">
      <c r="B2303" s="41" t="n">
        <v>10</v>
      </c>
      <c r="C2303" s="42">
        <f>IF(EMPLOYES!C29="","",EMPLOYES!C29)</f>
        <v/>
      </c>
      <c r="D2303" s="43">
        <f>IF(EMPLOYES!C29="","",EMPLOYES!D29)</f>
        <v/>
      </c>
      <c r="E2303" s="44" t="n"/>
      <c r="F2303" s="42" t="n"/>
      <c r="G2303" s="41">
        <f>IF($C2303="",0,MAX(0,$M2303-$N2303))</f>
        <v/>
      </c>
      <c r="H2303" s="45" t="n"/>
      <c r="I2303" s="41">
        <f>IF($C2303="","",IF(H2303="","OK",IF(H2303&gt;EMPLOYES!P29,"⚠ Avance &gt; salaire",IF(H2303&gt;EMPLOYES!P29*PARAMETRES!$C$218,"⚠ Avance élevée","OK"))))</f>
        <v/>
      </c>
      <c r="J2303" s="45" t="n"/>
      <c r="K2303" s="46" t="n"/>
      <c r="L2303" s="46" t="n"/>
      <c r="M2303" s="41">
        <f>IF($C2303="","",SUMPRODUCT((PARAMETRES!$B$38:$B$157=PARAMETRES!$C$29)*(PARAMETRES!$C$38:$C$157=10)*(IF(EMPLOYES!M29="5j",PARAMETRES!$I$38:$I$157,PARAMETRES!$H$38:$H$157))))</f>
        <v/>
      </c>
      <c r="N2303" s="41">
        <f>IF($C2303="","",SUMPRODUCT((O2303:AS2303="P")+(O2303:AS2303="F")+(O2303:AS2303="C")+0.5*(O2303:AS2303="D"),(1-((O2286:AS2286=6)*(EMPLOYES!M29="5j")))))</f>
        <v/>
      </c>
      <c r="O2303" s="46" t="n"/>
      <c r="P2303" s="46" t="n"/>
      <c r="Q2303" s="46" t="n"/>
      <c r="R2303" s="46" t="n"/>
      <c r="S2303" s="46" t="n"/>
      <c r="T2303" s="46" t="n"/>
      <c r="U2303" s="46" t="n"/>
      <c r="V2303" s="46" t="n"/>
      <c r="W2303" s="46" t="n"/>
      <c r="X2303" s="46" t="n"/>
      <c r="Y2303" s="46" t="n"/>
      <c r="Z2303" s="46" t="n"/>
      <c r="AA2303" s="46" t="n"/>
      <c r="AB2303" s="46" t="n"/>
      <c r="AC2303" s="46" t="n"/>
      <c r="AD2303" s="46" t="n"/>
      <c r="AE2303" s="46" t="n"/>
      <c r="AF2303" s="46" t="n"/>
      <c r="AG2303" s="46" t="n"/>
      <c r="AH2303" s="46" t="n"/>
      <c r="AI2303" s="46" t="n"/>
      <c r="AJ2303" s="46" t="n"/>
      <c r="AK2303" s="46" t="n"/>
      <c r="AL2303" s="46" t="n"/>
      <c r="AM2303" s="46" t="n"/>
      <c r="AN2303" s="46" t="n"/>
      <c r="AO2303" s="46" t="n"/>
      <c r="AP2303" s="46" t="n"/>
      <c r="AQ2303" s="46" t="n"/>
      <c r="AR2303" s="46" t="n"/>
      <c r="AS2303" s="46" t="n"/>
      <c r="AV2303" s="36">
        <f>IF($C2303="","",EMPLOYES!M29)</f>
        <v/>
      </c>
      <c r="AW2303" s="36">
        <f>IF($C2303="",0,SUMPRODUCT(--(O2303:AS2303="C")))</f>
        <v/>
      </c>
      <c r="AX2303" s="36">
        <f>IF($C2303="",0,SUMPRODUCT(--(O2303:AS2303="R")))</f>
        <v/>
      </c>
      <c r="AY2303" s="44" t="n"/>
    </row>
    <row r="2304" hidden="1" outlineLevel="1" ht="15" customHeight="1" s="15">
      <c r="B2304" s="41" t="n">
        <v>10</v>
      </c>
      <c r="C2304" s="42">
        <f>IF(EMPLOYES!C30="","",EMPLOYES!C30)</f>
        <v/>
      </c>
      <c r="D2304" s="43">
        <f>IF(EMPLOYES!C30="","",EMPLOYES!D30)</f>
        <v/>
      </c>
      <c r="E2304" s="44" t="n"/>
      <c r="F2304" s="42" t="n"/>
      <c r="G2304" s="41">
        <f>IF($C2304="",0,MAX(0,$M2304-$N2304))</f>
        <v/>
      </c>
      <c r="H2304" s="45" t="n"/>
      <c r="I2304" s="41">
        <f>IF($C2304="","",IF(H2304="","OK",IF(H2304&gt;EMPLOYES!P30,"⚠ Avance &gt; salaire",IF(H2304&gt;EMPLOYES!P30*PARAMETRES!$C$218,"⚠ Avance élevée","OK"))))</f>
        <v/>
      </c>
      <c r="J2304" s="45" t="n"/>
      <c r="K2304" s="46" t="n"/>
      <c r="L2304" s="46" t="n"/>
      <c r="M2304" s="41">
        <f>IF($C2304="","",SUMPRODUCT((PARAMETRES!$B$38:$B$157=PARAMETRES!$C$29)*(PARAMETRES!$C$38:$C$157=10)*(IF(EMPLOYES!M30="5j",PARAMETRES!$I$38:$I$157,PARAMETRES!$H$38:$H$157))))</f>
        <v/>
      </c>
      <c r="N2304" s="41">
        <f>IF($C2304="","",SUMPRODUCT((O2304:AS2304="P")+(O2304:AS2304="F")+(O2304:AS2304="C")+0.5*(O2304:AS2304="D"),(1-((O2286:AS2286=6)*(EMPLOYES!M30="5j")))))</f>
        <v/>
      </c>
      <c r="O2304" s="46" t="n"/>
      <c r="P2304" s="46" t="n"/>
      <c r="Q2304" s="46" t="n"/>
      <c r="R2304" s="46" t="n"/>
      <c r="S2304" s="46" t="n"/>
      <c r="T2304" s="46" t="n"/>
      <c r="U2304" s="46" t="n"/>
      <c r="V2304" s="46" t="n"/>
      <c r="W2304" s="46" t="n"/>
      <c r="X2304" s="46" t="n"/>
      <c r="Y2304" s="46" t="n"/>
      <c r="Z2304" s="46" t="n"/>
      <c r="AA2304" s="46" t="n"/>
      <c r="AB2304" s="46" t="n"/>
      <c r="AC2304" s="46" t="n"/>
      <c r="AD2304" s="46" t="n"/>
      <c r="AE2304" s="46" t="n"/>
      <c r="AF2304" s="46" t="n"/>
      <c r="AG2304" s="46" t="n"/>
      <c r="AH2304" s="46" t="n"/>
      <c r="AI2304" s="46" t="n"/>
      <c r="AJ2304" s="46" t="n"/>
      <c r="AK2304" s="46" t="n"/>
      <c r="AL2304" s="46" t="n"/>
      <c r="AM2304" s="46" t="n"/>
      <c r="AN2304" s="46" t="n"/>
      <c r="AO2304" s="46" t="n"/>
      <c r="AP2304" s="46" t="n"/>
      <c r="AQ2304" s="46" t="n"/>
      <c r="AR2304" s="46" t="n"/>
      <c r="AS2304" s="46" t="n"/>
      <c r="AV2304" s="36">
        <f>IF($C2304="","",EMPLOYES!M30)</f>
        <v/>
      </c>
      <c r="AW2304" s="36">
        <f>IF($C2304="",0,SUMPRODUCT(--(O2304:AS2304="C")))</f>
        <v/>
      </c>
      <c r="AX2304" s="36">
        <f>IF($C2304="",0,SUMPRODUCT(--(O2304:AS2304="R")))</f>
        <v/>
      </c>
      <c r="AY2304" s="44" t="n"/>
    </row>
    <row r="2305" hidden="1" outlineLevel="1" ht="15" customHeight="1" s="15">
      <c r="B2305" s="41" t="n">
        <v>10</v>
      </c>
      <c r="C2305" s="42">
        <f>IF(EMPLOYES!C31="","",EMPLOYES!C31)</f>
        <v/>
      </c>
      <c r="D2305" s="43">
        <f>IF(EMPLOYES!C31="","",EMPLOYES!D31)</f>
        <v/>
      </c>
      <c r="E2305" s="44" t="n"/>
      <c r="F2305" s="42" t="n"/>
      <c r="G2305" s="41">
        <f>IF($C2305="",0,MAX(0,$M2305-$N2305))</f>
        <v/>
      </c>
      <c r="H2305" s="45" t="n"/>
      <c r="I2305" s="41">
        <f>IF($C2305="","",IF(H2305="","OK",IF(H2305&gt;EMPLOYES!P31,"⚠ Avance &gt; salaire",IF(H2305&gt;EMPLOYES!P31*PARAMETRES!$C$218,"⚠ Avance élevée","OK"))))</f>
        <v/>
      </c>
      <c r="J2305" s="45" t="n"/>
      <c r="K2305" s="46" t="n"/>
      <c r="L2305" s="46" t="n"/>
      <c r="M2305" s="41">
        <f>IF($C2305="","",SUMPRODUCT((PARAMETRES!$B$38:$B$157=PARAMETRES!$C$29)*(PARAMETRES!$C$38:$C$157=10)*(IF(EMPLOYES!M31="5j",PARAMETRES!$I$38:$I$157,PARAMETRES!$H$38:$H$157))))</f>
        <v/>
      </c>
      <c r="N2305" s="41">
        <f>IF($C2305="","",SUMPRODUCT((O2305:AS2305="P")+(O2305:AS2305="F")+(O2305:AS2305="C")+0.5*(O2305:AS2305="D"),(1-((O2286:AS2286=6)*(EMPLOYES!M31="5j")))))</f>
        <v/>
      </c>
      <c r="O2305" s="46" t="n"/>
      <c r="P2305" s="46" t="n"/>
      <c r="Q2305" s="46" t="n"/>
      <c r="R2305" s="46" t="n"/>
      <c r="S2305" s="46" t="n"/>
      <c r="T2305" s="46" t="n"/>
      <c r="U2305" s="46" t="n"/>
      <c r="V2305" s="46" t="n"/>
      <c r="W2305" s="46" t="n"/>
      <c r="X2305" s="46" t="n"/>
      <c r="Y2305" s="46" t="n"/>
      <c r="Z2305" s="46" t="n"/>
      <c r="AA2305" s="46" t="n"/>
      <c r="AB2305" s="46" t="n"/>
      <c r="AC2305" s="46" t="n"/>
      <c r="AD2305" s="46" t="n"/>
      <c r="AE2305" s="46" t="n"/>
      <c r="AF2305" s="46" t="n"/>
      <c r="AG2305" s="46" t="n"/>
      <c r="AH2305" s="46" t="n"/>
      <c r="AI2305" s="46" t="n"/>
      <c r="AJ2305" s="46" t="n"/>
      <c r="AK2305" s="46" t="n"/>
      <c r="AL2305" s="46" t="n"/>
      <c r="AM2305" s="46" t="n"/>
      <c r="AN2305" s="46" t="n"/>
      <c r="AO2305" s="46" t="n"/>
      <c r="AP2305" s="46" t="n"/>
      <c r="AQ2305" s="46" t="n"/>
      <c r="AR2305" s="46" t="n"/>
      <c r="AS2305" s="46" t="n"/>
      <c r="AV2305" s="36">
        <f>IF($C2305="","",EMPLOYES!M31)</f>
        <v/>
      </c>
      <c r="AW2305" s="36">
        <f>IF($C2305="",0,SUMPRODUCT(--(O2305:AS2305="C")))</f>
        <v/>
      </c>
      <c r="AX2305" s="36">
        <f>IF($C2305="",0,SUMPRODUCT(--(O2305:AS2305="R")))</f>
        <v/>
      </c>
      <c r="AY2305" s="44" t="n"/>
    </row>
    <row r="2306" hidden="1" outlineLevel="1" ht="15" customHeight="1" s="15">
      <c r="B2306" s="41" t="n">
        <v>10</v>
      </c>
      <c r="C2306" s="42">
        <f>IF(EMPLOYES!C32="","",EMPLOYES!C32)</f>
        <v/>
      </c>
      <c r="D2306" s="43">
        <f>IF(EMPLOYES!C32="","",EMPLOYES!D32)</f>
        <v/>
      </c>
      <c r="E2306" s="44" t="n"/>
      <c r="F2306" s="42" t="n"/>
      <c r="G2306" s="41">
        <f>IF($C2306="",0,MAX(0,$M2306-$N2306))</f>
        <v/>
      </c>
      <c r="H2306" s="45" t="n"/>
      <c r="I2306" s="41">
        <f>IF($C2306="","",IF(H2306="","OK",IF(H2306&gt;EMPLOYES!P32,"⚠ Avance &gt; salaire",IF(H2306&gt;EMPLOYES!P32*PARAMETRES!$C$218,"⚠ Avance élevée","OK"))))</f>
        <v/>
      </c>
      <c r="J2306" s="45" t="n"/>
      <c r="K2306" s="46" t="n"/>
      <c r="L2306" s="46" t="n"/>
      <c r="M2306" s="41">
        <f>IF($C2306="","",SUMPRODUCT((PARAMETRES!$B$38:$B$157=PARAMETRES!$C$29)*(PARAMETRES!$C$38:$C$157=10)*(IF(EMPLOYES!M32="5j",PARAMETRES!$I$38:$I$157,PARAMETRES!$H$38:$H$157))))</f>
        <v/>
      </c>
      <c r="N2306" s="41">
        <f>IF($C2306="","",SUMPRODUCT((O2306:AS2306="P")+(O2306:AS2306="F")+(O2306:AS2306="C")+0.5*(O2306:AS2306="D"),(1-((O2286:AS2286=6)*(EMPLOYES!M32="5j")))))</f>
        <v/>
      </c>
      <c r="O2306" s="46" t="n"/>
      <c r="P2306" s="46" t="n"/>
      <c r="Q2306" s="46" t="n"/>
      <c r="R2306" s="46" t="n"/>
      <c r="S2306" s="46" t="n"/>
      <c r="T2306" s="46" t="n"/>
      <c r="U2306" s="46" t="n"/>
      <c r="V2306" s="46" t="n"/>
      <c r="W2306" s="46" t="n"/>
      <c r="X2306" s="46" t="n"/>
      <c r="Y2306" s="46" t="n"/>
      <c r="Z2306" s="46" t="n"/>
      <c r="AA2306" s="46" t="n"/>
      <c r="AB2306" s="46" t="n"/>
      <c r="AC2306" s="46" t="n"/>
      <c r="AD2306" s="46" t="n"/>
      <c r="AE2306" s="46" t="n"/>
      <c r="AF2306" s="46" t="n"/>
      <c r="AG2306" s="46" t="n"/>
      <c r="AH2306" s="46" t="n"/>
      <c r="AI2306" s="46" t="n"/>
      <c r="AJ2306" s="46" t="n"/>
      <c r="AK2306" s="46" t="n"/>
      <c r="AL2306" s="46" t="n"/>
      <c r="AM2306" s="46" t="n"/>
      <c r="AN2306" s="46" t="n"/>
      <c r="AO2306" s="46" t="n"/>
      <c r="AP2306" s="46" t="n"/>
      <c r="AQ2306" s="46" t="n"/>
      <c r="AR2306" s="46" t="n"/>
      <c r="AS2306" s="46" t="n"/>
      <c r="AV2306" s="36">
        <f>IF($C2306="","",EMPLOYES!M32)</f>
        <v/>
      </c>
      <c r="AW2306" s="36">
        <f>IF($C2306="",0,SUMPRODUCT(--(O2306:AS2306="C")))</f>
        <v/>
      </c>
      <c r="AX2306" s="36">
        <f>IF($C2306="",0,SUMPRODUCT(--(O2306:AS2306="R")))</f>
        <v/>
      </c>
      <c r="AY2306" s="44" t="n"/>
    </row>
    <row r="2307" hidden="1" outlineLevel="1" ht="15" customHeight="1" s="15">
      <c r="B2307" s="41" t="n">
        <v>10</v>
      </c>
      <c r="C2307" s="42">
        <f>IF(EMPLOYES!C33="","",EMPLOYES!C33)</f>
        <v/>
      </c>
      <c r="D2307" s="43">
        <f>IF(EMPLOYES!C33="","",EMPLOYES!D33)</f>
        <v/>
      </c>
      <c r="E2307" s="44" t="n"/>
      <c r="F2307" s="42" t="n"/>
      <c r="G2307" s="41">
        <f>IF($C2307="",0,MAX(0,$M2307-$N2307))</f>
        <v/>
      </c>
      <c r="H2307" s="45" t="n"/>
      <c r="I2307" s="41">
        <f>IF($C2307="","",IF(H2307="","OK",IF(H2307&gt;EMPLOYES!P33,"⚠ Avance &gt; salaire",IF(H2307&gt;EMPLOYES!P33*PARAMETRES!$C$218,"⚠ Avance élevée","OK"))))</f>
        <v/>
      </c>
      <c r="J2307" s="45" t="n"/>
      <c r="K2307" s="46" t="n"/>
      <c r="L2307" s="46" t="n"/>
      <c r="M2307" s="41">
        <f>IF($C2307="","",SUMPRODUCT((PARAMETRES!$B$38:$B$157=PARAMETRES!$C$29)*(PARAMETRES!$C$38:$C$157=10)*(IF(EMPLOYES!M33="5j",PARAMETRES!$I$38:$I$157,PARAMETRES!$H$38:$H$157))))</f>
        <v/>
      </c>
      <c r="N2307" s="41">
        <f>IF($C2307="","",SUMPRODUCT((O2307:AS2307="P")+(O2307:AS2307="F")+(O2307:AS2307="C")+0.5*(O2307:AS2307="D"),(1-((O2286:AS2286=6)*(EMPLOYES!M33="5j")))))</f>
        <v/>
      </c>
      <c r="O2307" s="46" t="n"/>
      <c r="P2307" s="46" t="n"/>
      <c r="Q2307" s="46" t="n"/>
      <c r="R2307" s="46" t="n"/>
      <c r="S2307" s="46" t="n"/>
      <c r="T2307" s="46" t="n"/>
      <c r="U2307" s="46" t="n"/>
      <c r="V2307" s="46" t="n"/>
      <c r="W2307" s="46" t="n"/>
      <c r="X2307" s="46" t="n"/>
      <c r="Y2307" s="46" t="n"/>
      <c r="Z2307" s="46" t="n"/>
      <c r="AA2307" s="46" t="n"/>
      <c r="AB2307" s="46" t="n"/>
      <c r="AC2307" s="46" t="n"/>
      <c r="AD2307" s="46" t="n"/>
      <c r="AE2307" s="46" t="n"/>
      <c r="AF2307" s="46" t="n"/>
      <c r="AG2307" s="46" t="n"/>
      <c r="AH2307" s="46" t="n"/>
      <c r="AI2307" s="46" t="n"/>
      <c r="AJ2307" s="46" t="n"/>
      <c r="AK2307" s="46" t="n"/>
      <c r="AL2307" s="46" t="n"/>
      <c r="AM2307" s="46" t="n"/>
      <c r="AN2307" s="46" t="n"/>
      <c r="AO2307" s="46" t="n"/>
      <c r="AP2307" s="46" t="n"/>
      <c r="AQ2307" s="46" t="n"/>
      <c r="AR2307" s="46" t="n"/>
      <c r="AS2307" s="46" t="n"/>
      <c r="AV2307" s="36">
        <f>IF($C2307="","",EMPLOYES!M33)</f>
        <v/>
      </c>
      <c r="AW2307" s="36">
        <f>IF($C2307="",0,SUMPRODUCT(--(O2307:AS2307="C")))</f>
        <v/>
      </c>
      <c r="AX2307" s="36">
        <f>IF($C2307="",0,SUMPRODUCT(--(O2307:AS2307="R")))</f>
        <v/>
      </c>
      <c r="AY2307" s="44" t="n"/>
    </row>
    <row r="2308" hidden="1" outlineLevel="1" ht="15" customHeight="1" s="15">
      <c r="B2308" s="41" t="n">
        <v>10</v>
      </c>
      <c r="C2308" s="42">
        <f>IF(EMPLOYES!C34="","",EMPLOYES!C34)</f>
        <v/>
      </c>
      <c r="D2308" s="43">
        <f>IF(EMPLOYES!C34="","",EMPLOYES!D34)</f>
        <v/>
      </c>
      <c r="E2308" s="44" t="n"/>
      <c r="F2308" s="42" t="n"/>
      <c r="G2308" s="41">
        <f>IF($C2308="",0,MAX(0,$M2308-$N2308))</f>
        <v/>
      </c>
      <c r="H2308" s="45" t="n"/>
      <c r="I2308" s="41">
        <f>IF($C2308="","",IF(H2308="","OK",IF(H2308&gt;EMPLOYES!P34,"⚠ Avance &gt; salaire",IF(H2308&gt;EMPLOYES!P34*PARAMETRES!$C$218,"⚠ Avance élevée","OK"))))</f>
        <v/>
      </c>
      <c r="J2308" s="45" t="n"/>
      <c r="K2308" s="46" t="n"/>
      <c r="L2308" s="46" t="n"/>
      <c r="M2308" s="41">
        <f>IF($C2308="","",SUMPRODUCT((PARAMETRES!$B$38:$B$157=PARAMETRES!$C$29)*(PARAMETRES!$C$38:$C$157=10)*(IF(EMPLOYES!M34="5j",PARAMETRES!$I$38:$I$157,PARAMETRES!$H$38:$H$157))))</f>
        <v/>
      </c>
      <c r="N2308" s="41">
        <f>IF($C2308="","",SUMPRODUCT((O2308:AS2308="P")+(O2308:AS2308="F")+(O2308:AS2308="C")+0.5*(O2308:AS2308="D"),(1-((O2286:AS2286=6)*(EMPLOYES!M34="5j")))))</f>
        <v/>
      </c>
      <c r="O2308" s="46" t="n"/>
      <c r="P2308" s="46" t="n"/>
      <c r="Q2308" s="46" t="n"/>
      <c r="R2308" s="46" t="n"/>
      <c r="S2308" s="46" t="n"/>
      <c r="T2308" s="46" t="n"/>
      <c r="U2308" s="46" t="n"/>
      <c r="V2308" s="46" t="n"/>
      <c r="W2308" s="46" t="n"/>
      <c r="X2308" s="46" t="n"/>
      <c r="Y2308" s="46" t="n"/>
      <c r="Z2308" s="46" t="n"/>
      <c r="AA2308" s="46" t="n"/>
      <c r="AB2308" s="46" t="n"/>
      <c r="AC2308" s="46" t="n"/>
      <c r="AD2308" s="46" t="n"/>
      <c r="AE2308" s="46" t="n"/>
      <c r="AF2308" s="46" t="n"/>
      <c r="AG2308" s="46" t="n"/>
      <c r="AH2308" s="46" t="n"/>
      <c r="AI2308" s="46" t="n"/>
      <c r="AJ2308" s="46" t="n"/>
      <c r="AK2308" s="46" t="n"/>
      <c r="AL2308" s="46" t="n"/>
      <c r="AM2308" s="46" t="n"/>
      <c r="AN2308" s="46" t="n"/>
      <c r="AO2308" s="46" t="n"/>
      <c r="AP2308" s="46" t="n"/>
      <c r="AQ2308" s="46" t="n"/>
      <c r="AR2308" s="46" t="n"/>
      <c r="AS2308" s="46" t="n"/>
      <c r="AV2308" s="36">
        <f>IF($C2308="","",EMPLOYES!M34)</f>
        <v/>
      </c>
      <c r="AW2308" s="36">
        <f>IF($C2308="",0,SUMPRODUCT(--(O2308:AS2308="C")))</f>
        <v/>
      </c>
      <c r="AX2308" s="36">
        <f>IF($C2308="",0,SUMPRODUCT(--(O2308:AS2308="R")))</f>
        <v/>
      </c>
      <c r="AY2308" s="44" t="n"/>
    </row>
    <row r="2309" hidden="1" outlineLevel="1" ht="15" customHeight="1" s="15">
      <c r="B2309" s="41" t="n">
        <v>10</v>
      </c>
      <c r="C2309" s="42">
        <f>IF(EMPLOYES!C35="","",EMPLOYES!C35)</f>
        <v/>
      </c>
      <c r="D2309" s="43">
        <f>IF(EMPLOYES!C35="","",EMPLOYES!D35)</f>
        <v/>
      </c>
      <c r="E2309" s="44" t="n"/>
      <c r="F2309" s="42" t="n"/>
      <c r="G2309" s="41">
        <f>IF($C2309="",0,MAX(0,$M2309-$N2309))</f>
        <v/>
      </c>
      <c r="H2309" s="45" t="n"/>
      <c r="I2309" s="41">
        <f>IF($C2309="","",IF(H2309="","OK",IF(H2309&gt;EMPLOYES!P35,"⚠ Avance &gt; salaire",IF(H2309&gt;EMPLOYES!P35*PARAMETRES!$C$218,"⚠ Avance élevée","OK"))))</f>
        <v/>
      </c>
      <c r="J2309" s="45" t="n"/>
      <c r="K2309" s="46" t="n"/>
      <c r="L2309" s="46" t="n"/>
      <c r="M2309" s="41">
        <f>IF($C2309="","",SUMPRODUCT((PARAMETRES!$B$38:$B$157=PARAMETRES!$C$29)*(PARAMETRES!$C$38:$C$157=10)*(IF(EMPLOYES!M35="5j",PARAMETRES!$I$38:$I$157,PARAMETRES!$H$38:$H$157))))</f>
        <v/>
      </c>
      <c r="N2309" s="41">
        <f>IF($C2309="","",SUMPRODUCT((O2309:AS2309="P")+(O2309:AS2309="F")+(O2309:AS2309="C")+0.5*(O2309:AS2309="D"),(1-((O2286:AS2286=6)*(EMPLOYES!M35="5j")))))</f>
        <v/>
      </c>
      <c r="O2309" s="46" t="n"/>
      <c r="P2309" s="46" t="n"/>
      <c r="Q2309" s="46" t="n"/>
      <c r="R2309" s="46" t="n"/>
      <c r="S2309" s="46" t="n"/>
      <c r="T2309" s="46" t="n"/>
      <c r="U2309" s="46" t="n"/>
      <c r="V2309" s="46" t="n"/>
      <c r="W2309" s="46" t="n"/>
      <c r="X2309" s="46" t="n"/>
      <c r="Y2309" s="46" t="n"/>
      <c r="Z2309" s="46" t="n"/>
      <c r="AA2309" s="46" t="n"/>
      <c r="AB2309" s="46" t="n"/>
      <c r="AC2309" s="46" t="n"/>
      <c r="AD2309" s="46" t="n"/>
      <c r="AE2309" s="46" t="n"/>
      <c r="AF2309" s="46" t="n"/>
      <c r="AG2309" s="46" t="n"/>
      <c r="AH2309" s="46" t="n"/>
      <c r="AI2309" s="46" t="n"/>
      <c r="AJ2309" s="46" t="n"/>
      <c r="AK2309" s="46" t="n"/>
      <c r="AL2309" s="46" t="n"/>
      <c r="AM2309" s="46" t="n"/>
      <c r="AN2309" s="46" t="n"/>
      <c r="AO2309" s="46" t="n"/>
      <c r="AP2309" s="46" t="n"/>
      <c r="AQ2309" s="46" t="n"/>
      <c r="AR2309" s="46" t="n"/>
      <c r="AS2309" s="46" t="n"/>
      <c r="AV2309" s="36">
        <f>IF($C2309="","",EMPLOYES!M35)</f>
        <v/>
      </c>
      <c r="AW2309" s="36">
        <f>IF($C2309="",0,SUMPRODUCT(--(O2309:AS2309="C")))</f>
        <v/>
      </c>
      <c r="AX2309" s="36">
        <f>IF($C2309="",0,SUMPRODUCT(--(O2309:AS2309="R")))</f>
        <v/>
      </c>
      <c r="AY2309" s="44" t="n"/>
    </row>
    <row r="2310" hidden="1" outlineLevel="1" ht="15" customHeight="1" s="15">
      <c r="B2310" s="41" t="n">
        <v>10</v>
      </c>
      <c r="C2310" s="42">
        <f>IF(EMPLOYES!C36="","",EMPLOYES!C36)</f>
        <v/>
      </c>
      <c r="D2310" s="43">
        <f>IF(EMPLOYES!C36="","",EMPLOYES!D36)</f>
        <v/>
      </c>
      <c r="E2310" s="44" t="n"/>
      <c r="F2310" s="42" t="n"/>
      <c r="G2310" s="41">
        <f>IF($C2310="",0,MAX(0,$M2310-$N2310))</f>
        <v/>
      </c>
      <c r="H2310" s="45" t="n"/>
      <c r="I2310" s="41">
        <f>IF($C2310="","",IF(H2310="","OK",IF(H2310&gt;EMPLOYES!P36,"⚠ Avance &gt; salaire",IF(H2310&gt;EMPLOYES!P36*PARAMETRES!$C$218,"⚠ Avance élevée","OK"))))</f>
        <v/>
      </c>
      <c r="J2310" s="45" t="n"/>
      <c r="K2310" s="46" t="n"/>
      <c r="L2310" s="46" t="n"/>
      <c r="M2310" s="41">
        <f>IF($C2310="","",SUMPRODUCT((PARAMETRES!$B$38:$B$157=PARAMETRES!$C$29)*(PARAMETRES!$C$38:$C$157=10)*(IF(EMPLOYES!M36="5j",PARAMETRES!$I$38:$I$157,PARAMETRES!$H$38:$H$157))))</f>
        <v/>
      </c>
      <c r="N2310" s="41">
        <f>IF($C2310="","",SUMPRODUCT((O2310:AS2310="P")+(O2310:AS2310="F")+(O2310:AS2310="C")+0.5*(O2310:AS2310="D"),(1-((O2286:AS2286=6)*(EMPLOYES!M36="5j")))))</f>
        <v/>
      </c>
      <c r="O2310" s="46" t="n"/>
      <c r="P2310" s="46" t="n"/>
      <c r="Q2310" s="46" t="n"/>
      <c r="R2310" s="46" t="n"/>
      <c r="S2310" s="46" t="n"/>
      <c r="T2310" s="46" t="n"/>
      <c r="U2310" s="46" t="n"/>
      <c r="V2310" s="46" t="n"/>
      <c r="W2310" s="46" t="n"/>
      <c r="X2310" s="46" t="n"/>
      <c r="Y2310" s="46" t="n"/>
      <c r="Z2310" s="46" t="n"/>
      <c r="AA2310" s="46" t="n"/>
      <c r="AB2310" s="46" t="n"/>
      <c r="AC2310" s="46" t="n"/>
      <c r="AD2310" s="46" t="n"/>
      <c r="AE2310" s="46" t="n"/>
      <c r="AF2310" s="46" t="n"/>
      <c r="AG2310" s="46" t="n"/>
      <c r="AH2310" s="46" t="n"/>
      <c r="AI2310" s="46" t="n"/>
      <c r="AJ2310" s="46" t="n"/>
      <c r="AK2310" s="46" t="n"/>
      <c r="AL2310" s="46" t="n"/>
      <c r="AM2310" s="46" t="n"/>
      <c r="AN2310" s="46" t="n"/>
      <c r="AO2310" s="46" t="n"/>
      <c r="AP2310" s="46" t="n"/>
      <c r="AQ2310" s="46" t="n"/>
      <c r="AR2310" s="46" t="n"/>
      <c r="AS2310" s="46" t="n"/>
      <c r="AV2310" s="36">
        <f>IF($C2310="","",EMPLOYES!M36)</f>
        <v/>
      </c>
      <c r="AW2310" s="36">
        <f>IF($C2310="",0,SUMPRODUCT(--(O2310:AS2310="C")))</f>
        <v/>
      </c>
      <c r="AX2310" s="36">
        <f>IF($C2310="",0,SUMPRODUCT(--(O2310:AS2310="R")))</f>
        <v/>
      </c>
      <c r="AY2310" s="44" t="n"/>
    </row>
    <row r="2311" hidden="1" outlineLevel="1" ht="15" customHeight="1" s="15">
      <c r="B2311" s="41" t="n">
        <v>10</v>
      </c>
      <c r="C2311" s="42">
        <f>IF(EMPLOYES!C37="","",EMPLOYES!C37)</f>
        <v/>
      </c>
      <c r="D2311" s="43">
        <f>IF(EMPLOYES!C37="","",EMPLOYES!D37)</f>
        <v/>
      </c>
      <c r="E2311" s="44" t="n"/>
      <c r="F2311" s="42" t="n"/>
      <c r="G2311" s="41">
        <f>IF($C2311="",0,MAX(0,$M2311-$N2311))</f>
        <v/>
      </c>
      <c r="H2311" s="45" t="n"/>
      <c r="I2311" s="41">
        <f>IF($C2311="","",IF(H2311="","OK",IF(H2311&gt;EMPLOYES!P37,"⚠ Avance &gt; salaire",IF(H2311&gt;EMPLOYES!P37*PARAMETRES!$C$218,"⚠ Avance élevée","OK"))))</f>
        <v/>
      </c>
      <c r="J2311" s="45" t="n"/>
      <c r="K2311" s="46" t="n"/>
      <c r="L2311" s="46" t="n"/>
      <c r="M2311" s="41">
        <f>IF($C2311="","",SUMPRODUCT((PARAMETRES!$B$38:$B$157=PARAMETRES!$C$29)*(PARAMETRES!$C$38:$C$157=10)*(IF(EMPLOYES!M37="5j",PARAMETRES!$I$38:$I$157,PARAMETRES!$H$38:$H$157))))</f>
        <v/>
      </c>
      <c r="N2311" s="41">
        <f>IF($C2311="","",SUMPRODUCT((O2311:AS2311="P")+(O2311:AS2311="F")+(O2311:AS2311="C")+0.5*(O2311:AS2311="D"),(1-((O2286:AS2286=6)*(EMPLOYES!M37="5j")))))</f>
        <v/>
      </c>
      <c r="O2311" s="46" t="n"/>
      <c r="P2311" s="46" t="n"/>
      <c r="Q2311" s="46" t="n"/>
      <c r="R2311" s="46" t="n"/>
      <c r="S2311" s="46" t="n"/>
      <c r="T2311" s="46" t="n"/>
      <c r="U2311" s="46" t="n"/>
      <c r="V2311" s="46" t="n"/>
      <c r="W2311" s="46" t="n"/>
      <c r="X2311" s="46" t="n"/>
      <c r="Y2311" s="46" t="n"/>
      <c r="Z2311" s="46" t="n"/>
      <c r="AA2311" s="46" t="n"/>
      <c r="AB2311" s="46" t="n"/>
      <c r="AC2311" s="46" t="n"/>
      <c r="AD2311" s="46" t="n"/>
      <c r="AE2311" s="46" t="n"/>
      <c r="AF2311" s="46" t="n"/>
      <c r="AG2311" s="46" t="n"/>
      <c r="AH2311" s="46" t="n"/>
      <c r="AI2311" s="46" t="n"/>
      <c r="AJ2311" s="46" t="n"/>
      <c r="AK2311" s="46" t="n"/>
      <c r="AL2311" s="46" t="n"/>
      <c r="AM2311" s="46" t="n"/>
      <c r="AN2311" s="46" t="n"/>
      <c r="AO2311" s="46" t="n"/>
      <c r="AP2311" s="46" t="n"/>
      <c r="AQ2311" s="46" t="n"/>
      <c r="AR2311" s="46" t="n"/>
      <c r="AS2311" s="46" t="n"/>
      <c r="AV2311" s="36">
        <f>IF($C2311="","",EMPLOYES!M37)</f>
        <v/>
      </c>
      <c r="AW2311" s="36">
        <f>IF($C2311="",0,SUMPRODUCT(--(O2311:AS2311="C")))</f>
        <v/>
      </c>
      <c r="AX2311" s="36">
        <f>IF($C2311="",0,SUMPRODUCT(--(O2311:AS2311="R")))</f>
        <v/>
      </c>
      <c r="AY2311" s="44" t="n"/>
    </row>
    <row r="2312" hidden="1" outlineLevel="1" ht="15" customHeight="1" s="15">
      <c r="B2312" s="41" t="n">
        <v>10</v>
      </c>
      <c r="C2312" s="42">
        <f>IF(EMPLOYES!C38="","",EMPLOYES!C38)</f>
        <v/>
      </c>
      <c r="D2312" s="43">
        <f>IF(EMPLOYES!C38="","",EMPLOYES!D38)</f>
        <v/>
      </c>
      <c r="E2312" s="44" t="n"/>
      <c r="F2312" s="42" t="n"/>
      <c r="G2312" s="41">
        <f>IF($C2312="",0,MAX(0,$M2312-$N2312))</f>
        <v/>
      </c>
      <c r="H2312" s="45" t="n"/>
      <c r="I2312" s="41">
        <f>IF($C2312="","",IF(H2312="","OK",IF(H2312&gt;EMPLOYES!P38,"⚠ Avance &gt; salaire",IF(H2312&gt;EMPLOYES!P38*PARAMETRES!$C$218,"⚠ Avance élevée","OK"))))</f>
        <v/>
      </c>
      <c r="J2312" s="45" t="n"/>
      <c r="K2312" s="46" t="n"/>
      <c r="L2312" s="46" t="n"/>
      <c r="M2312" s="41">
        <f>IF($C2312="","",SUMPRODUCT((PARAMETRES!$B$38:$B$157=PARAMETRES!$C$29)*(PARAMETRES!$C$38:$C$157=10)*(IF(EMPLOYES!M38="5j",PARAMETRES!$I$38:$I$157,PARAMETRES!$H$38:$H$157))))</f>
        <v/>
      </c>
      <c r="N2312" s="41">
        <f>IF($C2312="","",SUMPRODUCT((O2312:AS2312="P")+(O2312:AS2312="F")+(O2312:AS2312="C")+0.5*(O2312:AS2312="D"),(1-((O2286:AS2286=6)*(EMPLOYES!M38="5j")))))</f>
        <v/>
      </c>
      <c r="O2312" s="46" t="n"/>
      <c r="P2312" s="46" t="n"/>
      <c r="Q2312" s="46" t="n"/>
      <c r="R2312" s="46" t="n"/>
      <c r="S2312" s="46" t="n"/>
      <c r="T2312" s="46" t="n"/>
      <c r="U2312" s="46" t="n"/>
      <c r="V2312" s="46" t="n"/>
      <c r="W2312" s="46" t="n"/>
      <c r="X2312" s="46" t="n"/>
      <c r="Y2312" s="46" t="n"/>
      <c r="Z2312" s="46" t="n"/>
      <c r="AA2312" s="46" t="n"/>
      <c r="AB2312" s="46" t="n"/>
      <c r="AC2312" s="46" t="n"/>
      <c r="AD2312" s="46" t="n"/>
      <c r="AE2312" s="46" t="n"/>
      <c r="AF2312" s="46" t="n"/>
      <c r="AG2312" s="46" t="n"/>
      <c r="AH2312" s="46" t="n"/>
      <c r="AI2312" s="46" t="n"/>
      <c r="AJ2312" s="46" t="n"/>
      <c r="AK2312" s="46" t="n"/>
      <c r="AL2312" s="46" t="n"/>
      <c r="AM2312" s="46" t="n"/>
      <c r="AN2312" s="46" t="n"/>
      <c r="AO2312" s="46" t="n"/>
      <c r="AP2312" s="46" t="n"/>
      <c r="AQ2312" s="46" t="n"/>
      <c r="AR2312" s="46" t="n"/>
      <c r="AS2312" s="46" t="n"/>
      <c r="AV2312" s="36">
        <f>IF($C2312="","",EMPLOYES!M38)</f>
        <v/>
      </c>
      <c r="AW2312" s="36">
        <f>IF($C2312="",0,SUMPRODUCT(--(O2312:AS2312="C")))</f>
        <v/>
      </c>
      <c r="AX2312" s="36">
        <f>IF($C2312="",0,SUMPRODUCT(--(O2312:AS2312="R")))</f>
        <v/>
      </c>
      <c r="AY2312" s="44" t="n"/>
    </row>
    <row r="2313" hidden="1" outlineLevel="1" ht="15" customHeight="1" s="15">
      <c r="B2313" s="41" t="n">
        <v>10</v>
      </c>
      <c r="C2313" s="42">
        <f>IF(EMPLOYES!C39="","",EMPLOYES!C39)</f>
        <v/>
      </c>
      <c r="D2313" s="43">
        <f>IF(EMPLOYES!C39="","",EMPLOYES!D39)</f>
        <v/>
      </c>
      <c r="E2313" s="44" t="n"/>
      <c r="F2313" s="42" t="n"/>
      <c r="G2313" s="41">
        <f>IF($C2313="",0,MAX(0,$M2313-$N2313))</f>
        <v/>
      </c>
      <c r="H2313" s="45" t="n"/>
      <c r="I2313" s="41">
        <f>IF($C2313="","",IF(H2313="","OK",IF(H2313&gt;EMPLOYES!P39,"⚠ Avance &gt; salaire",IF(H2313&gt;EMPLOYES!P39*PARAMETRES!$C$218,"⚠ Avance élevée","OK"))))</f>
        <v/>
      </c>
      <c r="J2313" s="45" t="n"/>
      <c r="K2313" s="46" t="n"/>
      <c r="L2313" s="46" t="n"/>
      <c r="M2313" s="41">
        <f>IF($C2313="","",SUMPRODUCT((PARAMETRES!$B$38:$B$157=PARAMETRES!$C$29)*(PARAMETRES!$C$38:$C$157=10)*(IF(EMPLOYES!M39="5j",PARAMETRES!$I$38:$I$157,PARAMETRES!$H$38:$H$157))))</f>
        <v/>
      </c>
      <c r="N2313" s="41">
        <f>IF($C2313="","",SUMPRODUCT((O2313:AS2313="P")+(O2313:AS2313="F")+(O2313:AS2313="C")+0.5*(O2313:AS2313="D"),(1-((O2286:AS2286=6)*(EMPLOYES!M39="5j")))))</f>
        <v/>
      </c>
      <c r="O2313" s="46" t="n"/>
      <c r="P2313" s="46" t="n"/>
      <c r="Q2313" s="46" t="n"/>
      <c r="R2313" s="46" t="n"/>
      <c r="S2313" s="46" t="n"/>
      <c r="T2313" s="46" t="n"/>
      <c r="U2313" s="46" t="n"/>
      <c r="V2313" s="46" t="n"/>
      <c r="W2313" s="46" t="n"/>
      <c r="X2313" s="46" t="n"/>
      <c r="Y2313" s="46" t="n"/>
      <c r="Z2313" s="46" t="n"/>
      <c r="AA2313" s="46" t="n"/>
      <c r="AB2313" s="46" t="n"/>
      <c r="AC2313" s="46" t="n"/>
      <c r="AD2313" s="46" t="n"/>
      <c r="AE2313" s="46" t="n"/>
      <c r="AF2313" s="46" t="n"/>
      <c r="AG2313" s="46" t="n"/>
      <c r="AH2313" s="46" t="n"/>
      <c r="AI2313" s="46" t="n"/>
      <c r="AJ2313" s="46" t="n"/>
      <c r="AK2313" s="46" t="n"/>
      <c r="AL2313" s="46" t="n"/>
      <c r="AM2313" s="46" t="n"/>
      <c r="AN2313" s="46" t="n"/>
      <c r="AO2313" s="46" t="n"/>
      <c r="AP2313" s="46" t="n"/>
      <c r="AQ2313" s="46" t="n"/>
      <c r="AR2313" s="46" t="n"/>
      <c r="AS2313" s="46" t="n"/>
      <c r="AV2313" s="36">
        <f>IF($C2313="","",EMPLOYES!M39)</f>
        <v/>
      </c>
      <c r="AW2313" s="36">
        <f>IF($C2313="",0,SUMPRODUCT(--(O2313:AS2313="C")))</f>
        <v/>
      </c>
      <c r="AX2313" s="36">
        <f>IF($C2313="",0,SUMPRODUCT(--(O2313:AS2313="R")))</f>
        <v/>
      </c>
      <c r="AY2313" s="44" t="n"/>
    </row>
    <row r="2314" hidden="1" outlineLevel="1" ht="15" customHeight="1" s="15">
      <c r="B2314" s="41" t="n">
        <v>10</v>
      </c>
      <c r="C2314" s="42">
        <f>IF(EMPLOYES!C40="","",EMPLOYES!C40)</f>
        <v/>
      </c>
      <c r="D2314" s="43">
        <f>IF(EMPLOYES!C40="","",EMPLOYES!D40)</f>
        <v/>
      </c>
      <c r="E2314" s="44" t="n"/>
      <c r="F2314" s="42" t="n"/>
      <c r="G2314" s="41">
        <f>IF($C2314="",0,MAX(0,$M2314-$N2314))</f>
        <v/>
      </c>
      <c r="H2314" s="45" t="n"/>
      <c r="I2314" s="41">
        <f>IF($C2314="","",IF(H2314="","OK",IF(H2314&gt;EMPLOYES!P40,"⚠ Avance &gt; salaire",IF(H2314&gt;EMPLOYES!P40*PARAMETRES!$C$218,"⚠ Avance élevée","OK"))))</f>
        <v/>
      </c>
      <c r="J2314" s="45" t="n"/>
      <c r="K2314" s="46" t="n"/>
      <c r="L2314" s="46" t="n"/>
      <c r="M2314" s="41">
        <f>IF($C2314="","",SUMPRODUCT((PARAMETRES!$B$38:$B$157=PARAMETRES!$C$29)*(PARAMETRES!$C$38:$C$157=10)*(IF(EMPLOYES!M40="5j",PARAMETRES!$I$38:$I$157,PARAMETRES!$H$38:$H$157))))</f>
        <v/>
      </c>
      <c r="N2314" s="41">
        <f>IF($C2314="","",SUMPRODUCT((O2314:AS2314="P")+(O2314:AS2314="F")+(O2314:AS2314="C")+0.5*(O2314:AS2314="D"),(1-((O2286:AS2286=6)*(EMPLOYES!M40="5j")))))</f>
        <v/>
      </c>
      <c r="O2314" s="46" t="n"/>
      <c r="P2314" s="46" t="n"/>
      <c r="Q2314" s="46" t="n"/>
      <c r="R2314" s="46" t="n"/>
      <c r="S2314" s="46" t="n"/>
      <c r="T2314" s="46" t="n"/>
      <c r="U2314" s="46" t="n"/>
      <c r="V2314" s="46" t="n"/>
      <c r="W2314" s="46" t="n"/>
      <c r="X2314" s="46" t="n"/>
      <c r="Y2314" s="46" t="n"/>
      <c r="Z2314" s="46" t="n"/>
      <c r="AA2314" s="46" t="n"/>
      <c r="AB2314" s="46" t="n"/>
      <c r="AC2314" s="46" t="n"/>
      <c r="AD2314" s="46" t="n"/>
      <c r="AE2314" s="46" t="n"/>
      <c r="AF2314" s="46" t="n"/>
      <c r="AG2314" s="46" t="n"/>
      <c r="AH2314" s="46" t="n"/>
      <c r="AI2314" s="46" t="n"/>
      <c r="AJ2314" s="46" t="n"/>
      <c r="AK2314" s="46" t="n"/>
      <c r="AL2314" s="46" t="n"/>
      <c r="AM2314" s="46" t="n"/>
      <c r="AN2314" s="46" t="n"/>
      <c r="AO2314" s="46" t="n"/>
      <c r="AP2314" s="46" t="n"/>
      <c r="AQ2314" s="46" t="n"/>
      <c r="AR2314" s="46" t="n"/>
      <c r="AS2314" s="46" t="n"/>
      <c r="AV2314" s="36">
        <f>IF($C2314="","",EMPLOYES!M40)</f>
        <v/>
      </c>
      <c r="AW2314" s="36">
        <f>IF($C2314="",0,SUMPRODUCT(--(O2314:AS2314="C")))</f>
        <v/>
      </c>
      <c r="AX2314" s="36">
        <f>IF($C2314="",0,SUMPRODUCT(--(O2314:AS2314="R")))</f>
        <v/>
      </c>
      <c r="AY2314" s="44" t="n"/>
    </row>
    <row r="2315" hidden="1" outlineLevel="1" ht="15" customHeight="1" s="15">
      <c r="B2315" s="41" t="n">
        <v>10</v>
      </c>
      <c r="C2315" s="42">
        <f>IF(EMPLOYES!C41="","",EMPLOYES!C41)</f>
        <v/>
      </c>
      <c r="D2315" s="43">
        <f>IF(EMPLOYES!C41="","",EMPLOYES!D41)</f>
        <v/>
      </c>
      <c r="E2315" s="44" t="n"/>
      <c r="F2315" s="42" t="n"/>
      <c r="G2315" s="41">
        <f>IF($C2315="",0,MAX(0,$M2315-$N2315))</f>
        <v/>
      </c>
      <c r="H2315" s="45" t="n"/>
      <c r="I2315" s="41">
        <f>IF($C2315="","",IF(H2315="","OK",IF(H2315&gt;EMPLOYES!P41,"⚠ Avance &gt; salaire",IF(H2315&gt;EMPLOYES!P41*PARAMETRES!$C$218,"⚠ Avance élevée","OK"))))</f>
        <v/>
      </c>
      <c r="J2315" s="45" t="n"/>
      <c r="K2315" s="46" t="n"/>
      <c r="L2315" s="46" t="n"/>
      <c r="M2315" s="41">
        <f>IF($C2315="","",SUMPRODUCT((PARAMETRES!$B$38:$B$157=PARAMETRES!$C$29)*(PARAMETRES!$C$38:$C$157=10)*(IF(EMPLOYES!M41="5j",PARAMETRES!$I$38:$I$157,PARAMETRES!$H$38:$H$157))))</f>
        <v/>
      </c>
      <c r="N2315" s="41">
        <f>IF($C2315="","",SUMPRODUCT((O2315:AS2315="P")+(O2315:AS2315="F")+(O2315:AS2315="C")+0.5*(O2315:AS2315="D"),(1-((O2286:AS2286=6)*(EMPLOYES!M41="5j")))))</f>
        <v/>
      </c>
      <c r="O2315" s="46" t="n"/>
      <c r="P2315" s="46" t="n"/>
      <c r="Q2315" s="46" t="n"/>
      <c r="R2315" s="46" t="n"/>
      <c r="S2315" s="46" t="n"/>
      <c r="T2315" s="46" t="n"/>
      <c r="U2315" s="46" t="n"/>
      <c r="V2315" s="46" t="n"/>
      <c r="W2315" s="46" t="n"/>
      <c r="X2315" s="46" t="n"/>
      <c r="Y2315" s="46" t="n"/>
      <c r="Z2315" s="46" t="n"/>
      <c r="AA2315" s="46" t="n"/>
      <c r="AB2315" s="46" t="n"/>
      <c r="AC2315" s="46" t="n"/>
      <c r="AD2315" s="46" t="n"/>
      <c r="AE2315" s="46" t="n"/>
      <c r="AF2315" s="46" t="n"/>
      <c r="AG2315" s="46" t="n"/>
      <c r="AH2315" s="46" t="n"/>
      <c r="AI2315" s="46" t="n"/>
      <c r="AJ2315" s="46" t="n"/>
      <c r="AK2315" s="46" t="n"/>
      <c r="AL2315" s="46" t="n"/>
      <c r="AM2315" s="46" t="n"/>
      <c r="AN2315" s="46" t="n"/>
      <c r="AO2315" s="46" t="n"/>
      <c r="AP2315" s="46" t="n"/>
      <c r="AQ2315" s="46" t="n"/>
      <c r="AR2315" s="46" t="n"/>
      <c r="AS2315" s="46" t="n"/>
      <c r="AV2315" s="36">
        <f>IF($C2315="","",EMPLOYES!M41)</f>
        <v/>
      </c>
      <c r="AW2315" s="36">
        <f>IF($C2315="",0,SUMPRODUCT(--(O2315:AS2315="C")))</f>
        <v/>
      </c>
      <c r="AX2315" s="36">
        <f>IF($C2315="",0,SUMPRODUCT(--(O2315:AS2315="R")))</f>
        <v/>
      </c>
      <c r="AY2315" s="44" t="n"/>
    </row>
    <row r="2316" hidden="1" outlineLevel="1" ht="15" customHeight="1" s="15">
      <c r="B2316" s="41" t="n">
        <v>10</v>
      </c>
      <c r="C2316" s="42">
        <f>IF(EMPLOYES!C42="","",EMPLOYES!C42)</f>
        <v/>
      </c>
      <c r="D2316" s="43">
        <f>IF(EMPLOYES!C42="","",EMPLOYES!D42)</f>
        <v/>
      </c>
      <c r="E2316" s="44" t="n"/>
      <c r="F2316" s="42" t="n"/>
      <c r="G2316" s="41">
        <f>IF($C2316="",0,MAX(0,$M2316-$N2316))</f>
        <v/>
      </c>
      <c r="H2316" s="45" t="n"/>
      <c r="I2316" s="41">
        <f>IF($C2316="","",IF(H2316="","OK",IF(H2316&gt;EMPLOYES!P42,"⚠ Avance &gt; salaire",IF(H2316&gt;EMPLOYES!P42*PARAMETRES!$C$218,"⚠ Avance élevée","OK"))))</f>
        <v/>
      </c>
      <c r="J2316" s="45" t="n"/>
      <c r="K2316" s="46" t="n"/>
      <c r="L2316" s="46" t="n"/>
      <c r="M2316" s="41">
        <f>IF($C2316="","",SUMPRODUCT((PARAMETRES!$B$38:$B$157=PARAMETRES!$C$29)*(PARAMETRES!$C$38:$C$157=10)*(IF(EMPLOYES!M42="5j",PARAMETRES!$I$38:$I$157,PARAMETRES!$H$38:$H$157))))</f>
        <v/>
      </c>
      <c r="N2316" s="41">
        <f>IF($C2316="","",SUMPRODUCT((O2316:AS2316="P")+(O2316:AS2316="F")+(O2316:AS2316="C")+0.5*(O2316:AS2316="D"),(1-((O2286:AS2286=6)*(EMPLOYES!M42="5j")))))</f>
        <v/>
      </c>
      <c r="O2316" s="46" t="n"/>
      <c r="P2316" s="46" t="n"/>
      <c r="Q2316" s="46" t="n"/>
      <c r="R2316" s="46" t="n"/>
      <c r="S2316" s="46" t="n"/>
      <c r="T2316" s="46" t="n"/>
      <c r="U2316" s="46" t="n"/>
      <c r="V2316" s="46" t="n"/>
      <c r="W2316" s="46" t="n"/>
      <c r="X2316" s="46" t="n"/>
      <c r="Y2316" s="46" t="n"/>
      <c r="Z2316" s="46" t="n"/>
      <c r="AA2316" s="46" t="n"/>
      <c r="AB2316" s="46" t="n"/>
      <c r="AC2316" s="46" t="n"/>
      <c r="AD2316" s="46" t="n"/>
      <c r="AE2316" s="46" t="n"/>
      <c r="AF2316" s="46" t="n"/>
      <c r="AG2316" s="46" t="n"/>
      <c r="AH2316" s="46" t="n"/>
      <c r="AI2316" s="46" t="n"/>
      <c r="AJ2316" s="46" t="n"/>
      <c r="AK2316" s="46" t="n"/>
      <c r="AL2316" s="46" t="n"/>
      <c r="AM2316" s="46" t="n"/>
      <c r="AN2316" s="46" t="n"/>
      <c r="AO2316" s="46" t="n"/>
      <c r="AP2316" s="46" t="n"/>
      <c r="AQ2316" s="46" t="n"/>
      <c r="AR2316" s="46" t="n"/>
      <c r="AS2316" s="46" t="n"/>
      <c r="AV2316" s="36">
        <f>IF($C2316="","",EMPLOYES!M42)</f>
        <v/>
      </c>
      <c r="AW2316" s="36">
        <f>IF($C2316="",0,SUMPRODUCT(--(O2316:AS2316="C")))</f>
        <v/>
      </c>
      <c r="AX2316" s="36">
        <f>IF($C2316="",0,SUMPRODUCT(--(O2316:AS2316="R")))</f>
        <v/>
      </c>
      <c r="AY2316" s="44" t="n"/>
    </row>
    <row r="2317" hidden="1" outlineLevel="1" ht="15" customHeight="1" s="15">
      <c r="B2317" s="41" t="n">
        <v>10</v>
      </c>
      <c r="C2317" s="42">
        <f>IF(EMPLOYES!C43="","",EMPLOYES!C43)</f>
        <v/>
      </c>
      <c r="D2317" s="43">
        <f>IF(EMPLOYES!C43="","",EMPLOYES!D43)</f>
        <v/>
      </c>
      <c r="E2317" s="44" t="n"/>
      <c r="F2317" s="42" t="n"/>
      <c r="G2317" s="41">
        <f>IF($C2317="",0,MAX(0,$M2317-$N2317))</f>
        <v/>
      </c>
      <c r="H2317" s="45" t="n"/>
      <c r="I2317" s="41">
        <f>IF($C2317="","",IF(H2317="","OK",IF(H2317&gt;EMPLOYES!P43,"⚠ Avance &gt; salaire",IF(H2317&gt;EMPLOYES!P43*PARAMETRES!$C$218,"⚠ Avance élevée","OK"))))</f>
        <v/>
      </c>
      <c r="J2317" s="45" t="n"/>
      <c r="K2317" s="46" t="n"/>
      <c r="L2317" s="46" t="n"/>
      <c r="M2317" s="41">
        <f>IF($C2317="","",SUMPRODUCT((PARAMETRES!$B$38:$B$157=PARAMETRES!$C$29)*(PARAMETRES!$C$38:$C$157=10)*(IF(EMPLOYES!M43="5j",PARAMETRES!$I$38:$I$157,PARAMETRES!$H$38:$H$157))))</f>
        <v/>
      </c>
      <c r="N2317" s="41">
        <f>IF($C2317="","",SUMPRODUCT((O2317:AS2317="P")+(O2317:AS2317="F")+(O2317:AS2317="C")+0.5*(O2317:AS2317="D"),(1-((O2286:AS2286=6)*(EMPLOYES!M43="5j")))))</f>
        <v/>
      </c>
      <c r="O2317" s="46" t="n"/>
      <c r="P2317" s="46" t="n"/>
      <c r="Q2317" s="46" t="n"/>
      <c r="R2317" s="46" t="n"/>
      <c r="S2317" s="46" t="n"/>
      <c r="T2317" s="46" t="n"/>
      <c r="U2317" s="46" t="n"/>
      <c r="V2317" s="46" t="n"/>
      <c r="W2317" s="46" t="n"/>
      <c r="X2317" s="46" t="n"/>
      <c r="Y2317" s="46" t="n"/>
      <c r="Z2317" s="46" t="n"/>
      <c r="AA2317" s="46" t="n"/>
      <c r="AB2317" s="46" t="n"/>
      <c r="AC2317" s="46" t="n"/>
      <c r="AD2317" s="46" t="n"/>
      <c r="AE2317" s="46" t="n"/>
      <c r="AF2317" s="46" t="n"/>
      <c r="AG2317" s="46" t="n"/>
      <c r="AH2317" s="46" t="n"/>
      <c r="AI2317" s="46" t="n"/>
      <c r="AJ2317" s="46" t="n"/>
      <c r="AK2317" s="46" t="n"/>
      <c r="AL2317" s="46" t="n"/>
      <c r="AM2317" s="46" t="n"/>
      <c r="AN2317" s="46" t="n"/>
      <c r="AO2317" s="46" t="n"/>
      <c r="AP2317" s="46" t="n"/>
      <c r="AQ2317" s="46" t="n"/>
      <c r="AR2317" s="46" t="n"/>
      <c r="AS2317" s="46" t="n"/>
      <c r="AV2317" s="36">
        <f>IF($C2317="","",EMPLOYES!M43)</f>
        <v/>
      </c>
      <c r="AW2317" s="36">
        <f>IF($C2317="",0,SUMPRODUCT(--(O2317:AS2317="C")))</f>
        <v/>
      </c>
      <c r="AX2317" s="36">
        <f>IF($C2317="",0,SUMPRODUCT(--(O2317:AS2317="R")))</f>
        <v/>
      </c>
      <c r="AY2317" s="44" t="n"/>
    </row>
    <row r="2318" hidden="1" outlineLevel="1" ht="15" customHeight="1" s="15">
      <c r="B2318" s="41" t="n">
        <v>10</v>
      </c>
      <c r="C2318" s="42">
        <f>IF(EMPLOYES!C44="","",EMPLOYES!C44)</f>
        <v/>
      </c>
      <c r="D2318" s="43">
        <f>IF(EMPLOYES!C44="","",EMPLOYES!D44)</f>
        <v/>
      </c>
      <c r="E2318" s="44" t="n"/>
      <c r="F2318" s="42" t="n"/>
      <c r="G2318" s="41">
        <f>IF($C2318="",0,MAX(0,$M2318-$N2318))</f>
        <v/>
      </c>
      <c r="H2318" s="45" t="n"/>
      <c r="I2318" s="41">
        <f>IF($C2318="","",IF(H2318="","OK",IF(H2318&gt;EMPLOYES!P44,"⚠ Avance &gt; salaire",IF(H2318&gt;EMPLOYES!P44*PARAMETRES!$C$218,"⚠ Avance élevée","OK"))))</f>
        <v/>
      </c>
      <c r="J2318" s="45" t="n"/>
      <c r="K2318" s="46" t="n"/>
      <c r="L2318" s="46" t="n"/>
      <c r="M2318" s="41">
        <f>IF($C2318="","",SUMPRODUCT((PARAMETRES!$B$38:$B$157=PARAMETRES!$C$29)*(PARAMETRES!$C$38:$C$157=10)*(IF(EMPLOYES!M44="5j",PARAMETRES!$I$38:$I$157,PARAMETRES!$H$38:$H$157))))</f>
        <v/>
      </c>
      <c r="N2318" s="41">
        <f>IF($C2318="","",SUMPRODUCT((O2318:AS2318="P")+(O2318:AS2318="F")+(O2318:AS2318="C")+0.5*(O2318:AS2318="D"),(1-((O2286:AS2286=6)*(EMPLOYES!M44="5j")))))</f>
        <v/>
      </c>
      <c r="O2318" s="46" t="n"/>
      <c r="P2318" s="46" t="n"/>
      <c r="Q2318" s="46" t="n"/>
      <c r="R2318" s="46" t="n"/>
      <c r="S2318" s="46" t="n"/>
      <c r="T2318" s="46" t="n"/>
      <c r="U2318" s="46" t="n"/>
      <c r="V2318" s="46" t="n"/>
      <c r="W2318" s="46" t="n"/>
      <c r="X2318" s="46" t="n"/>
      <c r="Y2318" s="46" t="n"/>
      <c r="Z2318" s="46" t="n"/>
      <c r="AA2318" s="46" t="n"/>
      <c r="AB2318" s="46" t="n"/>
      <c r="AC2318" s="46" t="n"/>
      <c r="AD2318" s="46" t="n"/>
      <c r="AE2318" s="46" t="n"/>
      <c r="AF2318" s="46" t="n"/>
      <c r="AG2318" s="46" t="n"/>
      <c r="AH2318" s="46" t="n"/>
      <c r="AI2318" s="46" t="n"/>
      <c r="AJ2318" s="46" t="n"/>
      <c r="AK2318" s="46" t="n"/>
      <c r="AL2318" s="46" t="n"/>
      <c r="AM2318" s="46" t="n"/>
      <c r="AN2318" s="46" t="n"/>
      <c r="AO2318" s="46" t="n"/>
      <c r="AP2318" s="46" t="n"/>
      <c r="AQ2318" s="46" t="n"/>
      <c r="AR2318" s="46" t="n"/>
      <c r="AS2318" s="46" t="n"/>
      <c r="AV2318" s="36">
        <f>IF($C2318="","",EMPLOYES!M44)</f>
        <v/>
      </c>
      <c r="AW2318" s="36">
        <f>IF($C2318="",0,SUMPRODUCT(--(O2318:AS2318="C")))</f>
        <v/>
      </c>
      <c r="AX2318" s="36">
        <f>IF($C2318="",0,SUMPRODUCT(--(O2318:AS2318="R")))</f>
        <v/>
      </c>
      <c r="AY2318" s="44" t="n"/>
    </row>
    <row r="2319" hidden="1" outlineLevel="1" ht="15" customHeight="1" s="15">
      <c r="B2319" s="41" t="n">
        <v>10</v>
      </c>
      <c r="C2319" s="42">
        <f>IF(EMPLOYES!C45="","",EMPLOYES!C45)</f>
        <v/>
      </c>
      <c r="D2319" s="43">
        <f>IF(EMPLOYES!C45="","",EMPLOYES!D45)</f>
        <v/>
      </c>
      <c r="E2319" s="44" t="n"/>
      <c r="F2319" s="42" t="n"/>
      <c r="G2319" s="41">
        <f>IF($C2319="",0,MAX(0,$M2319-$N2319))</f>
        <v/>
      </c>
      <c r="H2319" s="45" t="n"/>
      <c r="I2319" s="41">
        <f>IF($C2319="","",IF(H2319="","OK",IF(H2319&gt;EMPLOYES!P45,"⚠ Avance &gt; salaire",IF(H2319&gt;EMPLOYES!P45*PARAMETRES!$C$218,"⚠ Avance élevée","OK"))))</f>
        <v/>
      </c>
      <c r="J2319" s="45" t="n"/>
      <c r="K2319" s="46" t="n"/>
      <c r="L2319" s="46" t="n"/>
      <c r="M2319" s="41">
        <f>IF($C2319="","",SUMPRODUCT((PARAMETRES!$B$38:$B$157=PARAMETRES!$C$29)*(PARAMETRES!$C$38:$C$157=10)*(IF(EMPLOYES!M45="5j",PARAMETRES!$I$38:$I$157,PARAMETRES!$H$38:$H$157))))</f>
        <v/>
      </c>
      <c r="N2319" s="41">
        <f>IF($C2319="","",SUMPRODUCT((O2319:AS2319="P")+(O2319:AS2319="F")+(O2319:AS2319="C")+0.5*(O2319:AS2319="D"),(1-((O2286:AS2286=6)*(EMPLOYES!M45="5j")))))</f>
        <v/>
      </c>
      <c r="O2319" s="46" t="n"/>
      <c r="P2319" s="46" t="n"/>
      <c r="Q2319" s="46" t="n"/>
      <c r="R2319" s="46" t="n"/>
      <c r="S2319" s="46" t="n"/>
      <c r="T2319" s="46" t="n"/>
      <c r="U2319" s="46" t="n"/>
      <c r="V2319" s="46" t="n"/>
      <c r="W2319" s="46" t="n"/>
      <c r="X2319" s="46" t="n"/>
      <c r="Y2319" s="46" t="n"/>
      <c r="Z2319" s="46" t="n"/>
      <c r="AA2319" s="46" t="n"/>
      <c r="AB2319" s="46" t="n"/>
      <c r="AC2319" s="46" t="n"/>
      <c r="AD2319" s="46" t="n"/>
      <c r="AE2319" s="46" t="n"/>
      <c r="AF2319" s="46" t="n"/>
      <c r="AG2319" s="46" t="n"/>
      <c r="AH2319" s="46" t="n"/>
      <c r="AI2319" s="46" t="n"/>
      <c r="AJ2319" s="46" t="n"/>
      <c r="AK2319" s="46" t="n"/>
      <c r="AL2319" s="46" t="n"/>
      <c r="AM2319" s="46" t="n"/>
      <c r="AN2319" s="46" t="n"/>
      <c r="AO2319" s="46" t="n"/>
      <c r="AP2319" s="46" t="n"/>
      <c r="AQ2319" s="46" t="n"/>
      <c r="AR2319" s="46" t="n"/>
      <c r="AS2319" s="46" t="n"/>
      <c r="AV2319" s="36">
        <f>IF($C2319="","",EMPLOYES!M45)</f>
        <v/>
      </c>
      <c r="AW2319" s="36">
        <f>IF($C2319="",0,SUMPRODUCT(--(O2319:AS2319="C")))</f>
        <v/>
      </c>
      <c r="AX2319" s="36">
        <f>IF($C2319="",0,SUMPRODUCT(--(O2319:AS2319="R")))</f>
        <v/>
      </c>
      <c r="AY2319" s="44" t="n"/>
    </row>
    <row r="2320" hidden="1" outlineLevel="1" ht="15" customHeight="1" s="15">
      <c r="B2320" s="41" t="n">
        <v>10</v>
      </c>
      <c r="C2320" s="42">
        <f>IF(EMPLOYES!C46="","",EMPLOYES!C46)</f>
        <v/>
      </c>
      <c r="D2320" s="43">
        <f>IF(EMPLOYES!C46="","",EMPLOYES!D46)</f>
        <v/>
      </c>
      <c r="E2320" s="44" t="n"/>
      <c r="F2320" s="42" t="n"/>
      <c r="G2320" s="41">
        <f>IF($C2320="",0,MAX(0,$M2320-$N2320))</f>
        <v/>
      </c>
      <c r="H2320" s="45" t="n"/>
      <c r="I2320" s="41">
        <f>IF($C2320="","",IF(H2320="","OK",IF(H2320&gt;EMPLOYES!P46,"⚠ Avance &gt; salaire",IF(H2320&gt;EMPLOYES!P46*PARAMETRES!$C$218,"⚠ Avance élevée","OK"))))</f>
        <v/>
      </c>
      <c r="J2320" s="45" t="n"/>
      <c r="K2320" s="46" t="n"/>
      <c r="L2320" s="46" t="n"/>
      <c r="M2320" s="41">
        <f>IF($C2320="","",SUMPRODUCT((PARAMETRES!$B$38:$B$157=PARAMETRES!$C$29)*(PARAMETRES!$C$38:$C$157=10)*(IF(EMPLOYES!M46="5j",PARAMETRES!$I$38:$I$157,PARAMETRES!$H$38:$H$157))))</f>
        <v/>
      </c>
      <c r="N2320" s="41">
        <f>IF($C2320="","",SUMPRODUCT((O2320:AS2320="P")+(O2320:AS2320="F")+(O2320:AS2320="C")+0.5*(O2320:AS2320="D"),(1-((O2286:AS2286=6)*(EMPLOYES!M46="5j")))))</f>
        <v/>
      </c>
      <c r="O2320" s="46" t="n"/>
      <c r="P2320" s="46" t="n"/>
      <c r="Q2320" s="46" t="n"/>
      <c r="R2320" s="46" t="n"/>
      <c r="S2320" s="46" t="n"/>
      <c r="T2320" s="46" t="n"/>
      <c r="U2320" s="46" t="n"/>
      <c r="V2320" s="46" t="n"/>
      <c r="W2320" s="46" t="n"/>
      <c r="X2320" s="46" t="n"/>
      <c r="Y2320" s="46" t="n"/>
      <c r="Z2320" s="46" t="n"/>
      <c r="AA2320" s="46" t="n"/>
      <c r="AB2320" s="46" t="n"/>
      <c r="AC2320" s="46" t="n"/>
      <c r="AD2320" s="46" t="n"/>
      <c r="AE2320" s="46" t="n"/>
      <c r="AF2320" s="46" t="n"/>
      <c r="AG2320" s="46" t="n"/>
      <c r="AH2320" s="46" t="n"/>
      <c r="AI2320" s="46" t="n"/>
      <c r="AJ2320" s="46" t="n"/>
      <c r="AK2320" s="46" t="n"/>
      <c r="AL2320" s="46" t="n"/>
      <c r="AM2320" s="46" t="n"/>
      <c r="AN2320" s="46" t="n"/>
      <c r="AO2320" s="46" t="n"/>
      <c r="AP2320" s="46" t="n"/>
      <c r="AQ2320" s="46" t="n"/>
      <c r="AR2320" s="46" t="n"/>
      <c r="AS2320" s="46" t="n"/>
      <c r="AV2320" s="36">
        <f>IF($C2320="","",EMPLOYES!M46)</f>
        <v/>
      </c>
      <c r="AW2320" s="36">
        <f>IF($C2320="",0,SUMPRODUCT(--(O2320:AS2320="C")))</f>
        <v/>
      </c>
      <c r="AX2320" s="36">
        <f>IF($C2320="",0,SUMPRODUCT(--(O2320:AS2320="R")))</f>
        <v/>
      </c>
      <c r="AY2320" s="44" t="n"/>
    </row>
    <row r="2321" hidden="1" outlineLevel="1" ht="15" customHeight="1" s="15">
      <c r="B2321" s="41" t="n">
        <v>10</v>
      </c>
      <c r="C2321" s="42">
        <f>IF(EMPLOYES!C47="","",EMPLOYES!C47)</f>
        <v/>
      </c>
      <c r="D2321" s="43">
        <f>IF(EMPLOYES!C47="","",EMPLOYES!D47)</f>
        <v/>
      </c>
      <c r="E2321" s="44" t="n"/>
      <c r="F2321" s="42" t="n"/>
      <c r="G2321" s="41">
        <f>IF($C2321="",0,MAX(0,$M2321-$N2321))</f>
        <v/>
      </c>
      <c r="H2321" s="45" t="n"/>
      <c r="I2321" s="41">
        <f>IF($C2321="","",IF(H2321="","OK",IF(H2321&gt;EMPLOYES!P47,"⚠ Avance &gt; salaire",IF(H2321&gt;EMPLOYES!P47*PARAMETRES!$C$218,"⚠ Avance élevée","OK"))))</f>
        <v/>
      </c>
      <c r="J2321" s="45" t="n"/>
      <c r="K2321" s="46" t="n"/>
      <c r="L2321" s="46" t="n"/>
      <c r="M2321" s="41">
        <f>IF($C2321="","",SUMPRODUCT((PARAMETRES!$B$38:$B$157=PARAMETRES!$C$29)*(PARAMETRES!$C$38:$C$157=10)*(IF(EMPLOYES!M47="5j",PARAMETRES!$I$38:$I$157,PARAMETRES!$H$38:$H$157))))</f>
        <v/>
      </c>
      <c r="N2321" s="41">
        <f>IF($C2321="","",SUMPRODUCT((O2321:AS2321="P")+(O2321:AS2321="F")+(O2321:AS2321="C")+0.5*(O2321:AS2321="D"),(1-((O2286:AS2286=6)*(EMPLOYES!M47="5j")))))</f>
        <v/>
      </c>
      <c r="O2321" s="46" t="n"/>
      <c r="P2321" s="46" t="n"/>
      <c r="Q2321" s="46" t="n"/>
      <c r="R2321" s="46" t="n"/>
      <c r="S2321" s="46" t="n"/>
      <c r="T2321" s="46" t="n"/>
      <c r="U2321" s="46" t="n"/>
      <c r="V2321" s="46" t="n"/>
      <c r="W2321" s="46" t="n"/>
      <c r="X2321" s="46" t="n"/>
      <c r="Y2321" s="46" t="n"/>
      <c r="Z2321" s="46" t="n"/>
      <c r="AA2321" s="46" t="n"/>
      <c r="AB2321" s="46" t="n"/>
      <c r="AC2321" s="46" t="n"/>
      <c r="AD2321" s="46" t="n"/>
      <c r="AE2321" s="46" t="n"/>
      <c r="AF2321" s="46" t="n"/>
      <c r="AG2321" s="46" t="n"/>
      <c r="AH2321" s="46" t="n"/>
      <c r="AI2321" s="46" t="n"/>
      <c r="AJ2321" s="46" t="n"/>
      <c r="AK2321" s="46" t="n"/>
      <c r="AL2321" s="46" t="n"/>
      <c r="AM2321" s="46" t="n"/>
      <c r="AN2321" s="46" t="n"/>
      <c r="AO2321" s="46" t="n"/>
      <c r="AP2321" s="46" t="n"/>
      <c r="AQ2321" s="46" t="n"/>
      <c r="AR2321" s="46" t="n"/>
      <c r="AS2321" s="46" t="n"/>
      <c r="AV2321" s="36">
        <f>IF($C2321="","",EMPLOYES!M47)</f>
        <v/>
      </c>
      <c r="AW2321" s="36">
        <f>IF($C2321="",0,SUMPRODUCT(--(O2321:AS2321="C")))</f>
        <v/>
      </c>
      <c r="AX2321" s="36">
        <f>IF($C2321="",0,SUMPRODUCT(--(O2321:AS2321="R")))</f>
        <v/>
      </c>
      <c r="AY2321" s="44" t="n"/>
    </row>
    <row r="2322" hidden="1" outlineLevel="1" ht="15" customHeight="1" s="15">
      <c r="B2322" s="41" t="n">
        <v>10</v>
      </c>
      <c r="C2322" s="42">
        <f>IF(EMPLOYES!C48="","",EMPLOYES!C48)</f>
        <v/>
      </c>
      <c r="D2322" s="43">
        <f>IF(EMPLOYES!C48="","",EMPLOYES!D48)</f>
        <v/>
      </c>
      <c r="E2322" s="44" t="n"/>
      <c r="F2322" s="42" t="n"/>
      <c r="G2322" s="41">
        <f>IF($C2322="",0,MAX(0,$M2322-$N2322))</f>
        <v/>
      </c>
      <c r="H2322" s="45" t="n"/>
      <c r="I2322" s="41">
        <f>IF($C2322="","",IF(H2322="","OK",IF(H2322&gt;EMPLOYES!P48,"⚠ Avance &gt; salaire",IF(H2322&gt;EMPLOYES!P48*PARAMETRES!$C$218,"⚠ Avance élevée","OK"))))</f>
        <v/>
      </c>
      <c r="J2322" s="45" t="n"/>
      <c r="K2322" s="46" t="n"/>
      <c r="L2322" s="46" t="n"/>
      <c r="M2322" s="41">
        <f>IF($C2322="","",SUMPRODUCT((PARAMETRES!$B$38:$B$157=PARAMETRES!$C$29)*(PARAMETRES!$C$38:$C$157=10)*(IF(EMPLOYES!M48="5j",PARAMETRES!$I$38:$I$157,PARAMETRES!$H$38:$H$157))))</f>
        <v/>
      </c>
      <c r="N2322" s="41">
        <f>IF($C2322="","",SUMPRODUCT((O2322:AS2322="P")+(O2322:AS2322="F")+(O2322:AS2322="C")+0.5*(O2322:AS2322="D"),(1-((O2286:AS2286=6)*(EMPLOYES!M48="5j")))))</f>
        <v/>
      </c>
      <c r="O2322" s="46" t="n"/>
      <c r="P2322" s="46" t="n"/>
      <c r="Q2322" s="46" t="n"/>
      <c r="R2322" s="46" t="n"/>
      <c r="S2322" s="46" t="n"/>
      <c r="T2322" s="46" t="n"/>
      <c r="U2322" s="46" t="n"/>
      <c r="V2322" s="46" t="n"/>
      <c r="W2322" s="46" t="n"/>
      <c r="X2322" s="46" t="n"/>
      <c r="Y2322" s="46" t="n"/>
      <c r="Z2322" s="46" t="n"/>
      <c r="AA2322" s="46" t="n"/>
      <c r="AB2322" s="46" t="n"/>
      <c r="AC2322" s="46" t="n"/>
      <c r="AD2322" s="46" t="n"/>
      <c r="AE2322" s="46" t="n"/>
      <c r="AF2322" s="46" t="n"/>
      <c r="AG2322" s="46" t="n"/>
      <c r="AH2322" s="46" t="n"/>
      <c r="AI2322" s="46" t="n"/>
      <c r="AJ2322" s="46" t="n"/>
      <c r="AK2322" s="46" t="n"/>
      <c r="AL2322" s="46" t="n"/>
      <c r="AM2322" s="46" t="n"/>
      <c r="AN2322" s="46" t="n"/>
      <c r="AO2322" s="46" t="n"/>
      <c r="AP2322" s="46" t="n"/>
      <c r="AQ2322" s="46" t="n"/>
      <c r="AR2322" s="46" t="n"/>
      <c r="AS2322" s="46" t="n"/>
      <c r="AV2322" s="36">
        <f>IF($C2322="","",EMPLOYES!M48)</f>
        <v/>
      </c>
      <c r="AW2322" s="36">
        <f>IF($C2322="",0,SUMPRODUCT(--(O2322:AS2322="C")))</f>
        <v/>
      </c>
      <c r="AX2322" s="36">
        <f>IF($C2322="",0,SUMPRODUCT(--(O2322:AS2322="R")))</f>
        <v/>
      </c>
      <c r="AY2322" s="44" t="n"/>
    </row>
    <row r="2323" hidden="1" outlineLevel="1" ht="15" customHeight="1" s="15">
      <c r="B2323" s="41" t="n">
        <v>10</v>
      </c>
      <c r="C2323" s="42">
        <f>IF(EMPLOYES!C49="","",EMPLOYES!C49)</f>
        <v/>
      </c>
      <c r="D2323" s="43">
        <f>IF(EMPLOYES!C49="","",EMPLOYES!D49)</f>
        <v/>
      </c>
      <c r="E2323" s="44" t="n"/>
      <c r="F2323" s="42" t="n"/>
      <c r="G2323" s="41">
        <f>IF($C2323="",0,MAX(0,$M2323-$N2323))</f>
        <v/>
      </c>
      <c r="H2323" s="45" t="n"/>
      <c r="I2323" s="41">
        <f>IF($C2323="","",IF(H2323="","OK",IF(H2323&gt;EMPLOYES!P49,"⚠ Avance &gt; salaire",IF(H2323&gt;EMPLOYES!P49*PARAMETRES!$C$218,"⚠ Avance élevée","OK"))))</f>
        <v/>
      </c>
      <c r="J2323" s="45" t="n"/>
      <c r="K2323" s="46" t="n"/>
      <c r="L2323" s="46" t="n"/>
      <c r="M2323" s="41">
        <f>IF($C2323="","",SUMPRODUCT((PARAMETRES!$B$38:$B$157=PARAMETRES!$C$29)*(PARAMETRES!$C$38:$C$157=10)*(IF(EMPLOYES!M49="5j",PARAMETRES!$I$38:$I$157,PARAMETRES!$H$38:$H$157))))</f>
        <v/>
      </c>
      <c r="N2323" s="41">
        <f>IF($C2323="","",SUMPRODUCT((O2323:AS2323="P")+(O2323:AS2323="F")+(O2323:AS2323="C")+0.5*(O2323:AS2323="D"),(1-((O2286:AS2286=6)*(EMPLOYES!M49="5j")))))</f>
        <v/>
      </c>
      <c r="O2323" s="46" t="n"/>
      <c r="P2323" s="46" t="n"/>
      <c r="Q2323" s="46" t="n"/>
      <c r="R2323" s="46" t="n"/>
      <c r="S2323" s="46" t="n"/>
      <c r="T2323" s="46" t="n"/>
      <c r="U2323" s="46" t="n"/>
      <c r="V2323" s="46" t="n"/>
      <c r="W2323" s="46" t="n"/>
      <c r="X2323" s="46" t="n"/>
      <c r="Y2323" s="46" t="n"/>
      <c r="Z2323" s="46" t="n"/>
      <c r="AA2323" s="46" t="n"/>
      <c r="AB2323" s="46" t="n"/>
      <c r="AC2323" s="46" t="n"/>
      <c r="AD2323" s="46" t="n"/>
      <c r="AE2323" s="46" t="n"/>
      <c r="AF2323" s="46" t="n"/>
      <c r="AG2323" s="46" t="n"/>
      <c r="AH2323" s="46" t="n"/>
      <c r="AI2323" s="46" t="n"/>
      <c r="AJ2323" s="46" t="n"/>
      <c r="AK2323" s="46" t="n"/>
      <c r="AL2323" s="46" t="n"/>
      <c r="AM2323" s="46" t="n"/>
      <c r="AN2323" s="46" t="n"/>
      <c r="AO2323" s="46" t="n"/>
      <c r="AP2323" s="46" t="n"/>
      <c r="AQ2323" s="46" t="n"/>
      <c r="AR2323" s="46" t="n"/>
      <c r="AS2323" s="46" t="n"/>
      <c r="AV2323" s="36">
        <f>IF($C2323="","",EMPLOYES!M49)</f>
        <v/>
      </c>
      <c r="AW2323" s="36">
        <f>IF($C2323="",0,SUMPRODUCT(--(O2323:AS2323="C")))</f>
        <v/>
      </c>
      <c r="AX2323" s="36">
        <f>IF($C2323="",0,SUMPRODUCT(--(O2323:AS2323="R")))</f>
        <v/>
      </c>
      <c r="AY2323" s="44" t="n"/>
    </row>
    <row r="2324" hidden="1" outlineLevel="1" ht="15" customHeight="1" s="15">
      <c r="B2324" s="41" t="n">
        <v>10</v>
      </c>
      <c r="C2324" s="42">
        <f>IF(EMPLOYES!C50="","",EMPLOYES!C50)</f>
        <v/>
      </c>
      <c r="D2324" s="43">
        <f>IF(EMPLOYES!C50="","",EMPLOYES!D50)</f>
        <v/>
      </c>
      <c r="E2324" s="44" t="n"/>
      <c r="F2324" s="42" t="n"/>
      <c r="G2324" s="41">
        <f>IF($C2324="",0,MAX(0,$M2324-$N2324))</f>
        <v/>
      </c>
      <c r="H2324" s="45" t="n"/>
      <c r="I2324" s="41">
        <f>IF($C2324="","",IF(H2324="","OK",IF(H2324&gt;EMPLOYES!P50,"⚠ Avance &gt; salaire",IF(H2324&gt;EMPLOYES!P50*PARAMETRES!$C$218,"⚠ Avance élevée","OK"))))</f>
        <v/>
      </c>
      <c r="J2324" s="45" t="n"/>
      <c r="K2324" s="46" t="n"/>
      <c r="L2324" s="46" t="n"/>
      <c r="M2324" s="41">
        <f>IF($C2324="","",SUMPRODUCT((PARAMETRES!$B$38:$B$157=PARAMETRES!$C$29)*(PARAMETRES!$C$38:$C$157=10)*(IF(EMPLOYES!M50="5j",PARAMETRES!$I$38:$I$157,PARAMETRES!$H$38:$H$157))))</f>
        <v/>
      </c>
      <c r="N2324" s="41">
        <f>IF($C2324="","",SUMPRODUCT((O2324:AS2324="P")+(O2324:AS2324="F")+(O2324:AS2324="C")+0.5*(O2324:AS2324="D"),(1-((O2286:AS2286=6)*(EMPLOYES!M50="5j")))))</f>
        <v/>
      </c>
      <c r="O2324" s="46" t="n"/>
      <c r="P2324" s="46" t="n"/>
      <c r="Q2324" s="46" t="n"/>
      <c r="R2324" s="46" t="n"/>
      <c r="S2324" s="46" t="n"/>
      <c r="T2324" s="46" t="n"/>
      <c r="U2324" s="46" t="n"/>
      <c r="V2324" s="46" t="n"/>
      <c r="W2324" s="46" t="n"/>
      <c r="X2324" s="46" t="n"/>
      <c r="Y2324" s="46" t="n"/>
      <c r="Z2324" s="46" t="n"/>
      <c r="AA2324" s="46" t="n"/>
      <c r="AB2324" s="46" t="n"/>
      <c r="AC2324" s="46" t="n"/>
      <c r="AD2324" s="46" t="n"/>
      <c r="AE2324" s="46" t="n"/>
      <c r="AF2324" s="46" t="n"/>
      <c r="AG2324" s="46" t="n"/>
      <c r="AH2324" s="46" t="n"/>
      <c r="AI2324" s="46" t="n"/>
      <c r="AJ2324" s="46" t="n"/>
      <c r="AK2324" s="46" t="n"/>
      <c r="AL2324" s="46" t="n"/>
      <c r="AM2324" s="46" t="n"/>
      <c r="AN2324" s="46" t="n"/>
      <c r="AO2324" s="46" t="n"/>
      <c r="AP2324" s="46" t="n"/>
      <c r="AQ2324" s="46" t="n"/>
      <c r="AR2324" s="46" t="n"/>
      <c r="AS2324" s="46" t="n"/>
      <c r="AV2324" s="36">
        <f>IF($C2324="","",EMPLOYES!M50)</f>
        <v/>
      </c>
      <c r="AW2324" s="36">
        <f>IF($C2324="",0,SUMPRODUCT(--(O2324:AS2324="C")))</f>
        <v/>
      </c>
      <c r="AX2324" s="36">
        <f>IF($C2324="",0,SUMPRODUCT(--(O2324:AS2324="R")))</f>
        <v/>
      </c>
      <c r="AY2324" s="44" t="n"/>
    </row>
    <row r="2325" hidden="1" outlineLevel="1" ht="15" customHeight="1" s="15">
      <c r="B2325" s="41" t="n">
        <v>10</v>
      </c>
      <c r="C2325" s="42">
        <f>IF(EMPLOYES!C51="","",EMPLOYES!C51)</f>
        <v/>
      </c>
      <c r="D2325" s="43">
        <f>IF(EMPLOYES!C51="","",EMPLOYES!D51)</f>
        <v/>
      </c>
      <c r="E2325" s="44" t="n"/>
      <c r="F2325" s="42" t="n"/>
      <c r="G2325" s="41">
        <f>IF($C2325="",0,MAX(0,$M2325-$N2325))</f>
        <v/>
      </c>
      <c r="H2325" s="45" t="n"/>
      <c r="I2325" s="41">
        <f>IF($C2325="","",IF(H2325="","OK",IF(H2325&gt;EMPLOYES!P51,"⚠ Avance &gt; salaire",IF(H2325&gt;EMPLOYES!P51*PARAMETRES!$C$218,"⚠ Avance élevée","OK"))))</f>
        <v/>
      </c>
      <c r="J2325" s="45" t="n"/>
      <c r="K2325" s="46" t="n"/>
      <c r="L2325" s="46" t="n"/>
      <c r="M2325" s="41">
        <f>IF($C2325="","",SUMPRODUCT((PARAMETRES!$B$38:$B$157=PARAMETRES!$C$29)*(PARAMETRES!$C$38:$C$157=10)*(IF(EMPLOYES!M51="5j",PARAMETRES!$I$38:$I$157,PARAMETRES!$H$38:$H$157))))</f>
        <v/>
      </c>
      <c r="N2325" s="41">
        <f>IF($C2325="","",SUMPRODUCT((O2325:AS2325="P")+(O2325:AS2325="F")+(O2325:AS2325="C")+0.5*(O2325:AS2325="D"),(1-((O2286:AS2286=6)*(EMPLOYES!M51="5j")))))</f>
        <v/>
      </c>
      <c r="O2325" s="46" t="n"/>
      <c r="P2325" s="46" t="n"/>
      <c r="Q2325" s="46" t="n"/>
      <c r="R2325" s="46" t="n"/>
      <c r="S2325" s="46" t="n"/>
      <c r="T2325" s="46" t="n"/>
      <c r="U2325" s="46" t="n"/>
      <c r="V2325" s="46" t="n"/>
      <c r="W2325" s="46" t="n"/>
      <c r="X2325" s="46" t="n"/>
      <c r="Y2325" s="46" t="n"/>
      <c r="Z2325" s="46" t="n"/>
      <c r="AA2325" s="46" t="n"/>
      <c r="AB2325" s="46" t="n"/>
      <c r="AC2325" s="46" t="n"/>
      <c r="AD2325" s="46" t="n"/>
      <c r="AE2325" s="46" t="n"/>
      <c r="AF2325" s="46" t="n"/>
      <c r="AG2325" s="46" t="n"/>
      <c r="AH2325" s="46" t="n"/>
      <c r="AI2325" s="46" t="n"/>
      <c r="AJ2325" s="46" t="n"/>
      <c r="AK2325" s="46" t="n"/>
      <c r="AL2325" s="46" t="n"/>
      <c r="AM2325" s="46" t="n"/>
      <c r="AN2325" s="46" t="n"/>
      <c r="AO2325" s="46" t="n"/>
      <c r="AP2325" s="46" t="n"/>
      <c r="AQ2325" s="46" t="n"/>
      <c r="AR2325" s="46" t="n"/>
      <c r="AS2325" s="46" t="n"/>
      <c r="AV2325" s="36">
        <f>IF($C2325="","",EMPLOYES!M51)</f>
        <v/>
      </c>
      <c r="AW2325" s="36">
        <f>IF($C2325="",0,SUMPRODUCT(--(O2325:AS2325="C")))</f>
        <v/>
      </c>
      <c r="AX2325" s="36">
        <f>IF($C2325="",0,SUMPRODUCT(--(O2325:AS2325="R")))</f>
        <v/>
      </c>
      <c r="AY2325" s="44" t="n"/>
    </row>
    <row r="2326" hidden="1" outlineLevel="1" ht="15" customHeight="1" s="15">
      <c r="B2326" s="41" t="n">
        <v>10</v>
      </c>
      <c r="C2326" s="42">
        <f>IF(EMPLOYES!C52="","",EMPLOYES!C52)</f>
        <v/>
      </c>
      <c r="D2326" s="43">
        <f>IF(EMPLOYES!C52="","",EMPLOYES!D52)</f>
        <v/>
      </c>
      <c r="E2326" s="44" t="n"/>
      <c r="F2326" s="42" t="n"/>
      <c r="G2326" s="41">
        <f>IF($C2326="",0,MAX(0,$M2326-$N2326))</f>
        <v/>
      </c>
      <c r="H2326" s="45" t="n"/>
      <c r="I2326" s="41">
        <f>IF($C2326="","",IF(H2326="","OK",IF(H2326&gt;EMPLOYES!P52,"⚠ Avance &gt; salaire",IF(H2326&gt;EMPLOYES!P52*PARAMETRES!$C$218,"⚠ Avance élevée","OK"))))</f>
        <v/>
      </c>
      <c r="J2326" s="45" t="n"/>
      <c r="K2326" s="46" t="n"/>
      <c r="L2326" s="46" t="n"/>
      <c r="M2326" s="41">
        <f>IF($C2326="","",SUMPRODUCT((PARAMETRES!$B$38:$B$157=PARAMETRES!$C$29)*(PARAMETRES!$C$38:$C$157=10)*(IF(EMPLOYES!M52="5j",PARAMETRES!$I$38:$I$157,PARAMETRES!$H$38:$H$157))))</f>
        <v/>
      </c>
      <c r="N2326" s="41">
        <f>IF($C2326="","",SUMPRODUCT((O2326:AS2326="P")+(O2326:AS2326="F")+(O2326:AS2326="C")+0.5*(O2326:AS2326="D"),(1-((O2286:AS2286=6)*(EMPLOYES!M52="5j")))))</f>
        <v/>
      </c>
      <c r="O2326" s="46" t="n"/>
      <c r="P2326" s="46" t="n"/>
      <c r="Q2326" s="46" t="n"/>
      <c r="R2326" s="46" t="n"/>
      <c r="S2326" s="46" t="n"/>
      <c r="T2326" s="46" t="n"/>
      <c r="U2326" s="46" t="n"/>
      <c r="V2326" s="46" t="n"/>
      <c r="W2326" s="46" t="n"/>
      <c r="X2326" s="46" t="n"/>
      <c r="Y2326" s="46" t="n"/>
      <c r="Z2326" s="46" t="n"/>
      <c r="AA2326" s="46" t="n"/>
      <c r="AB2326" s="46" t="n"/>
      <c r="AC2326" s="46" t="n"/>
      <c r="AD2326" s="46" t="n"/>
      <c r="AE2326" s="46" t="n"/>
      <c r="AF2326" s="46" t="n"/>
      <c r="AG2326" s="46" t="n"/>
      <c r="AH2326" s="46" t="n"/>
      <c r="AI2326" s="46" t="n"/>
      <c r="AJ2326" s="46" t="n"/>
      <c r="AK2326" s="46" t="n"/>
      <c r="AL2326" s="46" t="n"/>
      <c r="AM2326" s="46" t="n"/>
      <c r="AN2326" s="46" t="n"/>
      <c r="AO2326" s="46" t="n"/>
      <c r="AP2326" s="46" t="n"/>
      <c r="AQ2326" s="46" t="n"/>
      <c r="AR2326" s="46" t="n"/>
      <c r="AS2326" s="46" t="n"/>
      <c r="AV2326" s="36">
        <f>IF($C2326="","",EMPLOYES!M52)</f>
        <v/>
      </c>
      <c r="AW2326" s="36">
        <f>IF($C2326="",0,SUMPRODUCT(--(O2326:AS2326="C")))</f>
        <v/>
      </c>
      <c r="AX2326" s="36">
        <f>IF($C2326="",0,SUMPRODUCT(--(O2326:AS2326="R")))</f>
        <v/>
      </c>
      <c r="AY2326" s="44" t="n"/>
    </row>
    <row r="2327" hidden="1" outlineLevel="1" ht="15" customHeight="1" s="15">
      <c r="B2327" s="41" t="n">
        <v>10</v>
      </c>
      <c r="C2327" s="42">
        <f>IF(EMPLOYES!C53="","",EMPLOYES!C53)</f>
        <v/>
      </c>
      <c r="D2327" s="43">
        <f>IF(EMPLOYES!C53="","",EMPLOYES!D53)</f>
        <v/>
      </c>
      <c r="E2327" s="44" t="n"/>
      <c r="F2327" s="42" t="n"/>
      <c r="G2327" s="41">
        <f>IF($C2327="",0,MAX(0,$M2327-$N2327))</f>
        <v/>
      </c>
      <c r="H2327" s="45" t="n"/>
      <c r="I2327" s="41">
        <f>IF($C2327="","",IF(H2327="","OK",IF(H2327&gt;EMPLOYES!P53,"⚠ Avance &gt; salaire",IF(H2327&gt;EMPLOYES!P53*PARAMETRES!$C$218,"⚠ Avance élevée","OK"))))</f>
        <v/>
      </c>
      <c r="J2327" s="45" t="n"/>
      <c r="K2327" s="46" t="n"/>
      <c r="L2327" s="46" t="n"/>
      <c r="M2327" s="41">
        <f>IF($C2327="","",SUMPRODUCT((PARAMETRES!$B$38:$B$157=PARAMETRES!$C$29)*(PARAMETRES!$C$38:$C$157=10)*(IF(EMPLOYES!M53="5j",PARAMETRES!$I$38:$I$157,PARAMETRES!$H$38:$H$157))))</f>
        <v/>
      </c>
      <c r="N2327" s="41">
        <f>IF($C2327="","",SUMPRODUCT((O2327:AS2327="P")+(O2327:AS2327="F")+(O2327:AS2327="C")+0.5*(O2327:AS2327="D"),(1-((O2286:AS2286=6)*(EMPLOYES!M53="5j")))))</f>
        <v/>
      </c>
      <c r="O2327" s="46" t="n"/>
      <c r="P2327" s="46" t="n"/>
      <c r="Q2327" s="46" t="n"/>
      <c r="R2327" s="46" t="n"/>
      <c r="S2327" s="46" t="n"/>
      <c r="T2327" s="46" t="n"/>
      <c r="U2327" s="46" t="n"/>
      <c r="V2327" s="46" t="n"/>
      <c r="W2327" s="46" t="n"/>
      <c r="X2327" s="46" t="n"/>
      <c r="Y2327" s="46" t="n"/>
      <c r="Z2327" s="46" t="n"/>
      <c r="AA2327" s="46" t="n"/>
      <c r="AB2327" s="46" t="n"/>
      <c r="AC2327" s="46" t="n"/>
      <c r="AD2327" s="46" t="n"/>
      <c r="AE2327" s="46" t="n"/>
      <c r="AF2327" s="46" t="n"/>
      <c r="AG2327" s="46" t="n"/>
      <c r="AH2327" s="46" t="n"/>
      <c r="AI2327" s="46" t="n"/>
      <c r="AJ2327" s="46" t="n"/>
      <c r="AK2327" s="46" t="n"/>
      <c r="AL2327" s="46" t="n"/>
      <c r="AM2327" s="46" t="n"/>
      <c r="AN2327" s="46" t="n"/>
      <c r="AO2327" s="46" t="n"/>
      <c r="AP2327" s="46" t="n"/>
      <c r="AQ2327" s="46" t="n"/>
      <c r="AR2327" s="46" t="n"/>
      <c r="AS2327" s="46" t="n"/>
      <c r="AV2327" s="36">
        <f>IF($C2327="","",EMPLOYES!M53)</f>
        <v/>
      </c>
      <c r="AW2327" s="36">
        <f>IF($C2327="",0,SUMPRODUCT(--(O2327:AS2327="C")))</f>
        <v/>
      </c>
      <c r="AX2327" s="36">
        <f>IF($C2327="",0,SUMPRODUCT(--(O2327:AS2327="R")))</f>
        <v/>
      </c>
      <c r="AY2327" s="44" t="n"/>
    </row>
    <row r="2328" hidden="1" outlineLevel="1" ht="15" customHeight="1" s="15">
      <c r="B2328" s="41" t="n">
        <v>10</v>
      </c>
      <c r="C2328" s="42">
        <f>IF(EMPLOYES!C54="","",EMPLOYES!C54)</f>
        <v/>
      </c>
      <c r="D2328" s="43">
        <f>IF(EMPLOYES!C54="","",EMPLOYES!D54)</f>
        <v/>
      </c>
      <c r="E2328" s="44" t="n"/>
      <c r="F2328" s="42" t="n"/>
      <c r="G2328" s="41">
        <f>IF($C2328="",0,MAX(0,$M2328-$N2328))</f>
        <v/>
      </c>
      <c r="H2328" s="45" t="n"/>
      <c r="I2328" s="41">
        <f>IF($C2328="","",IF(H2328="","OK",IF(H2328&gt;EMPLOYES!P54,"⚠ Avance &gt; salaire",IF(H2328&gt;EMPLOYES!P54*PARAMETRES!$C$218,"⚠ Avance élevée","OK"))))</f>
        <v/>
      </c>
      <c r="J2328" s="45" t="n"/>
      <c r="K2328" s="46" t="n"/>
      <c r="L2328" s="46" t="n"/>
      <c r="M2328" s="41">
        <f>IF($C2328="","",SUMPRODUCT((PARAMETRES!$B$38:$B$157=PARAMETRES!$C$29)*(PARAMETRES!$C$38:$C$157=10)*(IF(EMPLOYES!M54="5j",PARAMETRES!$I$38:$I$157,PARAMETRES!$H$38:$H$157))))</f>
        <v/>
      </c>
      <c r="N2328" s="41">
        <f>IF($C2328="","",SUMPRODUCT((O2328:AS2328="P")+(O2328:AS2328="F")+(O2328:AS2328="C")+0.5*(O2328:AS2328="D"),(1-((O2286:AS2286=6)*(EMPLOYES!M54="5j")))))</f>
        <v/>
      </c>
      <c r="O2328" s="46" t="n"/>
      <c r="P2328" s="46" t="n"/>
      <c r="Q2328" s="46" t="n"/>
      <c r="R2328" s="46" t="n"/>
      <c r="S2328" s="46" t="n"/>
      <c r="T2328" s="46" t="n"/>
      <c r="U2328" s="46" t="n"/>
      <c r="V2328" s="46" t="n"/>
      <c r="W2328" s="46" t="n"/>
      <c r="X2328" s="46" t="n"/>
      <c r="Y2328" s="46" t="n"/>
      <c r="Z2328" s="46" t="n"/>
      <c r="AA2328" s="46" t="n"/>
      <c r="AB2328" s="46" t="n"/>
      <c r="AC2328" s="46" t="n"/>
      <c r="AD2328" s="46" t="n"/>
      <c r="AE2328" s="46" t="n"/>
      <c r="AF2328" s="46" t="n"/>
      <c r="AG2328" s="46" t="n"/>
      <c r="AH2328" s="46" t="n"/>
      <c r="AI2328" s="46" t="n"/>
      <c r="AJ2328" s="46" t="n"/>
      <c r="AK2328" s="46" t="n"/>
      <c r="AL2328" s="46" t="n"/>
      <c r="AM2328" s="46" t="n"/>
      <c r="AN2328" s="46" t="n"/>
      <c r="AO2328" s="46" t="n"/>
      <c r="AP2328" s="46" t="n"/>
      <c r="AQ2328" s="46" t="n"/>
      <c r="AR2328" s="46" t="n"/>
      <c r="AS2328" s="46" t="n"/>
      <c r="AV2328" s="36">
        <f>IF($C2328="","",EMPLOYES!M54)</f>
        <v/>
      </c>
      <c r="AW2328" s="36">
        <f>IF($C2328="",0,SUMPRODUCT(--(O2328:AS2328="C")))</f>
        <v/>
      </c>
      <c r="AX2328" s="36">
        <f>IF($C2328="",0,SUMPRODUCT(--(O2328:AS2328="R")))</f>
        <v/>
      </c>
      <c r="AY2328" s="44" t="n"/>
    </row>
    <row r="2329" hidden="1" outlineLevel="1" ht="15" customHeight="1" s="15">
      <c r="B2329" s="41" t="n">
        <v>10</v>
      </c>
      <c r="C2329" s="42">
        <f>IF(EMPLOYES!C55="","",EMPLOYES!C55)</f>
        <v/>
      </c>
      <c r="D2329" s="43">
        <f>IF(EMPLOYES!C55="","",EMPLOYES!D55)</f>
        <v/>
      </c>
      <c r="E2329" s="44" t="n"/>
      <c r="F2329" s="42" t="n"/>
      <c r="G2329" s="41">
        <f>IF($C2329="",0,MAX(0,$M2329-$N2329))</f>
        <v/>
      </c>
      <c r="H2329" s="45" t="n"/>
      <c r="I2329" s="41">
        <f>IF($C2329="","",IF(H2329="","OK",IF(H2329&gt;EMPLOYES!P55,"⚠ Avance &gt; salaire",IF(H2329&gt;EMPLOYES!P55*PARAMETRES!$C$218,"⚠ Avance élevée","OK"))))</f>
        <v/>
      </c>
      <c r="J2329" s="45" t="n"/>
      <c r="K2329" s="46" t="n"/>
      <c r="L2329" s="46" t="n"/>
      <c r="M2329" s="41">
        <f>IF($C2329="","",SUMPRODUCT((PARAMETRES!$B$38:$B$157=PARAMETRES!$C$29)*(PARAMETRES!$C$38:$C$157=10)*(IF(EMPLOYES!M55="5j",PARAMETRES!$I$38:$I$157,PARAMETRES!$H$38:$H$157))))</f>
        <v/>
      </c>
      <c r="N2329" s="41">
        <f>IF($C2329="","",SUMPRODUCT((O2329:AS2329="P")+(O2329:AS2329="F")+(O2329:AS2329="C")+0.5*(O2329:AS2329="D"),(1-((O2286:AS2286=6)*(EMPLOYES!M55="5j")))))</f>
        <v/>
      </c>
      <c r="O2329" s="46" t="n"/>
      <c r="P2329" s="46" t="n"/>
      <c r="Q2329" s="46" t="n"/>
      <c r="R2329" s="46" t="n"/>
      <c r="S2329" s="46" t="n"/>
      <c r="T2329" s="46" t="n"/>
      <c r="U2329" s="46" t="n"/>
      <c r="V2329" s="46" t="n"/>
      <c r="W2329" s="46" t="n"/>
      <c r="X2329" s="46" t="n"/>
      <c r="Y2329" s="46" t="n"/>
      <c r="Z2329" s="46" t="n"/>
      <c r="AA2329" s="46" t="n"/>
      <c r="AB2329" s="46" t="n"/>
      <c r="AC2329" s="46" t="n"/>
      <c r="AD2329" s="46" t="n"/>
      <c r="AE2329" s="46" t="n"/>
      <c r="AF2329" s="46" t="n"/>
      <c r="AG2329" s="46" t="n"/>
      <c r="AH2329" s="46" t="n"/>
      <c r="AI2329" s="46" t="n"/>
      <c r="AJ2329" s="46" t="n"/>
      <c r="AK2329" s="46" t="n"/>
      <c r="AL2329" s="46" t="n"/>
      <c r="AM2329" s="46" t="n"/>
      <c r="AN2329" s="46" t="n"/>
      <c r="AO2329" s="46" t="n"/>
      <c r="AP2329" s="46" t="n"/>
      <c r="AQ2329" s="46" t="n"/>
      <c r="AR2329" s="46" t="n"/>
      <c r="AS2329" s="46" t="n"/>
      <c r="AV2329" s="36">
        <f>IF($C2329="","",EMPLOYES!M55)</f>
        <v/>
      </c>
      <c r="AW2329" s="36">
        <f>IF($C2329="",0,SUMPRODUCT(--(O2329:AS2329="C")))</f>
        <v/>
      </c>
      <c r="AX2329" s="36">
        <f>IF($C2329="",0,SUMPRODUCT(--(O2329:AS2329="R")))</f>
        <v/>
      </c>
      <c r="AY2329" s="44" t="n"/>
    </row>
    <row r="2330" hidden="1" outlineLevel="1" ht="15" customHeight="1" s="15">
      <c r="B2330" s="41" t="n">
        <v>10</v>
      </c>
      <c r="C2330" s="42">
        <f>IF(EMPLOYES!C56="","",EMPLOYES!C56)</f>
        <v/>
      </c>
      <c r="D2330" s="43">
        <f>IF(EMPLOYES!C56="","",EMPLOYES!D56)</f>
        <v/>
      </c>
      <c r="E2330" s="44" t="n"/>
      <c r="F2330" s="42" t="n"/>
      <c r="G2330" s="41">
        <f>IF($C2330="",0,MAX(0,$M2330-$N2330))</f>
        <v/>
      </c>
      <c r="H2330" s="45" t="n"/>
      <c r="I2330" s="41">
        <f>IF($C2330="","",IF(H2330="","OK",IF(H2330&gt;EMPLOYES!P56,"⚠ Avance &gt; salaire",IF(H2330&gt;EMPLOYES!P56*PARAMETRES!$C$218,"⚠ Avance élevée","OK"))))</f>
        <v/>
      </c>
      <c r="J2330" s="45" t="n"/>
      <c r="K2330" s="46" t="n"/>
      <c r="L2330" s="46" t="n"/>
      <c r="M2330" s="41">
        <f>IF($C2330="","",SUMPRODUCT((PARAMETRES!$B$38:$B$157=PARAMETRES!$C$29)*(PARAMETRES!$C$38:$C$157=10)*(IF(EMPLOYES!M56="5j",PARAMETRES!$I$38:$I$157,PARAMETRES!$H$38:$H$157))))</f>
        <v/>
      </c>
      <c r="N2330" s="41">
        <f>IF($C2330="","",SUMPRODUCT((O2330:AS2330="P")+(O2330:AS2330="F")+(O2330:AS2330="C")+0.5*(O2330:AS2330="D"),(1-((O2286:AS2286=6)*(EMPLOYES!M56="5j")))))</f>
        <v/>
      </c>
      <c r="O2330" s="46" t="n"/>
      <c r="P2330" s="46" t="n"/>
      <c r="Q2330" s="46" t="n"/>
      <c r="R2330" s="46" t="n"/>
      <c r="S2330" s="46" t="n"/>
      <c r="T2330" s="46" t="n"/>
      <c r="U2330" s="46" t="n"/>
      <c r="V2330" s="46" t="n"/>
      <c r="W2330" s="46" t="n"/>
      <c r="X2330" s="46" t="n"/>
      <c r="Y2330" s="46" t="n"/>
      <c r="Z2330" s="46" t="n"/>
      <c r="AA2330" s="46" t="n"/>
      <c r="AB2330" s="46" t="n"/>
      <c r="AC2330" s="46" t="n"/>
      <c r="AD2330" s="46" t="n"/>
      <c r="AE2330" s="46" t="n"/>
      <c r="AF2330" s="46" t="n"/>
      <c r="AG2330" s="46" t="n"/>
      <c r="AH2330" s="46" t="n"/>
      <c r="AI2330" s="46" t="n"/>
      <c r="AJ2330" s="46" t="n"/>
      <c r="AK2330" s="46" t="n"/>
      <c r="AL2330" s="46" t="n"/>
      <c r="AM2330" s="46" t="n"/>
      <c r="AN2330" s="46" t="n"/>
      <c r="AO2330" s="46" t="n"/>
      <c r="AP2330" s="46" t="n"/>
      <c r="AQ2330" s="46" t="n"/>
      <c r="AR2330" s="46" t="n"/>
      <c r="AS2330" s="46" t="n"/>
      <c r="AV2330" s="36">
        <f>IF($C2330="","",EMPLOYES!M56)</f>
        <v/>
      </c>
      <c r="AW2330" s="36">
        <f>IF($C2330="",0,SUMPRODUCT(--(O2330:AS2330="C")))</f>
        <v/>
      </c>
      <c r="AX2330" s="36">
        <f>IF($C2330="",0,SUMPRODUCT(--(O2330:AS2330="R")))</f>
        <v/>
      </c>
      <c r="AY2330" s="44" t="n"/>
    </row>
    <row r="2331" hidden="1" outlineLevel="1" ht="15" customHeight="1" s="15">
      <c r="B2331" s="41" t="n">
        <v>10</v>
      </c>
      <c r="C2331" s="42">
        <f>IF(EMPLOYES!C57="","",EMPLOYES!C57)</f>
        <v/>
      </c>
      <c r="D2331" s="43">
        <f>IF(EMPLOYES!C57="","",EMPLOYES!D57)</f>
        <v/>
      </c>
      <c r="E2331" s="44" t="n"/>
      <c r="F2331" s="42" t="n"/>
      <c r="G2331" s="41">
        <f>IF($C2331="",0,MAX(0,$M2331-$N2331))</f>
        <v/>
      </c>
      <c r="H2331" s="45" t="n"/>
      <c r="I2331" s="41">
        <f>IF($C2331="","",IF(H2331="","OK",IF(H2331&gt;EMPLOYES!P57,"⚠ Avance &gt; salaire",IF(H2331&gt;EMPLOYES!P57*PARAMETRES!$C$218,"⚠ Avance élevée","OK"))))</f>
        <v/>
      </c>
      <c r="J2331" s="45" t="n"/>
      <c r="K2331" s="46" t="n"/>
      <c r="L2331" s="46" t="n"/>
      <c r="M2331" s="41">
        <f>IF($C2331="","",SUMPRODUCT((PARAMETRES!$B$38:$B$157=PARAMETRES!$C$29)*(PARAMETRES!$C$38:$C$157=10)*(IF(EMPLOYES!M57="5j",PARAMETRES!$I$38:$I$157,PARAMETRES!$H$38:$H$157))))</f>
        <v/>
      </c>
      <c r="N2331" s="41">
        <f>IF($C2331="","",SUMPRODUCT((O2331:AS2331="P")+(O2331:AS2331="F")+(O2331:AS2331="C")+0.5*(O2331:AS2331="D"),(1-((O2286:AS2286=6)*(EMPLOYES!M57="5j")))))</f>
        <v/>
      </c>
      <c r="O2331" s="46" t="n"/>
      <c r="P2331" s="46" t="n"/>
      <c r="Q2331" s="46" t="n"/>
      <c r="R2331" s="46" t="n"/>
      <c r="S2331" s="46" t="n"/>
      <c r="T2331" s="46" t="n"/>
      <c r="U2331" s="46" t="n"/>
      <c r="V2331" s="46" t="n"/>
      <c r="W2331" s="46" t="n"/>
      <c r="X2331" s="46" t="n"/>
      <c r="Y2331" s="46" t="n"/>
      <c r="Z2331" s="46" t="n"/>
      <c r="AA2331" s="46" t="n"/>
      <c r="AB2331" s="46" t="n"/>
      <c r="AC2331" s="46" t="n"/>
      <c r="AD2331" s="46" t="n"/>
      <c r="AE2331" s="46" t="n"/>
      <c r="AF2331" s="46" t="n"/>
      <c r="AG2331" s="46" t="n"/>
      <c r="AH2331" s="46" t="n"/>
      <c r="AI2331" s="46" t="n"/>
      <c r="AJ2331" s="46" t="n"/>
      <c r="AK2331" s="46" t="n"/>
      <c r="AL2331" s="46" t="n"/>
      <c r="AM2331" s="46" t="n"/>
      <c r="AN2331" s="46" t="n"/>
      <c r="AO2331" s="46" t="n"/>
      <c r="AP2331" s="46" t="n"/>
      <c r="AQ2331" s="46" t="n"/>
      <c r="AR2331" s="46" t="n"/>
      <c r="AS2331" s="46" t="n"/>
      <c r="AV2331" s="36">
        <f>IF($C2331="","",EMPLOYES!M57)</f>
        <v/>
      </c>
      <c r="AW2331" s="36">
        <f>IF($C2331="",0,SUMPRODUCT(--(O2331:AS2331="C")))</f>
        <v/>
      </c>
      <c r="AX2331" s="36">
        <f>IF($C2331="",0,SUMPRODUCT(--(O2331:AS2331="R")))</f>
        <v/>
      </c>
      <c r="AY2331" s="44" t="n"/>
    </row>
    <row r="2332" hidden="1" outlineLevel="1" ht="15" customHeight="1" s="15">
      <c r="B2332" s="41" t="n">
        <v>10</v>
      </c>
      <c r="C2332" s="42">
        <f>IF(EMPLOYES!C58="","",EMPLOYES!C58)</f>
        <v/>
      </c>
      <c r="D2332" s="43">
        <f>IF(EMPLOYES!C58="","",EMPLOYES!D58)</f>
        <v/>
      </c>
      <c r="E2332" s="44" t="n"/>
      <c r="F2332" s="42" t="n"/>
      <c r="G2332" s="41">
        <f>IF($C2332="",0,MAX(0,$M2332-$N2332))</f>
        <v/>
      </c>
      <c r="H2332" s="45" t="n"/>
      <c r="I2332" s="41">
        <f>IF($C2332="","",IF(H2332="","OK",IF(H2332&gt;EMPLOYES!P58,"⚠ Avance &gt; salaire",IF(H2332&gt;EMPLOYES!P58*PARAMETRES!$C$218,"⚠ Avance élevée","OK"))))</f>
        <v/>
      </c>
      <c r="J2332" s="45" t="n"/>
      <c r="K2332" s="46" t="n"/>
      <c r="L2332" s="46" t="n"/>
      <c r="M2332" s="41">
        <f>IF($C2332="","",SUMPRODUCT((PARAMETRES!$B$38:$B$157=PARAMETRES!$C$29)*(PARAMETRES!$C$38:$C$157=10)*(IF(EMPLOYES!M58="5j",PARAMETRES!$I$38:$I$157,PARAMETRES!$H$38:$H$157))))</f>
        <v/>
      </c>
      <c r="N2332" s="41">
        <f>IF($C2332="","",SUMPRODUCT((O2332:AS2332="P")+(O2332:AS2332="F")+(O2332:AS2332="C")+0.5*(O2332:AS2332="D"),(1-((O2286:AS2286=6)*(EMPLOYES!M58="5j")))))</f>
        <v/>
      </c>
      <c r="O2332" s="46" t="n"/>
      <c r="P2332" s="46" t="n"/>
      <c r="Q2332" s="46" t="n"/>
      <c r="R2332" s="46" t="n"/>
      <c r="S2332" s="46" t="n"/>
      <c r="T2332" s="46" t="n"/>
      <c r="U2332" s="46" t="n"/>
      <c r="V2332" s="46" t="n"/>
      <c r="W2332" s="46" t="n"/>
      <c r="X2332" s="46" t="n"/>
      <c r="Y2332" s="46" t="n"/>
      <c r="Z2332" s="46" t="n"/>
      <c r="AA2332" s="46" t="n"/>
      <c r="AB2332" s="46" t="n"/>
      <c r="AC2332" s="46" t="n"/>
      <c r="AD2332" s="46" t="n"/>
      <c r="AE2332" s="46" t="n"/>
      <c r="AF2332" s="46" t="n"/>
      <c r="AG2332" s="46" t="n"/>
      <c r="AH2332" s="46" t="n"/>
      <c r="AI2332" s="46" t="n"/>
      <c r="AJ2332" s="46" t="n"/>
      <c r="AK2332" s="46" t="n"/>
      <c r="AL2332" s="46" t="n"/>
      <c r="AM2332" s="46" t="n"/>
      <c r="AN2332" s="46" t="n"/>
      <c r="AO2332" s="46" t="n"/>
      <c r="AP2332" s="46" t="n"/>
      <c r="AQ2332" s="46" t="n"/>
      <c r="AR2332" s="46" t="n"/>
      <c r="AS2332" s="46" t="n"/>
      <c r="AV2332" s="36">
        <f>IF($C2332="","",EMPLOYES!M58)</f>
        <v/>
      </c>
      <c r="AW2332" s="36">
        <f>IF($C2332="",0,SUMPRODUCT(--(O2332:AS2332="C")))</f>
        <v/>
      </c>
      <c r="AX2332" s="36">
        <f>IF($C2332="",0,SUMPRODUCT(--(O2332:AS2332="R")))</f>
        <v/>
      </c>
      <c r="AY2332" s="44" t="n"/>
    </row>
    <row r="2333" hidden="1" outlineLevel="1" ht="15" customHeight="1" s="15">
      <c r="B2333" s="41" t="n">
        <v>10</v>
      </c>
      <c r="C2333" s="42">
        <f>IF(EMPLOYES!C59="","",EMPLOYES!C59)</f>
        <v/>
      </c>
      <c r="D2333" s="43">
        <f>IF(EMPLOYES!C59="","",EMPLOYES!D59)</f>
        <v/>
      </c>
      <c r="E2333" s="44" t="n"/>
      <c r="F2333" s="42" t="n"/>
      <c r="G2333" s="41">
        <f>IF($C2333="",0,MAX(0,$M2333-$N2333))</f>
        <v/>
      </c>
      <c r="H2333" s="45" t="n"/>
      <c r="I2333" s="41">
        <f>IF($C2333="","",IF(H2333="","OK",IF(H2333&gt;EMPLOYES!P59,"⚠ Avance &gt; salaire",IF(H2333&gt;EMPLOYES!P59*PARAMETRES!$C$218,"⚠ Avance élevée","OK"))))</f>
        <v/>
      </c>
      <c r="J2333" s="45" t="n"/>
      <c r="K2333" s="46" t="n"/>
      <c r="L2333" s="46" t="n"/>
      <c r="M2333" s="41">
        <f>IF($C2333="","",SUMPRODUCT((PARAMETRES!$B$38:$B$157=PARAMETRES!$C$29)*(PARAMETRES!$C$38:$C$157=10)*(IF(EMPLOYES!M59="5j",PARAMETRES!$I$38:$I$157,PARAMETRES!$H$38:$H$157))))</f>
        <v/>
      </c>
      <c r="N2333" s="41">
        <f>IF($C2333="","",SUMPRODUCT((O2333:AS2333="P")+(O2333:AS2333="F")+(O2333:AS2333="C")+0.5*(O2333:AS2333="D"),(1-((O2286:AS2286=6)*(EMPLOYES!M59="5j")))))</f>
        <v/>
      </c>
      <c r="O2333" s="46" t="n"/>
      <c r="P2333" s="46" t="n"/>
      <c r="Q2333" s="46" t="n"/>
      <c r="R2333" s="46" t="n"/>
      <c r="S2333" s="46" t="n"/>
      <c r="T2333" s="46" t="n"/>
      <c r="U2333" s="46" t="n"/>
      <c r="V2333" s="46" t="n"/>
      <c r="W2333" s="46" t="n"/>
      <c r="X2333" s="46" t="n"/>
      <c r="Y2333" s="46" t="n"/>
      <c r="Z2333" s="46" t="n"/>
      <c r="AA2333" s="46" t="n"/>
      <c r="AB2333" s="46" t="n"/>
      <c r="AC2333" s="46" t="n"/>
      <c r="AD2333" s="46" t="n"/>
      <c r="AE2333" s="46" t="n"/>
      <c r="AF2333" s="46" t="n"/>
      <c r="AG2333" s="46" t="n"/>
      <c r="AH2333" s="46" t="n"/>
      <c r="AI2333" s="46" t="n"/>
      <c r="AJ2333" s="46" t="n"/>
      <c r="AK2333" s="46" t="n"/>
      <c r="AL2333" s="46" t="n"/>
      <c r="AM2333" s="46" t="n"/>
      <c r="AN2333" s="46" t="n"/>
      <c r="AO2333" s="46" t="n"/>
      <c r="AP2333" s="46" t="n"/>
      <c r="AQ2333" s="46" t="n"/>
      <c r="AR2333" s="46" t="n"/>
      <c r="AS2333" s="46" t="n"/>
      <c r="AV2333" s="36">
        <f>IF($C2333="","",EMPLOYES!M59)</f>
        <v/>
      </c>
      <c r="AW2333" s="36">
        <f>IF($C2333="",0,SUMPRODUCT(--(O2333:AS2333="C")))</f>
        <v/>
      </c>
      <c r="AX2333" s="36">
        <f>IF($C2333="",0,SUMPRODUCT(--(O2333:AS2333="R")))</f>
        <v/>
      </c>
      <c r="AY2333" s="44" t="n"/>
    </row>
    <row r="2334" hidden="1" outlineLevel="1" ht="15" customHeight="1" s="15">
      <c r="B2334" s="41" t="n">
        <v>10</v>
      </c>
      <c r="C2334" s="42">
        <f>IF(EMPLOYES!C60="","",EMPLOYES!C60)</f>
        <v/>
      </c>
      <c r="D2334" s="43">
        <f>IF(EMPLOYES!C60="","",EMPLOYES!D60)</f>
        <v/>
      </c>
      <c r="E2334" s="44" t="n"/>
      <c r="F2334" s="42" t="n"/>
      <c r="G2334" s="41">
        <f>IF($C2334="",0,MAX(0,$M2334-$N2334))</f>
        <v/>
      </c>
      <c r="H2334" s="45" t="n"/>
      <c r="I2334" s="41">
        <f>IF($C2334="","",IF(H2334="","OK",IF(H2334&gt;EMPLOYES!P60,"⚠ Avance &gt; salaire",IF(H2334&gt;EMPLOYES!P60*PARAMETRES!$C$218,"⚠ Avance élevée","OK"))))</f>
        <v/>
      </c>
      <c r="J2334" s="45" t="n"/>
      <c r="K2334" s="46" t="n"/>
      <c r="L2334" s="46" t="n"/>
      <c r="M2334" s="41">
        <f>IF($C2334="","",SUMPRODUCT((PARAMETRES!$B$38:$B$157=PARAMETRES!$C$29)*(PARAMETRES!$C$38:$C$157=10)*(IF(EMPLOYES!M60="5j",PARAMETRES!$I$38:$I$157,PARAMETRES!$H$38:$H$157))))</f>
        <v/>
      </c>
      <c r="N2334" s="41">
        <f>IF($C2334="","",SUMPRODUCT((O2334:AS2334="P")+(O2334:AS2334="F")+(O2334:AS2334="C")+0.5*(O2334:AS2334="D"),(1-((O2286:AS2286=6)*(EMPLOYES!M60="5j")))))</f>
        <v/>
      </c>
      <c r="O2334" s="46" t="n"/>
      <c r="P2334" s="46" t="n"/>
      <c r="Q2334" s="46" t="n"/>
      <c r="R2334" s="46" t="n"/>
      <c r="S2334" s="46" t="n"/>
      <c r="T2334" s="46" t="n"/>
      <c r="U2334" s="46" t="n"/>
      <c r="V2334" s="46" t="n"/>
      <c r="W2334" s="46" t="n"/>
      <c r="X2334" s="46" t="n"/>
      <c r="Y2334" s="46" t="n"/>
      <c r="Z2334" s="46" t="n"/>
      <c r="AA2334" s="46" t="n"/>
      <c r="AB2334" s="46" t="n"/>
      <c r="AC2334" s="46" t="n"/>
      <c r="AD2334" s="46" t="n"/>
      <c r="AE2334" s="46" t="n"/>
      <c r="AF2334" s="46" t="n"/>
      <c r="AG2334" s="46" t="n"/>
      <c r="AH2334" s="46" t="n"/>
      <c r="AI2334" s="46" t="n"/>
      <c r="AJ2334" s="46" t="n"/>
      <c r="AK2334" s="46" t="n"/>
      <c r="AL2334" s="46" t="n"/>
      <c r="AM2334" s="46" t="n"/>
      <c r="AN2334" s="46" t="n"/>
      <c r="AO2334" s="46" t="n"/>
      <c r="AP2334" s="46" t="n"/>
      <c r="AQ2334" s="46" t="n"/>
      <c r="AR2334" s="46" t="n"/>
      <c r="AS2334" s="46" t="n"/>
      <c r="AV2334" s="36">
        <f>IF($C2334="","",EMPLOYES!M60)</f>
        <v/>
      </c>
      <c r="AW2334" s="36">
        <f>IF($C2334="",0,SUMPRODUCT(--(O2334:AS2334="C")))</f>
        <v/>
      </c>
      <c r="AX2334" s="36">
        <f>IF($C2334="",0,SUMPRODUCT(--(O2334:AS2334="R")))</f>
        <v/>
      </c>
      <c r="AY2334" s="44" t="n"/>
    </row>
    <row r="2335" hidden="1" outlineLevel="1" ht="15" customHeight="1" s="15">
      <c r="B2335" s="41" t="n">
        <v>10</v>
      </c>
      <c r="C2335" s="42">
        <f>IF(EMPLOYES!C61="","",EMPLOYES!C61)</f>
        <v/>
      </c>
      <c r="D2335" s="43">
        <f>IF(EMPLOYES!C61="","",EMPLOYES!D61)</f>
        <v/>
      </c>
      <c r="E2335" s="44" t="n"/>
      <c r="F2335" s="42" t="n"/>
      <c r="G2335" s="41">
        <f>IF($C2335="",0,MAX(0,$M2335-$N2335))</f>
        <v/>
      </c>
      <c r="H2335" s="45" t="n"/>
      <c r="I2335" s="41">
        <f>IF($C2335="","",IF(H2335="","OK",IF(H2335&gt;EMPLOYES!P61,"⚠ Avance &gt; salaire",IF(H2335&gt;EMPLOYES!P61*PARAMETRES!$C$218,"⚠ Avance élevée","OK"))))</f>
        <v/>
      </c>
      <c r="J2335" s="45" t="n"/>
      <c r="K2335" s="46" t="n"/>
      <c r="L2335" s="46" t="n"/>
      <c r="M2335" s="41">
        <f>IF($C2335="","",SUMPRODUCT((PARAMETRES!$B$38:$B$157=PARAMETRES!$C$29)*(PARAMETRES!$C$38:$C$157=10)*(IF(EMPLOYES!M61="5j",PARAMETRES!$I$38:$I$157,PARAMETRES!$H$38:$H$157))))</f>
        <v/>
      </c>
      <c r="N2335" s="41">
        <f>IF($C2335="","",SUMPRODUCT((O2335:AS2335="P")+(O2335:AS2335="F")+(O2335:AS2335="C")+0.5*(O2335:AS2335="D"),(1-((O2286:AS2286=6)*(EMPLOYES!M61="5j")))))</f>
        <v/>
      </c>
      <c r="O2335" s="46" t="n"/>
      <c r="P2335" s="46" t="n"/>
      <c r="Q2335" s="46" t="n"/>
      <c r="R2335" s="46" t="n"/>
      <c r="S2335" s="46" t="n"/>
      <c r="T2335" s="46" t="n"/>
      <c r="U2335" s="46" t="n"/>
      <c r="V2335" s="46" t="n"/>
      <c r="W2335" s="46" t="n"/>
      <c r="X2335" s="46" t="n"/>
      <c r="Y2335" s="46" t="n"/>
      <c r="Z2335" s="46" t="n"/>
      <c r="AA2335" s="46" t="n"/>
      <c r="AB2335" s="46" t="n"/>
      <c r="AC2335" s="46" t="n"/>
      <c r="AD2335" s="46" t="n"/>
      <c r="AE2335" s="46" t="n"/>
      <c r="AF2335" s="46" t="n"/>
      <c r="AG2335" s="46" t="n"/>
      <c r="AH2335" s="46" t="n"/>
      <c r="AI2335" s="46" t="n"/>
      <c r="AJ2335" s="46" t="n"/>
      <c r="AK2335" s="46" t="n"/>
      <c r="AL2335" s="46" t="n"/>
      <c r="AM2335" s="46" t="n"/>
      <c r="AN2335" s="46" t="n"/>
      <c r="AO2335" s="46" t="n"/>
      <c r="AP2335" s="46" t="n"/>
      <c r="AQ2335" s="46" t="n"/>
      <c r="AR2335" s="46" t="n"/>
      <c r="AS2335" s="46" t="n"/>
      <c r="AV2335" s="36">
        <f>IF($C2335="","",EMPLOYES!M61)</f>
        <v/>
      </c>
      <c r="AW2335" s="36">
        <f>IF($C2335="",0,SUMPRODUCT(--(O2335:AS2335="C")))</f>
        <v/>
      </c>
      <c r="AX2335" s="36">
        <f>IF($C2335="",0,SUMPRODUCT(--(O2335:AS2335="R")))</f>
        <v/>
      </c>
      <c r="AY2335" s="44" t="n"/>
    </row>
    <row r="2336" hidden="1" outlineLevel="1" ht="15" customHeight="1" s="15">
      <c r="B2336" s="41" t="n">
        <v>10</v>
      </c>
      <c r="C2336" s="42">
        <f>IF(EMPLOYES!C62="","",EMPLOYES!C62)</f>
        <v/>
      </c>
      <c r="D2336" s="43">
        <f>IF(EMPLOYES!C62="","",EMPLOYES!D62)</f>
        <v/>
      </c>
      <c r="E2336" s="44" t="n"/>
      <c r="F2336" s="42" t="n"/>
      <c r="G2336" s="41">
        <f>IF($C2336="",0,MAX(0,$M2336-$N2336))</f>
        <v/>
      </c>
      <c r="H2336" s="45" t="n"/>
      <c r="I2336" s="41">
        <f>IF($C2336="","",IF(H2336="","OK",IF(H2336&gt;EMPLOYES!P62,"⚠ Avance &gt; salaire",IF(H2336&gt;EMPLOYES!P62*PARAMETRES!$C$218,"⚠ Avance élevée","OK"))))</f>
        <v/>
      </c>
      <c r="J2336" s="45" t="n"/>
      <c r="K2336" s="46" t="n"/>
      <c r="L2336" s="46" t="n"/>
      <c r="M2336" s="41">
        <f>IF($C2336="","",SUMPRODUCT((PARAMETRES!$B$38:$B$157=PARAMETRES!$C$29)*(PARAMETRES!$C$38:$C$157=10)*(IF(EMPLOYES!M62="5j",PARAMETRES!$I$38:$I$157,PARAMETRES!$H$38:$H$157))))</f>
        <v/>
      </c>
      <c r="N2336" s="41">
        <f>IF($C2336="","",SUMPRODUCT((O2336:AS2336="P")+(O2336:AS2336="F")+(O2336:AS2336="C")+0.5*(O2336:AS2336="D"),(1-((O2286:AS2286=6)*(EMPLOYES!M62="5j")))))</f>
        <v/>
      </c>
      <c r="O2336" s="46" t="n"/>
      <c r="P2336" s="46" t="n"/>
      <c r="Q2336" s="46" t="n"/>
      <c r="R2336" s="46" t="n"/>
      <c r="S2336" s="46" t="n"/>
      <c r="T2336" s="46" t="n"/>
      <c r="U2336" s="46" t="n"/>
      <c r="V2336" s="46" t="n"/>
      <c r="W2336" s="46" t="n"/>
      <c r="X2336" s="46" t="n"/>
      <c r="Y2336" s="46" t="n"/>
      <c r="Z2336" s="46" t="n"/>
      <c r="AA2336" s="46" t="n"/>
      <c r="AB2336" s="46" t="n"/>
      <c r="AC2336" s="46" t="n"/>
      <c r="AD2336" s="46" t="n"/>
      <c r="AE2336" s="46" t="n"/>
      <c r="AF2336" s="46" t="n"/>
      <c r="AG2336" s="46" t="n"/>
      <c r="AH2336" s="46" t="n"/>
      <c r="AI2336" s="46" t="n"/>
      <c r="AJ2336" s="46" t="n"/>
      <c r="AK2336" s="46" t="n"/>
      <c r="AL2336" s="46" t="n"/>
      <c r="AM2336" s="46" t="n"/>
      <c r="AN2336" s="46" t="n"/>
      <c r="AO2336" s="46" t="n"/>
      <c r="AP2336" s="46" t="n"/>
      <c r="AQ2336" s="46" t="n"/>
      <c r="AR2336" s="46" t="n"/>
      <c r="AS2336" s="46" t="n"/>
      <c r="AV2336" s="36">
        <f>IF($C2336="","",EMPLOYES!M62)</f>
        <v/>
      </c>
      <c r="AW2336" s="36">
        <f>IF($C2336="",0,SUMPRODUCT(--(O2336:AS2336="C")))</f>
        <v/>
      </c>
      <c r="AX2336" s="36">
        <f>IF($C2336="",0,SUMPRODUCT(--(O2336:AS2336="R")))</f>
        <v/>
      </c>
      <c r="AY2336" s="44" t="n"/>
    </row>
    <row r="2337" hidden="1" outlineLevel="1" ht="15" customHeight="1" s="15">
      <c r="B2337" s="41" t="n">
        <v>10</v>
      </c>
      <c r="C2337" s="42">
        <f>IF(EMPLOYES!C63="","",EMPLOYES!C63)</f>
        <v/>
      </c>
      <c r="D2337" s="43">
        <f>IF(EMPLOYES!C63="","",EMPLOYES!D63)</f>
        <v/>
      </c>
      <c r="E2337" s="44" t="n"/>
      <c r="F2337" s="42" t="n"/>
      <c r="G2337" s="41">
        <f>IF($C2337="",0,MAX(0,$M2337-$N2337))</f>
        <v/>
      </c>
      <c r="H2337" s="45" t="n"/>
      <c r="I2337" s="41">
        <f>IF($C2337="","",IF(H2337="","OK",IF(H2337&gt;EMPLOYES!P63,"⚠ Avance &gt; salaire",IF(H2337&gt;EMPLOYES!P63*PARAMETRES!$C$218,"⚠ Avance élevée","OK"))))</f>
        <v/>
      </c>
      <c r="J2337" s="45" t="n"/>
      <c r="K2337" s="46" t="n"/>
      <c r="L2337" s="46" t="n"/>
      <c r="M2337" s="41">
        <f>IF($C2337="","",SUMPRODUCT((PARAMETRES!$B$38:$B$157=PARAMETRES!$C$29)*(PARAMETRES!$C$38:$C$157=10)*(IF(EMPLOYES!M63="5j",PARAMETRES!$I$38:$I$157,PARAMETRES!$H$38:$H$157))))</f>
        <v/>
      </c>
      <c r="N2337" s="41">
        <f>IF($C2337="","",SUMPRODUCT((O2337:AS2337="P")+(O2337:AS2337="F")+(O2337:AS2337="C")+0.5*(O2337:AS2337="D"),(1-((O2286:AS2286=6)*(EMPLOYES!M63="5j")))))</f>
        <v/>
      </c>
      <c r="O2337" s="46" t="n"/>
      <c r="P2337" s="46" t="n"/>
      <c r="Q2337" s="46" t="n"/>
      <c r="R2337" s="46" t="n"/>
      <c r="S2337" s="46" t="n"/>
      <c r="T2337" s="46" t="n"/>
      <c r="U2337" s="46" t="n"/>
      <c r="V2337" s="46" t="n"/>
      <c r="W2337" s="46" t="n"/>
      <c r="X2337" s="46" t="n"/>
      <c r="Y2337" s="46" t="n"/>
      <c r="Z2337" s="46" t="n"/>
      <c r="AA2337" s="46" t="n"/>
      <c r="AB2337" s="46" t="n"/>
      <c r="AC2337" s="46" t="n"/>
      <c r="AD2337" s="46" t="n"/>
      <c r="AE2337" s="46" t="n"/>
      <c r="AF2337" s="46" t="n"/>
      <c r="AG2337" s="46" t="n"/>
      <c r="AH2337" s="46" t="n"/>
      <c r="AI2337" s="46" t="n"/>
      <c r="AJ2337" s="46" t="n"/>
      <c r="AK2337" s="46" t="n"/>
      <c r="AL2337" s="46" t="n"/>
      <c r="AM2337" s="46" t="n"/>
      <c r="AN2337" s="46" t="n"/>
      <c r="AO2337" s="46" t="n"/>
      <c r="AP2337" s="46" t="n"/>
      <c r="AQ2337" s="46" t="n"/>
      <c r="AR2337" s="46" t="n"/>
      <c r="AS2337" s="46" t="n"/>
      <c r="AV2337" s="36">
        <f>IF($C2337="","",EMPLOYES!M63)</f>
        <v/>
      </c>
      <c r="AW2337" s="36">
        <f>IF($C2337="",0,SUMPRODUCT(--(O2337:AS2337="C")))</f>
        <v/>
      </c>
      <c r="AX2337" s="36">
        <f>IF($C2337="",0,SUMPRODUCT(--(O2337:AS2337="R")))</f>
        <v/>
      </c>
      <c r="AY2337" s="44" t="n"/>
    </row>
    <row r="2338" hidden="1" outlineLevel="1" ht="15" customHeight="1" s="15">
      <c r="B2338" s="41" t="n">
        <v>10</v>
      </c>
      <c r="C2338" s="42">
        <f>IF(EMPLOYES!C64="","",EMPLOYES!C64)</f>
        <v/>
      </c>
      <c r="D2338" s="43">
        <f>IF(EMPLOYES!C64="","",EMPLOYES!D64)</f>
        <v/>
      </c>
      <c r="E2338" s="44" t="n"/>
      <c r="F2338" s="42" t="n"/>
      <c r="G2338" s="41">
        <f>IF($C2338="",0,MAX(0,$M2338-$N2338))</f>
        <v/>
      </c>
      <c r="H2338" s="45" t="n"/>
      <c r="I2338" s="41">
        <f>IF($C2338="","",IF(H2338="","OK",IF(H2338&gt;EMPLOYES!P64,"⚠ Avance &gt; salaire",IF(H2338&gt;EMPLOYES!P64*PARAMETRES!$C$218,"⚠ Avance élevée","OK"))))</f>
        <v/>
      </c>
      <c r="J2338" s="45" t="n"/>
      <c r="K2338" s="46" t="n"/>
      <c r="L2338" s="46" t="n"/>
      <c r="M2338" s="41">
        <f>IF($C2338="","",SUMPRODUCT((PARAMETRES!$B$38:$B$157=PARAMETRES!$C$29)*(PARAMETRES!$C$38:$C$157=10)*(IF(EMPLOYES!M64="5j",PARAMETRES!$I$38:$I$157,PARAMETRES!$H$38:$H$157))))</f>
        <v/>
      </c>
      <c r="N2338" s="41">
        <f>IF($C2338="","",SUMPRODUCT((O2338:AS2338="P")+(O2338:AS2338="F")+(O2338:AS2338="C")+0.5*(O2338:AS2338="D"),(1-((O2286:AS2286=6)*(EMPLOYES!M64="5j")))))</f>
        <v/>
      </c>
      <c r="O2338" s="46" t="n"/>
      <c r="P2338" s="46" t="n"/>
      <c r="Q2338" s="46" t="n"/>
      <c r="R2338" s="46" t="n"/>
      <c r="S2338" s="46" t="n"/>
      <c r="T2338" s="46" t="n"/>
      <c r="U2338" s="46" t="n"/>
      <c r="V2338" s="46" t="n"/>
      <c r="W2338" s="46" t="n"/>
      <c r="X2338" s="46" t="n"/>
      <c r="Y2338" s="46" t="n"/>
      <c r="Z2338" s="46" t="n"/>
      <c r="AA2338" s="46" t="n"/>
      <c r="AB2338" s="46" t="n"/>
      <c r="AC2338" s="46" t="n"/>
      <c r="AD2338" s="46" t="n"/>
      <c r="AE2338" s="46" t="n"/>
      <c r="AF2338" s="46" t="n"/>
      <c r="AG2338" s="46" t="n"/>
      <c r="AH2338" s="46" t="n"/>
      <c r="AI2338" s="46" t="n"/>
      <c r="AJ2338" s="46" t="n"/>
      <c r="AK2338" s="46" t="n"/>
      <c r="AL2338" s="46" t="n"/>
      <c r="AM2338" s="46" t="n"/>
      <c r="AN2338" s="46" t="n"/>
      <c r="AO2338" s="46" t="n"/>
      <c r="AP2338" s="46" t="n"/>
      <c r="AQ2338" s="46" t="n"/>
      <c r="AR2338" s="46" t="n"/>
      <c r="AS2338" s="46" t="n"/>
      <c r="AV2338" s="36">
        <f>IF($C2338="","",EMPLOYES!M64)</f>
        <v/>
      </c>
      <c r="AW2338" s="36">
        <f>IF($C2338="",0,SUMPRODUCT(--(O2338:AS2338="C")))</f>
        <v/>
      </c>
      <c r="AX2338" s="36">
        <f>IF($C2338="",0,SUMPRODUCT(--(O2338:AS2338="R")))</f>
        <v/>
      </c>
      <c r="AY2338" s="44" t="n"/>
    </row>
    <row r="2339" hidden="1" outlineLevel="1" ht="15" customHeight="1" s="15">
      <c r="B2339" s="41" t="n">
        <v>10</v>
      </c>
      <c r="C2339" s="42">
        <f>IF(EMPLOYES!C65="","",EMPLOYES!C65)</f>
        <v/>
      </c>
      <c r="D2339" s="43">
        <f>IF(EMPLOYES!C65="","",EMPLOYES!D65)</f>
        <v/>
      </c>
      <c r="E2339" s="44" t="n"/>
      <c r="F2339" s="42" t="n"/>
      <c r="G2339" s="41">
        <f>IF($C2339="",0,MAX(0,$M2339-$N2339))</f>
        <v/>
      </c>
      <c r="H2339" s="45" t="n"/>
      <c r="I2339" s="41">
        <f>IF($C2339="","",IF(H2339="","OK",IF(H2339&gt;EMPLOYES!P65,"⚠ Avance &gt; salaire",IF(H2339&gt;EMPLOYES!P65*PARAMETRES!$C$218,"⚠ Avance élevée","OK"))))</f>
        <v/>
      </c>
      <c r="J2339" s="45" t="n"/>
      <c r="K2339" s="46" t="n"/>
      <c r="L2339" s="46" t="n"/>
      <c r="M2339" s="41">
        <f>IF($C2339="","",SUMPRODUCT((PARAMETRES!$B$38:$B$157=PARAMETRES!$C$29)*(PARAMETRES!$C$38:$C$157=10)*(IF(EMPLOYES!M65="5j",PARAMETRES!$I$38:$I$157,PARAMETRES!$H$38:$H$157))))</f>
        <v/>
      </c>
      <c r="N2339" s="41">
        <f>IF($C2339="","",SUMPRODUCT((O2339:AS2339="P")+(O2339:AS2339="F")+(O2339:AS2339="C")+0.5*(O2339:AS2339="D"),(1-((O2286:AS2286=6)*(EMPLOYES!M65="5j")))))</f>
        <v/>
      </c>
      <c r="O2339" s="46" t="n"/>
      <c r="P2339" s="46" t="n"/>
      <c r="Q2339" s="46" t="n"/>
      <c r="R2339" s="46" t="n"/>
      <c r="S2339" s="46" t="n"/>
      <c r="T2339" s="46" t="n"/>
      <c r="U2339" s="46" t="n"/>
      <c r="V2339" s="46" t="n"/>
      <c r="W2339" s="46" t="n"/>
      <c r="X2339" s="46" t="n"/>
      <c r="Y2339" s="46" t="n"/>
      <c r="Z2339" s="46" t="n"/>
      <c r="AA2339" s="46" t="n"/>
      <c r="AB2339" s="46" t="n"/>
      <c r="AC2339" s="46" t="n"/>
      <c r="AD2339" s="46" t="n"/>
      <c r="AE2339" s="46" t="n"/>
      <c r="AF2339" s="46" t="n"/>
      <c r="AG2339" s="46" t="n"/>
      <c r="AH2339" s="46" t="n"/>
      <c r="AI2339" s="46" t="n"/>
      <c r="AJ2339" s="46" t="n"/>
      <c r="AK2339" s="46" t="n"/>
      <c r="AL2339" s="46" t="n"/>
      <c r="AM2339" s="46" t="n"/>
      <c r="AN2339" s="46" t="n"/>
      <c r="AO2339" s="46" t="n"/>
      <c r="AP2339" s="46" t="n"/>
      <c r="AQ2339" s="46" t="n"/>
      <c r="AR2339" s="46" t="n"/>
      <c r="AS2339" s="46" t="n"/>
      <c r="AV2339" s="36">
        <f>IF($C2339="","",EMPLOYES!M65)</f>
        <v/>
      </c>
      <c r="AW2339" s="36">
        <f>IF($C2339="",0,SUMPRODUCT(--(O2339:AS2339="C")))</f>
        <v/>
      </c>
      <c r="AX2339" s="36">
        <f>IF($C2339="",0,SUMPRODUCT(--(O2339:AS2339="R")))</f>
        <v/>
      </c>
      <c r="AY2339" s="44" t="n"/>
    </row>
    <row r="2340" hidden="1" outlineLevel="1" ht="15" customHeight="1" s="15">
      <c r="B2340" s="41" t="n">
        <v>10</v>
      </c>
      <c r="C2340" s="42">
        <f>IF(EMPLOYES!C66="","",EMPLOYES!C66)</f>
        <v/>
      </c>
      <c r="D2340" s="43">
        <f>IF(EMPLOYES!C66="","",EMPLOYES!D66)</f>
        <v/>
      </c>
      <c r="E2340" s="44" t="n"/>
      <c r="F2340" s="42" t="n"/>
      <c r="G2340" s="41">
        <f>IF($C2340="",0,MAX(0,$M2340-$N2340))</f>
        <v/>
      </c>
      <c r="H2340" s="45" t="n"/>
      <c r="I2340" s="41">
        <f>IF($C2340="","",IF(H2340="","OK",IF(H2340&gt;EMPLOYES!P66,"⚠ Avance &gt; salaire",IF(H2340&gt;EMPLOYES!P66*PARAMETRES!$C$218,"⚠ Avance élevée","OK"))))</f>
        <v/>
      </c>
      <c r="J2340" s="45" t="n"/>
      <c r="K2340" s="46" t="n"/>
      <c r="L2340" s="46" t="n"/>
      <c r="M2340" s="41">
        <f>IF($C2340="","",SUMPRODUCT((PARAMETRES!$B$38:$B$157=PARAMETRES!$C$29)*(PARAMETRES!$C$38:$C$157=10)*(IF(EMPLOYES!M66="5j",PARAMETRES!$I$38:$I$157,PARAMETRES!$H$38:$H$157))))</f>
        <v/>
      </c>
      <c r="N2340" s="41">
        <f>IF($C2340="","",SUMPRODUCT((O2340:AS2340="P")+(O2340:AS2340="F")+(O2340:AS2340="C")+0.5*(O2340:AS2340="D"),(1-((O2286:AS2286=6)*(EMPLOYES!M66="5j")))))</f>
        <v/>
      </c>
      <c r="O2340" s="46" t="n"/>
      <c r="P2340" s="46" t="n"/>
      <c r="Q2340" s="46" t="n"/>
      <c r="R2340" s="46" t="n"/>
      <c r="S2340" s="46" t="n"/>
      <c r="T2340" s="46" t="n"/>
      <c r="U2340" s="46" t="n"/>
      <c r="V2340" s="46" t="n"/>
      <c r="W2340" s="46" t="n"/>
      <c r="X2340" s="46" t="n"/>
      <c r="Y2340" s="46" t="n"/>
      <c r="Z2340" s="46" t="n"/>
      <c r="AA2340" s="46" t="n"/>
      <c r="AB2340" s="46" t="n"/>
      <c r="AC2340" s="46" t="n"/>
      <c r="AD2340" s="46" t="n"/>
      <c r="AE2340" s="46" t="n"/>
      <c r="AF2340" s="46" t="n"/>
      <c r="AG2340" s="46" t="n"/>
      <c r="AH2340" s="46" t="n"/>
      <c r="AI2340" s="46" t="n"/>
      <c r="AJ2340" s="46" t="n"/>
      <c r="AK2340" s="46" t="n"/>
      <c r="AL2340" s="46" t="n"/>
      <c r="AM2340" s="46" t="n"/>
      <c r="AN2340" s="46" t="n"/>
      <c r="AO2340" s="46" t="n"/>
      <c r="AP2340" s="46" t="n"/>
      <c r="AQ2340" s="46" t="n"/>
      <c r="AR2340" s="46" t="n"/>
      <c r="AS2340" s="46" t="n"/>
      <c r="AV2340" s="36">
        <f>IF($C2340="","",EMPLOYES!M66)</f>
        <v/>
      </c>
      <c r="AW2340" s="36">
        <f>IF($C2340="",0,SUMPRODUCT(--(O2340:AS2340="C")))</f>
        <v/>
      </c>
      <c r="AX2340" s="36">
        <f>IF($C2340="",0,SUMPRODUCT(--(O2340:AS2340="R")))</f>
        <v/>
      </c>
      <c r="AY2340" s="44" t="n"/>
    </row>
    <row r="2341" hidden="1" outlineLevel="1" ht="15" customHeight="1" s="15">
      <c r="B2341" s="41" t="n">
        <v>10</v>
      </c>
      <c r="C2341" s="42">
        <f>IF(EMPLOYES!C67="","",EMPLOYES!C67)</f>
        <v/>
      </c>
      <c r="D2341" s="43">
        <f>IF(EMPLOYES!C67="","",EMPLOYES!D67)</f>
        <v/>
      </c>
      <c r="E2341" s="44" t="n"/>
      <c r="F2341" s="42" t="n"/>
      <c r="G2341" s="41">
        <f>IF($C2341="",0,MAX(0,$M2341-$N2341))</f>
        <v/>
      </c>
      <c r="H2341" s="45" t="n"/>
      <c r="I2341" s="41">
        <f>IF($C2341="","",IF(H2341="","OK",IF(H2341&gt;EMPLOYES!P67,"⚠ Avance &gt; salaire",IF(H2341&gt;EMPLOYES!P67*PARAMETRES!$C$218,"⚠ Avance élevée","OK"))))</f>
        <v/>
      </c>
      <c r="J2341" s="45" t="n"/>
      <c r="K2341" s="46" t="n"/>
      <c r="L2341" s="46" t="n"/>
      <c r="M2341" s="41">
        <f>IF($C2341="","",SUMPRODUCT((PARAMETRES!$B$38:$B$157=PARAMETRES!$C$29)*(PARAMETRES!$C$38:$C$157=10)*(IF(EMPLOYES!M67="5j",PARAMETRES!$I$38:$I$157,PARAMETRES!$H$38:$H$157))))</f>
        <v/>
      </c>
      <c r="N2341" s="41">
        <f>IF($C2341="","",SUMPRODUCT((O2341:AS2341="P")+(O2341:AS2341="F")+(O2341:AS2341="C")+0.5*(O2341:AS2341="D"),(1-((O2286:AS2286=6)*(EMPLOYES!M67="5j")))))</f>
        <v/>
      </c>
      <c r="O2341" s="46" t="n"/>
      <c r="P2341" s="46" t="n"/>
      <c r="Q2341" s="46" t="n"/>
      <c r="R2341" s="46" t="n"/>
      <c r="S2341" s="46" t="n"/>
      <c r="T2341" s="46" t="n"/>
      <c r="U2341" s="46" t="n"/>
      <c r="V2341" s="46" t="n"/>
      <c r="W2341" s="46" t="n"/>
      <c r="X2341" s="46" t="n"/>
      <c r="Y2341" s="46" t="n"/>
      <c r="Z2341" s="46" t="n"/>
      <c r="AA2341" s="46" t="n"/>
      <c r="AB2341" s="46" t="n"/>
      <c r="AC2341" s="46" t="n"/>
      <c r="AD2341" s="46" t="n"/>
      <c r="AE2341" s="46" t="n"/>
      <c r="AF2341" s="46" t="n"/>
      <c r="AG2341" s="46" t="n"/>
      <c r="AH2341" s="46" t="n"/>
      <c r="AI2341" s="46" t="n"/>
      <c r="AJ2341" s="46" t="n"/>
      <c r="AK2341" s="46" t="n"/>
      <c r="AL2341" s="46" t="n"/>
      <c r="AM2341" s="46" t="n"/>
      <c r="AN2341" s="46" t="n"/>
      <c r="AO2341" s="46" t="n"/>
      <c r="AP2341" s="46" t="n"/>
      <c r="AQ2341" s="46" t="n"/>
      <c r="AR2341" s="46" t="n"/>
      <c r="AS2341" s="46" t="n"/>
      <c r="AV2341" s="36">
        <f>IF($C2341="","",EMPLOYES!M67)</f>
        <v/>
      </c>
      <c r="AW2341" s="36">
        <f>IF($C2341="",0,SUMPRODUCT(--(O2341:AS2341="C")))</f>
        <v/>
      </c>
      <c r="AX2341" s="36">
        <f>IF($C2341="",0,SUMPRODUCT(--(O2341:AS2341="R")))</f>
        <v/>
      </c>
      <c r="AY2341" s="44" t="n"/>
    </row>
    <row r="2342" hidden="1" outlineLevel="1" ht="15" customHeight="1" s="15">
      <c r="B2342" s="41" t="n">
        <v>10</v>
      </c>
      <c r="C2342" s="42">
        <f>IF(EMPLOYES!C68="","",EMPLOYES!C68)</f>
        <v/>
      </c>
      <c r="D2342" s="43">
        <f>IF(EMPLOYES!C68="","",EMPLOYES!D68)</f>
        <v/>
      </c>
      <c r="E2342" s="44" t="n"/>
      <c r="F2342" s="42" t="n"/>
      <c r="G2342" s="41">
        <f>IF($C2342="",0,MAX(0,$M2342-$N2342))</f>
        <v/>
      </c>
      <c r="H2342" s="45" t="n"/>
      <c r="I2342" s="41">
        <f>IF($C2342="","",IF(H2342="","OK",IF(H2342&gt;EMPLOYES!P68,"⚠ Avance &gt; salaire",IF(H2342&gt;EMPLOYES!P68*PARAMETRES!$C$218,"⚠ Avance élevée","OK"))))</f>
        <v/>
      </c>
      <c r="J2342" s="45" t="n"/>
      <c r="K2342" s="46" t="n"/>
      <c r="L2342" s="46" t="n"/>
      <c r="M2342" s="41">
        <f>IF($C2342="","",SUMPRODUCT((PARAMETRES!$B$38:$B$157=PARAMETRES!$C$29)*(PARAMETRES!$C$38:$C$157=10)*(IF(EMPLOYES!M68="5j",PARAMETRES!$I$38:$I$157,PARAMETRES!$H$38:$H$157))))</f>
        <v/>
      </c>
      <c r="N2342" s="41">
        <f>IF($C2342="","",SUMPRODUCT((O2342:AS2342="P")+(O2342:AS2342="F")+(O2342:AS2342="C")+0.5*(O2342:AS2342="D"),(1-((O2286:AS2286=6)*(EMPLOYES!M68="5j")))))</f>
        <v/>
      </c>
      <c r="O2342" s="46" t="n"/>
      <c r="P2342" s="46" t="n"/>
      <c r="Q2342" s="46" t="n"/>
      <c r="R2342" s="46" t="n"/>
      <c r="S2342" s="46" t="n"/>
      <c r="T2342" s="46" t="n"/>
      <c r="U2342" s="46" t="n"/>
      <c r="V2342" s="46" t="n"/>
      <c r="W2342" s="46" t="n"/>
      <c r="X2342" s="46" t="n"/>
      <c r="Y2342" s="46" t="n"/>
      <c r="Z2342" s="46" t="n"/>
      <c r="AA2342" s="46" t="n"/>
      <c r="AB2342" s="46" t="n"/>
      <c r="AC2342" s="46" t="n"/>
      <c r="AD2342" s="46" t="n"/>
      <c r="AE2342" s="46" t="n"/>
      <c r="AF2342" s="46" t="n"/>
      <c r="AG2342" s="46" t="n"/>
      <c r="AH2342" s="46" t="n"/>
      <c r="AI2342" s="46" t="n"/>
      <c r="AJ2342" s="46" t="n"/>
      <c r="AK2342" s="46" t="n"/>
      <c r="AL2342" s="46" t="n"/>
      <c r="AM2342" s="46" t="n"/>
      <c r="AN2342" s="46" t="n"/>
      <c r="AO2342" s="46" t="n"/>
      <c r="AP2342" s="46" t="n"/>
      <c r="AQ2342" s="46" t="n"/>
      <c r="AR2342" s="46" t="n"/>
      <c r="AS2342" s="46" t="n"/>
      <c r="AV2342" s="36">
        <f>IF($C2342="","",EMPLOYES!M68)</f>
        <v/>
      </c>
      <c r="AW2342" s="36">
        <f>IF($C2342="",0,SUMPRODUCT(--(O2342:AS2342="C")))</f>
        <v/>
      </c>
      <c r="AX2342" s="36">
        <f>IF($C2342="",0,SUMPRODUCT(--(O2342:AS2342="R")))</f>
        <v/>
      </c>
      <c r="AY2342" s="44" t="n"/>
    </row>
    <row r="2343" hidden="1" outlineLevel="1" ht="15" customHeight="1" s="15">
      <c r="B2343" s="41" t="n">
        <v>10</v>
      </c>
      <c r="C2343" s="42">
        <f>IF(EMPLOYES!C69="","",EMPLOYES!C69)</f>
        <v/>
      </c>
      <c r="D2343" s="43">
        <f>IF(EMPLOYES!C69="","",EMPLOYES!D69)</f>
        <v/>
      </c>
      <c r="E2343" s="44" t="n"/>
      <c r="F2343" s="42" t="n"/>
      <c r="G2343" s="41">
        <f>IF($C2343="",0,MAX(0,$M2343-$N2343))</f>
        <v/>
      </c>
      <c r="H2343" s="45" t="n"/>
      <c r="I2343" s="41">
        <f>IF($C2343="","",IF(H2343="","OK",IF(H2343&gt;EMPLOYES!P69,"⚠ Avance &gt; salaire",IF(H2343&gt;EMPLOYES!P69*PARAMETRES!$C$218,"⚠ Avance élevée","OK"))))</f>
        <v/>
      </c>
      <c r="J2343" s="45" t="n"/>
      <c r="K2343" s="46" t="n"/>
      <c r="L2343" s="46" t="n"/>
      <c r="M2343" s="41">
        <f>IF($C2343="","",SUMPRODUCT((PARAMETRES!$B$38:$B$157=PARAMETRES!$C$29)*(PARAMETRES!$C$38:$C$157=10)*(IF(EMPLOYES!M69="5j",PARAMETRES!$I$38:$I$157,PARAMETRES!$H$38:$H$157))))</f>
        <v/>
      </c>
      <c r="N2343" s="41">
        <f>IF($C2343="","",SUMPRODUCT((O2343:AS2343="P")+(O2343:AS2343="F")+(O2343:AS2343="C")+0.5*(O2343:AS2343="D"),(1-((O2286:AS2286=6)*(EMPLOYES!M69="5j")))))</f>
        <v/>
      </c>
      <c r="O2343" s="46" t="n"/>
      <c r="P2343" s="46" t="n"/>
      <c r="Q2343" s="46" t="n"/>
      <c r="R2343" s="46" t="n"/>
      <c r="S2343" s="46" t="n"/>
      <c r="T2343" s="46" t="n"/>
      <c r="U2343" s="46" t="n"/>
      <c r="V2343" s="46" t="n"/>
      <c r="W2343" s="46" t="n"/>
      <c r="X2343" s="46" t="n"/>
      <c r="Y2343" s="46" t="n"/>
      <c r="Z2343" s="46" t="n"/>
      <c r="AA2343" s="46" t="n"/>
      <c r="AB2343" s="46" t="n"/>
      <c r="AC2343" s="46" t="n"/>
      <c r="AD2343" s="46" t="n"/>
      <c r="AE2343" s="46" t="n"/>
      <c r="AF2343" s="46" t="n"/>
      <c r="AG2343" s="46" t="n"/>
      <c r="AH2343" s="46" t="n"/>
      <c r="AI2343" s="46" t="n"/>
      <c r="AJ2343" s="46" t="n"/>
      <c r="AK2343" s="46" t="n"/>
      <c r="AL2343" s="46" t="n"/>
      <c r="AM2343" s="46" t="n"/>
      <c r="AN2343" s="46" t="n"/>
      <c r="AO2343" s="46" t="n"/>
      <c r="AP2343" s="46" t="n"/>
      <c r="AQ2343" s="46" t="n"/>
      <c r="AR2343" s="46" t="n"/>
      <c r="AS2343" s="46" t="n"/>
      <c r="AV2343" s="36">
        <f>IF($C2343="","",EMPLOYES!M69)</f>
        <v/>
      </c>
      <c r="AW2343" s="36">
        <f>IF($C2343="",0,SUMPRODUCT(--(O2343:AS2343="C")))</f>
        <v/>
      </c>
      <c r="AX2343" s="36">
        <f>IF($C2343="",0,SUMPRODUCT(--(O2343:AS2343="R")))</f>
        <v/>
      </c>
      <c r="AY2343" s="44" t="n"/>
    </row>
    <row r="2344" hidden="1" outlineLevel="1" ht="15" customHeight="1" s="15">
      <c r="B2344" s="41" t="n">
        <v>10</v>
      </c>
      <c r="C2344" s="42">
        <f>IF(EMPLOYES!C70="","",EMPLOYES!C70)</f>
        <v/>
      </c>
      <c r="D2344" s="43">
        <f>IF(EMPLOYES!C70="","",EMPLOYES!D70)</f>
        <v/>
      </c>
      <c r="E2344" s="44" t="n"/>
      <c r="F2344" s="42" t="n"/>
      <c r="G2344" s="41">
        <f>IF($C2344="",0,MAX(0,$M2344-$N2344))</f>
        <v/>
      </c>
      <c r="H2344" s="45" t="n"/>
      <c r="I2344" s="41">
        <f>IF($C2344="","",IF(H2344="","OK",IF(H2344&gt;EMPLOYES!P70,"⚠ Avance &gt; salaire",IF(H2344&gt;EMPLOYES!P70*PARAMETRES!$C$218,"⚠ Avance élevée","OK"))))</f>
        <v/>
      </c>
      <c r="J2344" s="45" t="n"/>
      <c r="K2344" s="46" t="n"/>
      <c r="L2344" s="46" t="n"/>
      <c r="M2344" s="41">
        <f>IF($C2344="","",SUMPRODUCT((PARAMETRES!$B$38:$B$157=PARAMETRES!$C$29)*(PARAMETRES!$C$38:$C$157=10)*(IF(EMPLOYES!M70="5j",PARAMETRES!$I$38:$I$157,PARAMETRES!$H$38:$H$157))))</f>
        <v/>
      </c>
      <c r="N2344" s="41">
        <f>IF($C2344="","",SUMPRODUCT((O2344:AS2344="P")+(O2344:AS2344="F")+(O2344:AS2344="C")+0.5*(O2344:AS2344="D"),(1-((O2286:AS2286=6)*(EMPLOYES!M70="5j")))))</f>
        <v/>
      </c>
      <c r="O2344" s="46" t="n"/>
      <c r="P2344" s="46" t="n"/>
      <c r="Q2344" s="46" t="n"/>
      <c r="R2344" s="46" t="n"/>
      <c r="S2344" s="46" t="n"/>
      <c r="T2344" s="46" t="n"/>
      <c r="U2344" s="46" t="n"/>
      <c r="V2344" s="46" t="n"/>
      <c r="W2344" s="46" t="n"/>
      <c r="X2344" s="46" t="n"/>
      <c r="Y2344" s="46" t="n"/>
      <c r="Z2344" s="46" t="n"/>
      <c r="AA2344" s="46" t="n"/>
      <c r="AB2344" s="46" t="n"/>
      <c r="AC2344" s="46" t="n"/>
      <c r="AD2344" s="46" t="n"/>
      <c r="AE2344" s="46" t="n"/>
      <c r="AF2344" s="46" t="n"/>
      <c r="AG2344" s="46" t="n"/>
      <c r="AH2344" s="46" t="n"/>
      <c r="AI2344" s="46" t="n"/>
      <c r="AJ2344" s="46" t="n"/>
      <c r="AK2344" s="46" t="n"/>
      <c r="AL2344" s="46" t="n"/>
      <c r="AM2344" s="46" t="n"/>
      <c r="AN2344" s="46" t="n"/>
      <c r="AO2344" s="46" t="n"/>
      <c r="AP2344" s="46" t="n"/>
      <c r="AQ2344" s="46" t="n"/>
      <c r="AR2344" s="46" t="n"/>
      <c r="AS2344" s="46" t="n"/>
      <c r="AV2344" s="36">
        <f>IF($C2344="","",EMPLOYES!M70)</f>
        <v/>
      </c>
      <c r="AW2344" s="36">
        <f>IF($C2344="",0,SUMPRODUCT(--(O2344:AS2344="C")))</f>
        <v/>
      </c>
      <c r="AX2344" s="36">
        <f>IF($C2344="",0,SUMPRODUCT(--(O2344:AS2344="R")))</f>
        <v/>
      </c>
      <c r="AY2344" s="44" t="n"/>
    </row>
    <row r="2345" hidden="1" outlineLevel="1" ht="15" customHeight="1" s="15">
      <c r="B2345" s="41" t="n">
        <v>10</v>
      </c>
      <c r="C2345" s="42">
        <f>IF(EMPLOYES!C71="","",EMPLOYES!C71)</f>
        <v/>
      </c>
      <c r="D2345" s="43">
        <f>IF(EMPLOYES!C71="","",EMPLOYES!D71)</f>
        <v/>
      </c>
      <c r="E2345" s="44" t="n"/>
      <c r="F2345" s="42" t="n"/>
      <c r="G2345" s="41">
        <f>IF($C2345="",0,MAX(0,$M2345-$N2345))</f>
        <v/>
      </c>
      <c r="H2345" s="45" t="n"/>
      <c r="I2345" s="41">
        <f>IF($C2345="","",IF(H2345="","OK",IF(H2345&gt;EMPLOYES!P71,"⚠ Avance &gt; salaire",IF(H2345&gt;EMPLOYES!P71*PARAMETRES!$C$218,"⚠ Avance élevée","OK"))))</f>
        <v/>
      </c>
      <c r="J2345" s="45" t="n"/>
      <c r="K2345" s="46" t="n"/>
      <c r="L2345" s="46" t="n"/>
      <c r="M2345" s="41">
        <f>IF($C2345="","",SUMPRODUCT((PARAMETRES!$B$38:$B$157=PARAMETRES!$C$29)*(PARAMETRES!$C$38:$C$157=10)*(IF(EMPLOYES!M71="5j",PARAMETRES!$I$38:$I$157,PARAMETRES!$H$38:$H$157))))</f>
        <v/>
      </c>
      <c r="N2345" s="41">
        <f>IF($C2345="","",SUMPRODUCT((O2345:AS2345="P")+(O2345:AS2345="F")+(O2345:AS2345="C")+0.5*(O2345:AS2345="D"),(1-((O2286:AS2286=6)*(EMPLOYES!M71="5j")))))</f>
        <v/>
      </c>
      <c r="O2345" s="46" t="n"/>
      <c r="P2345" s="46" t="n"/>
      <c r="Q2345" s="46" t="n"/>
      <c r="R2345" s="46" t="n"/>
      <c r="S2345" s="46" t="n"/>
      <c r="T2345" s="46" t="n"/>
      <c r="U2345" s="46" t="n"/>
      <c r="V2345" s="46" t="n"/>
      <c r="W2345" s="46" t="n"/>
      <c r="X2345" s="46" t="n"/>
      <c r="Y2345" s="46" t="n"/>
      <c r="Z2345" s="46" t="n"/>
      <c r="AA2345" s="46" t="n"/>
      <c r="AB2345" s="46" t="n"/>
      <c r="AC2345" s="46" t="n"/>
      <c r="AD2345" s="46" t="n"/>
      <c r="AE2345" s="46" t="n"/>
      <c r="AF2345" s="46" t="n"/>
      <c r="AG2345" s="46" t="n"/>
      <c r="AH2345" s="46" t="n"/>
      <c r="AI2345" s="46" t="n"/>
      <c r="AJ2345" s="46" t="n"/>
      <c r="AK2345" s="46" t="n"/>
      <c r="AL2345" s="46" t="n"/>
      <c r="AM2345" s="46" t="n"/>
      <c r="AN2345" s="46" t="n"/>
      <c r="AO2345" s="46" t="n"/>
      <c r="AP2345" s="46" t="n"/>
      <c r="AQ2345" s="46" t="n"/>
      <c r="AR2345" s="46" t="n"/>
      <c r="AS2345" s="46" t="n"/>
      <c r="AV2345" s="36">
        <f>IF($C2345="","",EMPLOYES!M71)</f>
        <v/>
      </c>
      <c r="AW2345" s="36">
        <f>IF($C2345="",0,SUMPRODUCT(--(O2345:AS2345="C")))</f>
        <v/>
      </c>
      <c r="AX2345" s="36">
        <f>IF($C2345="",0,SUMPRODUCT(--(O2345:AS2345="R")))</f>
        <v/>
      </c>
      <c r="AY2345" s="44" t="n"/>
    </row>
    <row r="2346" hidden="1" outlineLevel="1" ht="15" customHeight="1" s="15">
      <c r="B2346" s="41" t="n">
        <v>10</v>
      </c>
      <c r="C2346" s="42">
        <f>IF(EMPLOYES!C72="","",EMPLOYES!C72)</f>
        <v/>
      </c>
      <c r="D2346" s="43">
        <f>IF(EMPLOYES!C72="","",EMPLOYES!D72)</f>
        <v/>
      </c>
      <c r="E2346" s="44" t="n"/>
      <c r="F2346" s="42" t="n"/>
      <c r="G2346" s="41">
        <f>IF($C2346="",0,MAX(0,$M2346-$N2346))</f>
        <v/>
      </c>
      <c r="H2346" s="45" t="n"/>
      <c r="I2346" s="41">
        <f>IF($C2346="","",IF(H2346="","OK",IF(H2346&gt;EMPLOYES!P72,"⚠ Avance &gt; salaire",IF(H2346&gt;EMPLOYES!P72*PARAMETRES!$C$218,"⚠ Avance élevée","OK"))))</f>
        <v/>
      </c>
      <c r="J2346" s="45" t="n"/>
      <c r="K2346" s="46" t="n"/>
      <c r="L2346" s="46" t="n"/>
      <c r="M2346" s="41">
        <f>IF($C2346="","",SUMPRODUCT((PARAMETRES!$B$38:$B$157=PARAMETRES!$C$29)*(PARAMETRES!$C$38:$C$157=10)*(IF(EMPLOYES!M72="5j",PARAMETRES!$I$38:$I$157,PARAMETRES!$H$38:$H$157))))</f>
        <v/>
      </c>
      <c r="N2346" s="41">
        <f>IF($C2346="","",SUMPRODUCT((O2346:AS2346="P")+(O2346:AS2346="F")+(O2346:AS2346="C")+0.5*(O2346:AS2346="D"),(1-((O2286:AS2286=6)*(EMPLOYES!M72="5j")))))</f>
        <v/>
      </c>
      <c r="O2346" s="46" t="n"/>
      <c r="P2346" s="46" t="n"/>
      <c r="Q2346" s="46" t="n"/>
      <c r="R2346" s="46" t="n"/>
      <c r="S2346" s="46" t="n"/>
      <c r="T2346" s="46" t="n"/>
      <c r="U2346" s="46" t="n"/>
      <c r="V2346" s="46" t="n"/>
      <c r="W2346" s="46" t="n"/>
      <c r="X2346" s="46" t="n"/>
      <c r="Y2346" s="46" t="n"/>
      <c r="Z2346" s="46" t="n"/>
      <c r="AA2346" s="46" t="n"/>
      <c r="AB2346" s="46" t="n"/>
      <c r="AC2346" s="46" t="n"/>
      <c r="AD2346" s="46" t="n"/>
      <c r="AE2346" s="46" t="n"/>
      <c r="AF2346" s="46" t="n"/>
      <c r="AG2346" s="46" t="n"/>
      <c r="AH2346" s="46" t="n"/>
      <c r="AI2346" s="46" t="n"/>
      <c r="AJ2346" s="46" t="n"/>
      <c r="AK2346" s="46" t="n"/>
      <c r="AL2346" s="46" t="n"/>
      <c r="AM2346" s="46" t="n"/>
      <c r="AN2346" s="46" t="n"/>
      <c r="AO2346" s="46" t="n"/>
      <c r="AP2346" s="46" t="n"/>
      <c r="AQ2346" s="46" t="n"/>
      <c r="AR2346" s="46" t="n"/>
      <c r="AS2346" s="46" t="n"/>
      <c r="AV2346" s="36">
        <f>IF($C2346="","",EMPLOYES!M72)</f>
        <v/>
      </c>
      <c r="AW2346" s="36">
        <f>IF($C2346="",0,SUMPRODUCT(--(O2346:AS2346="C")))</f>
        <v/>
      </c>
      <c r="AX2346" s="36">
        <f>IF($C2346="",0,SUMPRODUCT(--(O2346:AS2346="R")))</f>
        <v/>
      </c>
      <c r="AY2346" s="44" t="n"/>
    </row>
    <row r="2347" hidden="1" outlineLevel="1" ht="15" customHeight="1" s="15">
      <c r="B2347" s="41" t="n">
        <v>10</v>
      </c>
      <c r="C2347" s="42">
        <f>IF(EMPLOYES!C73="","",EMPLOYES!C73)</f>
        <v/>
      </c>
      <c r="D2347" s="43">
        <f>IF(EMPLOYES!C73="","",EMPLOYES!D73)</f>
        <v/>
      </c>
      <c r="E2347" s="44" t="n"/>
      <c r="F2347" s="42" t="n"/>
      <c r="G2347" s="41">
        <f>IF($C2347="",0,MAX(0,$M2347-$N2347))</f>
        <v/>
      </c>
      <c r="H2347" s="45" t="n"/>
      <c r="I2347" s="41">
        <f>IF($C2347="","",IF(H2347="","OK",IF(H2347&gt;EMPLOYES!P73,"⚠ Avance &gt; salaire",IF(H2347&gt;EMPLOYES!P73*PARAMETRES!$C$218,"⚠ Avance élevée","OK"))))</f>
        <v/>
      </c>
      <c r="J2347" s="45" t="n"/>
      <c r="K2347" s="46" t="n"/>
      <c r="L2347" s="46" t="n"/>
      <c r="M2347" s="41">
        <f>IF($C2347="","",SUMPRODUCT((PARAMETRES!$B$38:$B$157=PARAMETRES!$C$29)*(PARAMETRES!$C$38:$C$157=10)*(IF(EMPLOYES!M73="5j",PARAMETRES!$I$38:$I$157,PARAMETRES!$H$38:$H$157))))</f>
        <v/>
      </c>
      <c r="N2347" s="41">
        <f>IF($C2347="","",SUMPRODUCT((O2347:AS2347="P")+(O2347:AS2347="F")+(O2347:AS2347="C")+0.5*(O2347:AS2347="D"),(1-((O2286:AS2286=6)*(EMPLOYES!M73="5j")))))</f>
        <v/>
      </c>
      <c r="O2347" s="46" t="n"/>
      <c r="P2347" s="46" t="n"/>
      <c r="Q2347" s="46" t="n"/>
      <c r="R2347" s="46" t="n"/>
      <c r="S2347" s="46" t="n"/>
      <c r="T2347" s="46" t="n"/>
      <c r="U2347" s="46" t="n"/>
      <c r="V2347" s="46" t="n"/>
      <c r="W2347" s="46" t="n"/>
      <c r="X2347" s="46" t="n"/>
      <c r="Y2347" s="46" t="n"/>
      <c r="Z2347" s="46" t="n"/>
      <c r="AA2347" s="46" t="n"/>
      <c r="AB2347" s="46" t="n"/>
      <c r="AC2347" s="46" t="n"/>
      <c r="AD2347" s="46" t="n"/>
      <c r="AE2347" s="46" t="n"/>
      <c r="AF2347" s="46" t="n"/>
      <c r="AG2347" s="46" t="n"/>
      <c r="AH2347" s="46" t="n"/>
      <c r="AI2347" s="46" t="n"/>
      <c r="AJ2347" s="46" t="n"/>
      <c r="AK2347" s="46" t="n"/>
      <c r="AL2347" s="46" t="n"/>
      <c r="AM2347" s="46" t="n"/>
      <c r="AN2347" s="46" t="n"/>
      <c r="AO2347" s="46" t="n"/>
      <c r="AP2347" s="46" t="n"/>
      <c r="AQ2347" s="46" t="n"/>
      <c r="AR2347" s="46" t="n"/>
      <c r="AS2347" s="46" t="n"/>
      <c r="AV2347" s="36">
        <f>IF($C2347="","",EMPLOYES!M73)</f>
        <v/>
      </c>
      <c r="AW2347" s="36">
        <f>IF($C2347="",0,SUMPRODUCT(--(O2347:AS2347="C")))</f>
        <v/>
      </c>
      <c r="AX2347" s="36">
        <f>IF($C2347="",0,SUMPRODUCT(--(O2347:AS2347="R")))</f>
        <v/>
      </c>
      <c r="AY2347" s="44" t="n"/>
    </row>
    <row r="2348" hidden="1" outlineLevel="1" ht="15" customHeight="1" s="15">
      <c r="B2348" s="41" t="n">
        <v>10</v>
      </c>
      <c r="C2348" s="42">
        <f>IF(EMPLOYES!C74="","",EMPLOYES!C74)</f>
        <v/>
      </c>
      <c r="D2348" s="43">
        <f>IF(EMPLOYES!C74="","",EMPLOYES!D74)</f>
        <v/>
      </c>
      <c r="E2348" s="44" t="n"/>
      <c r="F2348" s="42" t="n"/>
      <c r="G2348" s="41">
        <f>IF($C2348="",0,MAX(0,$M2348-$N2348))</f>
        <v/>
      </c>
      <c r="H2348" s="45" t="n"/>
      <c r="I2348" s="41">
        <f>IF($C2348="","",IF(H2348="","OK",IF(H2348&gt;EMPLOYES!P74,"⚠ Avance &gt; salaire",IF(H2348&gt;EMPLOYES!P74*PARAMETRES!$C$218,"⚠ Avance élevée","OK"))))</f>
        <v/>
      </c>
      <c r="J2348" s="45" t="n"/>
      <c r="K2348" s="46" t="n"/>
      <c r="L2348" s="46" t="n"/>
      <c r="M2348" s="41">
        <f>IF($C2348="","",SUMPRODUCT((PARAMETRES!$B$38:$B$157=PARAMETRES!$C$29)*(PARAMETRES!$C$38:$C$157=10)*(IF(EMPLOYES!M74="5j",PARAMETRES!$I$38:$I$157,PARAMETRES!$H$38:$H$157))))</f>
        <v/>
      </c>
      <c r="N2348" s="41">
        <f>IF($C2348="","",SUMPRODUCT((O2348:AS2348="P")+(O2348:AS2348="F")+(O2348:AS2348="C")+0.5*(O2348:AS2348="D"),(1-((O2286:AS2286=6)*(EMPLOYES!M74="5j")))))</f>
        <v/>
      </c>
      <c r="O2348" s="46" t="n"/>
      <c r="P2348" s="46" t="n"/>
      <c r="Q2348" s="46" t="n"/>
      <c r="R2348" s="46" t="n"/>
      <c r="S2348" s="46" t="n"/>
      <c r="T2348" s="46" t="n"/>
      <c r="U2348" s="46" t="n"/>
      <c r="V2348" s="46" t="n"/>
      <c r="W2348" s="46" t="n"/>
      <c r="X2348" s="46" t="n"/>
      <c r="Y2348" s="46" t="n"/>
      <c r="Z2348" s="46" t="n"/>
      <c r="AA2348" s="46" t="n"/>
      <c r="AB2348" s="46" t="n"/>
      <c r="AC2348" s="46" t="n"/>
      <c r="AD2348" s="46" t="n"/>
      <c r="AE2348" s="46" t="n"/>
      <c r="AF2348" s="46" t="n"/>
      <c r="AG2348" s="46" t="n"/>
      <c r="AH2348" s="46" t="n"/>
      <c r="AI2348" s="46" t="n"/>
      <c r="AJ2348" s="46" t="n"/>
      <c r="AK2348" s="46" t="n"/>
      <c r="AL2348" s="46" t="n"/>
      <c r="AM2348" s="46" t="n"/>
      <c r="AN2348" s="46" t="n"/>
      <c r="AO2348" s="46" t="n"/>
      <c r="AP2348" s="46" t="n"/>
      <c r="AQ2348" s="46" t="n"/>
      <c r="AR2348" s="46" t="n"/>
      <c r="AS2348" s="46" t="n"/>
      <c r="AV2348" s="36">
        <f>IF($C2348="","",EMPLOYES!M74)</f>
        <v/>
      </c>
      <c r="AW2348" s="36">
        <f>IF($C2348="",0,SUMPRODUCT(--(O2348:AS2348="C")))</f>
        <v/>
      </c>
      <c r="AX2348" s="36">
        <f>IF($C2348="",0,SUMPRODUCT(--(O2348:AS2348="R")))</f>
        <v/>
      </c>
      <c r="AY2348" s="44" t="n"/>
    </row>
    <row r="2349" hidden="1" ht="15" customHeight="1" s="15">
      <c r="B2349" s="36" t="inlineStr">
        <is>
          <t>Jour sem. (réf. grisage)</t>
        </is>
      </c>
      <c r="O2349" s="37">
        <f>IF(1&gt;DAY(EOMONTH(DATE(PARAMETRES!$C$29,10,1),0)),"",WEEKDAY(DATE(PARAMETRES!$C$29,10,1),2))</f>
        <v/>
      </c>
      <c r="P2349" s="37">
        <f>IF(2&gt;DAY(EOMONTH(DATE(PARAMETRES!$C$29,10,1),0)),"",WEEKDAY(DATE(PARAMETRES!$C$29,10,2),2))</f>
        <v/>
      </c>
      <c r="Q2349" s="37">
        <f>IF(3&gt;DAY(EOMONTH(DATE(PARAMETRES!$C$29,10,1),0)),"",WEEKDAY(DATE(PARAMETRES!$C$29,10,3),2))</f>
        <v/>
      </c>
      <c r="R2349" s="37">
        <f>IF(4&gt;DAY(EOMONTH(DATE(PARAMETRES!$C$29,10,1),0)),"",WEEKDAY(DATE(PARAMETRES!$C$29,10,4),2))</f>
        <v/>
      </c>
      <c r="S2349" s="37">
        <f>IF(5&gt;DAY(EOMONTH(DATE(PARAMETRES!$C$29,10,1),0)),"",WEEKDAY(DATE(PARAMETRES!$C$29,10,5),2))</f>
        <v/>
      </c>
      <c r="T2349" s="37">
        <f>IF(6&gt;DAY(EOMONTH(DATE(PARAMETRES!$C$29,10,1),0)),"",WEEKDAY(DATE(PARAMETRES!$C$29,10,6),2))</f>
        <v/>
      </c>
      <c r="U2349" s="37">
        <f>IF(7&gt;DAY(EOMONTH(DATE(PARAMETRES!$C$29,10,1),0)),"",WEEKDAY(DATE(PARAMETRES!$C$29,10,7),2))</f>
        <v/>
      </c>
      <c r="V2349" s="37">
        <f>IF(8&gt;DAY(EOMONTH(DATE(PARAMETRES!$C$29,10,1),0)),"",WEEKDAY(DATE(PARAMETRES!$C$29,10,8),2))</f>
        <v/>
      </c>
      <c r="W2349" s="37">
        <f>IF(9&gt;DAY(EOMONTH(DATE(PARAMETRES!$C$29,10,1),0)),"",WEEKDAY(DATE(PARAMETRES!$C$29,10,9),2))</f>
        <v/>
      </c>
      <c r="X2349" s="37">
        <f>IF(10&gt;DAY(EOMONTH(DATE(PARAMETRES!$C$29,10,1),0)),"",WEEKDAY(DATE(PARAMETRES!$C$29,10,10),2))</f>
        <v/>
      </c>
      <c r="Y2349" s="37">
        <f>IF(11&gt;DAY(EOMONTH(DATE(PARAMETRES!$C$29,10,1),0)),"",WEEKDAY(DATE(PARAMETRES!$C$29,10,11),2))</f>
        <v/>
      </c>
      <c r="Z2349" s="37">
        <f>IF(12&gt;DAY(EOMONTH(DATE(PARAMETRES!$C$29,10,1),0)),"",WEEKDAY(DATE(PARAMETRES!$C$29,10,12),2))</f>
        <v/>
      </c>
      <c r="AA2349" s="37">
        <f>IF(13&gt;DAY(EOMONTH(DATE(PARAMETRES!$C$29,10,1),0)),"",WEEKDAY(DATE(PARAMETRES!$C$29,10,13),2))</f>
        <v/>
      </c>
      <c r="AB2349" s="37">
        <f>IF(14&gt;DAY(EOMONTH(DATE(PARAMETRES!$C$29,10,1),0)),"",WEEKDAY(DATE(PARAMETRES!$C$29,10,14),2))</f>
        <v/>
      </c>
      <c r="AC2349" s="37">
        <f>IF(15&gt;DAY(EOMONTH(DATE(PARAMETRES!$C$29,10,1),0)),"",WEEKDAY(DATE(PARAMETRES!$C$29,10,15),2))</f>
        <v/>
      </c>
      <c r="AD2349" s="37">
        <f>IF(16&gt;DAY(EOMONTH(DATE(PARAMETRES!$C$29,10,1),0)),"",WEEKDAY(DATE(PARAMETRES!$C$29,10,16),2))</f>
        <v/>
      </c>
      <c r="AE2349" s="37">
        <f>IF(17&gt;DAY(EOMONTH(DATE(PARAMETRES!$C$29,10,1),0)),"",WEEKDAY(DATE(PARAMETRES!$C$29,10,17),2))</f>
        <v/>
      </c>
      <c r="AF2349" s="37">
        <f>IF(18&gt;DAY(EOMONTH(DATE(PARAMETRES!$C$29,10,1),0)),"",WEEKDAY(DATE(PARAMETRES!$C$29,10,18),2))</f>
        <v/>
      </c>
      <c r="AG2349" s="37">
        <f>IF(19&gt;DAY(EOMONTH(DATE(PARAMETRES!$C$29,10,1),0)),"",WEEKDAY(DATE(PARAMETRES!$C$29,10,19),2))</f>
        <v/>
      </c>
      <c r="AH2349" s="37">
        <f>IF(20&gt;DAY(EOMONTH(DATE(PARAMETRES!$C$29,10,1),0)),"",WEEKDAY(DATE(PARAMETRES!$C$29,10,20),2))</f>
        <v/>
      </c>
      <c r="AI2349" s="37">
        <f>IF(21&gt;DAY(EOMONTH(DATE(PARAMETRES!$C$29,10,1),0)),"",WEEKDAY(DATE(PARAMETRES!$C$29,10,21),2))</f>
        <v/>
      </c>
      <c r="AJ2349" s="37">
        <f>IF(22&gt;DAY(EOMONTH(DATE(PARAMETRES!$C$29,10,1),0)),"",WEEKDAY(DATE(PARAMETRES!$C$29,10,22),2))</f>
        <v/>
      </c>
      <c r="AK2349" s="37">
        <f>IF(23&gt;DAY(EOMONTH(DATE(PARAMETRES!$C$29,10,1),0)),"",WEEKDAY(DATE(PARAMETRES!$C$29,10,23),2))</f>
        <v/>
      </c>
      <c r="AL2349" s="37">
        <f>IF(24&gt;DAY(EOMONTH(DATE(PARAMETRES!$C$29,10,1),0)),"",WEEKDAY(DATE(PARAMETRES!$C$29,10,24),2))</f>
        <v/>
      </c>
      <c r="AM2349" s="37">
        <f>IF(25&gt;DAY(EOMONTH(DATE(PARAMETRES!$C$29,10,1),0)),"",WEEKDAY(DATE(PARAMETRES!$C$29,10,25),2))</f>
        <v/>
      </c>
      <c r="AN2349" s="37">
        <f>IF(26&gt;DAY(EOMONTH(DATE(PARAMETRES!$C$29,10,1),0)),"",WEEKDAY(DATE(PARAMETRES!$C$29,10,26),2))</f>
        <v/>
      </c>
      <c r="AO2349" s="37">
        <f>IF(27&gt;DAY(EOMONTH(DATE(PARAMETRES!$C$29,10,1),0)),"",WEEKDAY(DATE(PARAMETRES!$C$29,10,27),2))</f>
        <v/>
      </c>
      <c r="AP2349" s="37">
        <f>IF(28&gt;DAY(EOMONTH(DATE(PARAMETRES!$C$29,10,1),0)),"",WEEKDAY(DATE(PARAMETRES!$C$29,10,28),2))</f>
        <v/>
      </c>
      <c r="AQ2349" s="37">
        <f>IF(29&gt;DAY(EOMONTH(DATE(PARAMETRES!$C$29,10,1),0)),"",WEEKDAY(DATE(PARAMETRES!$C$29,10,29),2))</f>
        <v/>
      </c>
      <c r="AR2349" s="37">
        <f>IF(30&gt;DAY(EOMONTH(DATE(PARAMETRES!$C$29,10,1),0)),"",WEEKDAY(DATE(PARAMETRES!$C$29,10,30),2))</f>
        <v/>
      </c>
      <c r="AS2349" s="37">
        <f>IF(31&gt;DAY(EOMONTH(DATE(PARAMETRES!$C$29,10,1),0)),"",WEEKDAY(DATE(PARAMETRES!$C$29,10,31),2))</f>
        <v/>
      </c>
    </row>
    <row r="2350" hidden="1" outlineLevel="1" ht="15" customHeight="1" s="15">
      <c r="AT2350" s="36">
        <f>IF(OR(O2286="",O2286=7),"","P")</f>
        <v/>
      </c>
      <c r="AU2350" s="36">
        <f>IF(OR(O2286="",O2286&gt;=6),"","P")</f>
        <v/>
      </c>
    </row>
    <row r="2351" hidden="1" outlineLevel="1" ht="15" customHeight="1" s="15">
      <c r="AT2351" s="36">
        <f>IF(OR(O2286="",O2286=7),"","D")</f>
        <v/>
      </c>
      <c r="AU2351" s="36">
        <f>IF(OR(O2286="",O2286&gt;=6),"","D")</f>
        <v/>
      </c>
    </row>
    <row r="2352" hidden="1" outlineLevel="1" ht="15" customHeight="1" s="15">
      <c r="AT2352" s="36">
        <f>IF(OR(O2286="",O2286=7),"","A")</f>
        <v/>
      </c>
      <c r="AU2352" s="36">
        <f>IF(OR(O2286="",O2286&gt;=6),"","A")</f>
        <v/>
      </c>
    </row>
    <row r="2353" hidden="1" outlineLevel="1" ht="15" customHeight="1" s="15">
      <c r="AT2353" s="36">
        <f>IF(OR(O2286="",O2286=7),"","F")</f>
        <v/>
      </c>
      <c r="AU2353" s="36">
        <f>IF(OR(O2286="",O2286&gt;=6),"","F")</f>
        <v/>
      </c>
    </row>
    <row r="2354" hidden="1" outlineLevel="1" ht="15" customHeight="1" s="15">
      <c r="AT2354" s="36">
        <f>IF(OR(O2286="",O2286=7),"","C")</f>
        <v/>
      </c>
      <c r="AU2354" s="36">
        <f>IF(OR(O2286="",O2286&gt;=6),"","C")</f>
        <v/>
      </c>
    </row>
    <row r="2355" hidden="1" outlineLevel="1" ht="15" customHeight="1" s="15">
      <c r="AT2355" s="36">
        <f>IF(AND(O2286&lt;&gt;"",O2286=7),"R","")</f>
        <v/>
      </c>
      <c r="AU2355" s="36">
        <f>IF(AND(O2286&lt;&gt;"",O2286&gt;=6),"R","")</f>
        <v/>
      </c>
    </row>
    <row r="2356" hidden="1" outlineLevel="1" ht="15" customHeight="1" s="15">
      <c r="AT2356" s="36">
        <f>IF(OR(P2286="",P2286=7),"","P")</f>
        <v/>
      </c>
      <c r="AU2356" s="36">
        <f>IF(OR(P2286="",P2286&gt;=6),"","P")</f>
        <v/>
      </c>
    </row>
    <row r="2357" hidden="1" outlineLevel="1" ht="15" customHeight="1" s="15">
      <c r="AT2357" s="36">
        <f>IF(OR(P2286="",P2286=7),"","D")</f>
        <v/>
      </c>
      <c r="AU2357" s="36">
        <f>IF(OR(P2286="",P2286&gt;=6),"","D")</f>
        <v/>
      </c>
    </row>
    <row r="2358" hidden="1" outlineLevel="1" ht="15" customHeight="1" s="15">
      <c r="AT2358" s="36">
        <f>IF(OR(P2286="",P2286=7),"","A")</f>
        <v/>
      </c>
      <c r="AU2358" s="36">
        <f>IF(OR(P2286="",P2286&gt;=6),"","A")</f>
        <v/>
      </c>
    </row>
    <row r="2359" hidden="1" outlineLevel="1" ht="15" customHeight="1" s="15">
      <c r="AT2359" s="36">
        <f>IF(OR(P2286="",P2286=7),"","F")</f>
        <v/>
      </c>
      <c r="AU2359" s="36">
        <f>IF(OR(P2286="",P2286&gt;=6),"","F")</f>
        <v/>
      </c>
    </row>
    <row r="2360" hidden="1" outlineLevel="1" ht="15" customHeight="1" s="15">
      <c r="AT2360" s="36">
        <f>IF(OR(P2286="",P2286=7),"","C")</f>
        <v/>
      </c>
      <c r="AU2360" s="36">
        <f>IF(OR(P2286="",P2286&gt;=6),"","C")</f>
        <v/>
      </c>
    </row>
    <row r="2361" hidden="1" outlineLevel="1" ht="15" customHeight="1" s="15">
      <c r="AT2361" s="36">
        <f>IF(AND(P2286&lt;&gt;"",P2286=7),"R","")</f>
        <v/>
      </c>
      <c r="AU2361" s="36">
        <f>IF(AND(P2286&lt;&gt;"",P2286&gt;=6),"R","")</f>
        <v/>
      </c>
    </row>
    <row r="2362" hidden="1" outlineLevel="1" ht="15" customHeight="1" s="15">
      <c r="AT2362" s="36">
        <f>IF(OR(Q2286="",Q2286=7),"","P")</f>
        <v/>
      </c>
      <c r="AU2362" s="36">
        <f>IF(OR(Q2286="",Q2286&gt;=6),"","P")</f>
        <v/>
      </c>
    </row>
    <row r="2363" hidden="1" outlineLevel="1" ht="15" customHeight="1" s="15">
      <c r="AT2363" s="36">
        <f>IF(OR(Q2286="",Q2286=7),"","D")</f>
        <v/>
      </c>
      <c r="AU2363" s="36">
        <f>IF(OR(Q2286="",Q2286&gt;=6),"","D")</f>
        <v/>
      </c>
    </row>
    <row r="2364" hidden="1" outlineLevel="1" ht="15" customHeight="1" s="15">
      <c r="AT2364" s="36">
        <f>IF(OR(Q2286="",Q2286=7),"","A")</f>
        <v/>
      </c>
      <c r="AU2364" s="36">
        <f>IF(OR(Q2286="",Q2286&gt;=6),"","A")</f>
        <v/>
      </c>
    </row>
    <row r="2365" hidden="1" outlineLevel="1" ht="15" customHeight="1" s="15">
      <c r="AT2365" s="36">
        <f>IF(OR(Q2286="",Q2286=7),"","F")</f>
        <v/>
      </c>
      <c r="AU2365" s="36">
        <f>IF(OR(Q2286="",Q2286&gt;=6),"","F")</f>
        <v/>
      </c>
    </row>
    <row r="2366" hidden="1" outlineLevel="1" ht="15" customHeight="1" s="15">
      <c r="AT2366" s="36">
        <f>IF(OR(Q2286="",Q2286=7),"","C")</f>
        <v/>
      </c>
      <c r="AU2366" s="36">
        <f>IF(OR(Q2286="",Q2286&gt;=6),"","C")</f>
        <v/>
      </c>
    </row>
    <row r="2367" hidden="1" outlineLevel="1" ht="15" customHeight="1" s="15">
      <c r="AT2367" s="36">
        <f>IF(AND(Q2286&lt;&gt;"",Q2286=7),"R","")</f>
        <v/>
      </c>
      <c r="AU2367" s="36">
        <f>IF(AND(Q2286&lt;&gt;"",Q2286&gt;=6),"R","")</f>
        <v/>
      </c>
    </row>
    <row r="2368" hidden="1" outlineLevel="1" ht="15" customHeight="1" s="15">
      <c r="AT2368" s="36">
        <f>IF(OR(R2286="",R2286=7),"","P")</f>
        <v/>
      </c>
      <c r="AU2368" s="36">
        <f>IF(OR(R2286="",R2286&gt;=6),"","P")</f>
        <v/>
      </c>
    </row>
    <row r="2369" hidden="1" outlineLevel="1" ht="15" customHeight="1" s="15">
      <c r="AT2369" s="36">
        <f>IF(OR(R2286="",R2286=7),"","D")</f>
        <v/>
      </c>
      <c r="AU2369" s="36">
        <f>IF(OR(R2286="",R2286&gt;=6),"","D")</f>
        <v/>
      </c>
    </row>
    <row r="2370" hidden="1" outlineLevel="1" ht="15" customHeight="1" s="15">
      <c r="AT2370" s="36">
        <f>IF(OR(R2286="",R2286=7),"","A")</f>
        <v/>
      </c>
      <c r="AU2370" s="36">
        <f>IF(OR(R2286="",R2286&gt;=6),"","A")</f>
        <v/>
      </c>
    </row>
    <row r="2371" hidden="1" outlineLevel="1" ht="15" customHeight="1" s="15">
      <c r="AT2371" s="36">
        <f>IF(OR(R2286="",R2286=7),"","F")</f>
        <v/>
      </c>
      <c r="AU2371" s="36">
        <f>IF(OR(R2286="",R2286&gt;=6),"","F")</f>
        <v/>
      </c>
    </row>
    <row r="2372" hidden="1" outlineLevel="1" ht="15" customHeight="1" s="15">
      <c r="AT2372" s="36">
        <f>IF(OR(R2286="",R2286=7),"","C")</f>
        <v/>
      </c>
      <c r="AU2372" s="36">
        <f>IF(OR(R2286="",R2286&gt;=6),"","C")</f>
        <v/>
      </c>
    </row>
    <row r="2373" hidden="1" outlineLevel="1" ht="15" customHeight="1" s="15">
      <c r="AT2373" s="36">
        <f>IF(AND(R2286&lt;&gt;"",R2286=7),"R","")</f>
        <v/>
      </c>
      <c r="AU2373" s="36">
        <f>IF(AND(R2286&lt;&gt;"",R2286&gt;=6),"R","")</f>
        <v/>
      </c>
    </row>
    <row r="2374" hidden="1" outlineLevel="1" ht="15" customHeight="1" s="15">
      <c r="AT2374" s="36">
        <f>IF(OR(S2286="",S2286=7),"","P")</f>
        <v/>
      </c>
      <c r="AU2374" s="36">
        <f>IF(OR(S2286="",S2286&gt;=6),"","P")</f>
        <v/>
      </c>
    </row>
    <row r="2375" hidden="1" outlineLevel="1" ht="15" customHeight="1" s="15">
      <c r="AT2375" s="36">
        <f>IF(OR(S2286="",S2286=7),"","D")</f>
        <v/>
      </c>
      <c r="AU2375" s="36">
        <f>IF(OR(S2286="",S2286&gt;=6),"","D")</f>
        <v/>
      </c>
    </row>
    <row r="2376" hidden="1" outlineLevel="1" ht="15" customHeight="1" s="15">
      <c r="AT2376" s="36">
        <f>IF(OR(S2286="",S2286=7),"","A")</f>
        <v/>
      </c>
      <c r="AU2376" s="36">
        <f>IF(OR(S2286="",S2286&gt;=6),"","A")</f>
        <v/>
      </c>
    </row>
    <row r="2377" hidden="1" outlineLevel="1" ht="15" customHeight="1" s="15">
      <c r="AT2377" s="36">
        <f>IF(OR(S2286="",S2286=7),"","F")</f>
        <v/>
      </c>
      <c r="AU2377" s="36">
        <f>IF(OR(S2286="",S2286&gt;=6),"","F")</f>
        <v/>
      </c>
    </row>
    <row r="2378" hidden="1" outlineLevel="1" ht="15" customHeight="1" s="15">
      <c r="AT2378" s="36">
        <f>IF(OR(S2286="",S2286=7),"","C")</f>
        <v/>
      </c>
      <c r="AU2378" s="36">
        <f>IF(OR(S2286="",S2286&gt;=6),"","C")</f>
        <v/>
      </c>
    </row>
    <row r="2379" hidden="1" outlineLevel="1" ht="15" customHeight="1" s="15">
      <c r="AT2379" s="36">
        <f>IF(AND(S2286&lt;&gt;"",S2286=7),"R","")</f>
        <v/>
      </c>
      <c r="AU2379" s="36">
        <f>IF(AND(S2286&lt;&gt;"",S2286&gt;=6),"R","")</f>
        <v/>
      </c>
    </row>
    <row r="2380" hidden="1" outlineLevel="1" ht="15" customHeight="1" s="15">
      <c r="AT2380" s="36">
        <f>IF(OR(T2286="",T2286=7),"","P")</f>
        <v/>
      </c>
      <c r="AU2380" s="36">
        <f>IF(OR(T2286="",T2286&gt;=6),"","P")</f>
        <v/>
      </c>
    </row>
    <row r="2381" hidden="1" outlineLevel="1" ht="15" customHeight="1" s="15">
      <c r="AT2381" s="36">
        <f>IF(OR(T2286="",T2286=7),"","D")</f>
        <v/>
      </c>
      <c r="AU2381" s="36">
        <f>IF(OR(T2286="",T2286&gt;=6),"","D")</f>
        <v/>
      </c>
    </row>
    <row r="2382" hidden="1" outlineLevel="1" ht="15" customHeight="1" s="15">
      <c r="AT2382" s="36">
        <f>IF(OR(T2286="",T2286=7),"","A")</f>
        <v/>
      </c>
      <c r="AU2382" s="36">
        <f>IF(OR(T2286="",T2286&gt;=6),"","A")</f>
        <v/>
      </c>
    </row>
    <row r="2383" hidden="1" outlineLevel="1" ht="15" customHeight="1" s="15">
      <c r="AT2383" s="36">
        <f>IF(OR(T2286="",T2286=7),"","F")</f>
        <v/>
      </c>
      <c r="AU2383" s="36">
        <f>IF(OR(T2286="",T2286&gt;=6),"","F")</f>
        <v/>
      </c>
    </row>
    <row r="2384" hidden="1" outlineLevel="1" ht="15" customHeight="1" s="15">
      <c r="AT2384" s="36">
        <f>IF(OR(T2286="",T2286=7),"","C")</f>
        <v/>
      </c>
      <c r="AU2384" s="36">
        <f>IF(OR(T2286="",T2286&gt;=6),"","C")</f>
        <v/>
      </c>
    </row>
    <row r="2385" hidden="1" outlineLevel="1" ht="15" customHeight="1" s="15">
      <c r="AT2385" s="36">
        <f>IF(AND(T2286&lt;&gt;"",T2286=7),"R","")</f>
        <v/>
      </c>
      <c r="AU2385" s="36">
        <f>IF(AND(T2286&lt;&gt;"",T2286&gt;=6),"R","")</f>
        <v/>
      </c>
    </row>
    <row r="2386" hidden="1" outlineLevel="1" ht="15" customHeight="1" s="15">
      <c r="AT2386" s="36">
        <f>IF(OR(U2286="",U2286=7),"","P")</f>
        <v/>
      </c>
      <c r="AU2386" s="36">
        <f>IF(OR(U2286="",U2286&gt;=6),"","P")</f>
        <v/>
      </c>
    </row>
    <row r="2387" hidden="1" outlineLevel="1" ht="15" customHeight="1" s="15">
      <c r="AT2387" s="36">
        <f>IF(OR(U2286="",U2286=7),"","D")</f>
        <v/>
      </c>
      <c r="AU2387" s="36">
        <f>IF(OR(U2286="",U2286&gt;=6),"","D")</f>
        <v/>
      </c>
    </row>
    <row r="2388" hidden="1" outlineLevel="1" ht="15" customHeight="1" s="15">
      <c r="AT2388" s="36">
        <f>IF(OR(U2286="",U2286=7),"","A")</f>
        <v/>
      </c>
      <c r="AU2388" s="36">
        <f>IF(OR(U2286="",U2286&gt;=6),"","A")</f>
        <v/>
      </c>
    </row>
    <row r="2389" hidden="1" outlineLevel="1" ht="15" customHeight="1" s="15">
      <c r="AT2389" s="36">
        <f>IF(OR(U2286="",U2286=7),"","F")</f>
        <v/>
      </c>
      <c r="AU2389" s="36">
        <f>IF(OR(U2286="",U2286&gt;=6),"","F")</f>
        <v/>
      </c>
    </row>
    <row r="2390" hidden="1" outlineLevel="1" ht="15" customHeight="1" s="15">
      <c r="AT2390" s="36">
        <f>IF(OR(U2286="",U2286=7),"","C")</f>
        <v/>
      </c>
      <c r="AU2390" s="36">
        <f>IF(OR(U2286="",U2286&gt;=6),"","C")</f>
        <v/>
      </c>
    </row>
    <row r="2391" hidden="1" outlineLevel="1" ht="15" customHeight="1" s="15">
      <c r="AT2391" s="36">
        <f>IF(AND(U2286&lt;&gt;"",U2286=7),"R","")</f>
        <v/>
      </c>
      <c r="AU2391" s="36">
        <f>IF(AND(U2286&lt;&gt;"",U2286&gt;=6),"R","")</f>
        <v/>
      </c>
    </row>
    <row r="2392" hidden="1" outlineLevel="1" ht="15" customHeight="1" s="15">
      <c r="AT2392" s="36">
        <f>IF(OR(V2286="",V2286=7),"","P")</f>
        <v/>
      </c>
      <c r="AU2392" s="36">
        <f>IF(OR(V2286="",V2286&gt;=6),"","P")</f>
        <v/>
      </c>
    </row>
    <row r="2393" hidden="1" outlineLevel="1" ht="15" customHeight="1" s="15">
      <c r="AT2393" s="36">
        <f>IF(OR(V2286="",V2286=7),"","D")</f>
        <v/>
      </c>
      <c r="AU2393" s="36">
        <f>IF(OR(V2286="",V2286&gt;=6),"","D")</f>
        <v/>
      </c>
    </row>
    <row r="2394" hidden="1" outlineLevel="1" ht="15" customHeight="1" s="15">
      <c r="AT2394" s="36">
        <f>IF(OR(V2286="",V2286=7),"","A")</f>
        <v/>
      </c>
      <c r="AU2394" s="36">
        <f>IF(OR(V2286="",V2286&gt;=6),"","A")</f>
        <v/>
      </c>
    </row>
    <row r="2395" hidden="1" outlineLevel="1" ht="15" customHeight="1" s="15">
      <c r="AT2395" s="36">
        <f>IF(OR(V2286="",V2286=7),"","F")</f>
        <v/>
      </c>
      <c r="AU2395" s="36">
        <f>IF(OR(V2286="",V2286&gt;=6),"","F")</f>
        <v/>
      </c>
    </row>
    <row r="2396" hidden="1" outlineLevel="1" ht="15" customHeight="1" s="15">
      <c r="AT2396" s="36">
        <f>IF(OR(V2286="",V2286=7),"","C")</f>
        <v/>
      </c>
      <c r="AU2396" s="36">
        <f>IF(OR(V2286="",V2286&gt;=6),"","C")</f>
        <v/>
      </c>
    </row>
    <row r="2397" hidden="1" outlineLevel="1" ht="15" customHeight="1" s="15">
      <c r="AT2397" s="36">
        <f>IF(AND(V2286&lt;&gt;"",V2286=7),"R","")</f>
        <v/>
      </c>
      <c r="AU2397" s="36">
        <f>IF(AND(V2286&lt;&gt;"",V2286&gt;=6),"R","")</f>
        <v/>
      </c>
    </row>
    <row r="2398" hidden="1" outlineLevel="1" ht="15" customHeight="1" s="15">
      <c r="AT2398" s="36">
        <f>IF(OR(W2286="",W2286=7),"","P")</f>
        <v/>
      </c>
      <c r="AU2398" s="36">
        <f>IF(OR(W2286="",W2286&gt;=6),"","P")</f>
        <v/>
      </c>
    </row>
    <row r="2399" hidden="1" outlineLevel="1" ht="15" customHeight="1" s="15">
      <c r="AT2399" s="36">
        <f>IF(OR(W2286="",W2286=7),"","D")</f>
        <v/>
      </c>
      <c r="AU2399" s="36">
        <f>IF(OR(W2286="",W2286&gt;=6),"","D")</f>
        <v/>
      </c>
    </row>
    <row r="2400" hidden="1" outlineLevel="1" ht="15" customHeight="1" s="15">
      <c r="AT2400" s="36">
        <f>IF(OR(W2286="",W2286=7),"","A")</f>
        <v/>
      </c>
      <c r="AU2400" s="36">
        <f>IF(OR(W2286="",W2286&gt;=6),"","A")</f>
        <v/>
      </c>
    </row>
    <row r="2401" hidden="1" outlineLevel="1" ht="15" customHeight="1" s="15">
      <c r="AT2401" s="36">
        <f>IF(OR(W2286="",W2286=7),"","F")</f>
        <v/>
      </c>
      <c r="AU2401" s="36">
        <f>IF(OR(W2286="",W2286&gt;=6),"","F")</f>
        <v/>
      </c>
    </row>
    <row r="2402" hidden="1" outlineLevel="1" ht="15" customHeight="1" s="15">
      <c r="AT2402" s="36">
        <f>IF(OR(W2286="",W2286=7),"","C")</f>
        <v/>
      </c>
      <c r="AU2402" s="36">
        <f>IF(OR(W2286="",W2286&gt;=6),"","C")</f>
        <v/>
      </c>
    </row>
    <row r="2403" hidden="1" outlineLevel="1" ht="15" customHeight="1" s="15">
      <c r="AT2403" s="36">
        <f>IF(AND(W2286&lt;&gt;"",W2286=7),"R","")</f>
        <v/>
      </c>
      <c r="AU2403" s="36">
        <f>IF(AND(W2286&lt;&gt;"",W2286&gt;=6),"R","")</f>
        <v/>
      </c>
    </row>
    <row r="2404" hidden="1" outlineLevel="1" ht="15" customHeight="1" s="15">
      <c r="AT2404" s="36">
        <f>IF(OR(X2286="",X2286=7),"","P")</f>
        <v/>
      </c>
      <c r="AU2404" s="36">
        <f>IF(OR(X2286="",X2286&gt;=6),"","P")</f>
        <v/>
      </c>
    </row>
    <row r="2405" hidden="1" outlineLevel="1" ht="15" customHeight="1" s="15">
      <c r="AT2405" s="36">
        <f>IF(OR(X2286="",X2286=7),"","D")</f>
        <v/>
      </c>
      <c r="AU2405" s="36">
        <f>IF(OR(X2286="",X2286&gt;=6),"","D")</f>
        <v/>
      </c>
    </row>
    <row r="2406" hidden="1" outlineLevel="1" ht="15" customHeight="1" s="15">
      <c r="AT2406" s="36">
        <f>IF(OR(X2286="",X2286=7),"","A")</f>
        <v/>
      </c>
      <c r="AU2406" s="36">
        <f>IF(OR(X2286="",X2286&gt;=6),"","A")</f>
        <v/>
      </c>
    </row>
    <row r="2407" hidden="1" outlineLevel="1" ht="15" customHeight="1" s="15">
      <c r="AT2407" s="36">
        <f>IF(OR(X2286="",X2286=7),"","F")</f>
        <v/>
      </c>
      <c r="AU2407" s="36">
        <f>IF(OR(X2286="",X2286&gt;=6),"","F")</f>
        <v/>
      </c>
    </row>
    <row r="2408" hidden="1" outlineLevel="1" ht="15" customHeight="1" s="15">
      <c r="AT2408" s="36">
        <f>IF(OR(X2286="",X2286=7),"","C")</f>
        <v/>
      </c>
      <c r="AU2408" s="36">
        <f>IF(OR(X2286="",X2286&gt;=6),"","C")</f>
        <v/>
      </c>
    </row>
    <row r="2409" hidden="1" outlineLevel="1" ht="15" customHeight="1" s="15">
      <c r="AT2409" s="36">
        <f>IF(AND(X2286&lt;&gt;"",X2286=7),"R","")</f>
        <v/>
      </c>
      <c r="AU2409" s="36">
        <f>IF(AND(X2286&lt;&gt;"",X2286&gt;=6),"R","")</f>
        <v/>
      </c>
    </row>
    <row r="2410" hidden="1" outlineLevel="1" ht="15" customHeight="1" s="15">
      <c r="AT2410" s="36">
        <f>IF(OR(Y2286="",Y2286=7),"","P")</f>
        <v/>
      </c>
      <c r="AU2410" s="36">
        <f>IF(OR(Y2286="",Y2286&gt;=6),"","P")</f>
        <v/>
      </c>
    </row>
    <row r="2411" hidden="1" outlineLevel="1" ht="15" customHeight="1" s="15">
      <c r="AT2411" s="36">
        <f>IF(OR(Y2286="",Y2286=7),"","D")</f>
        <v/>
      </c>
      <c r="AU2411" s="36">
        <f>IF(OR(Y2286="",Y2286&gt;=6),"","D")</f>
        <v/>
      </c>
    </row>
    <row r="2412" hidden="1" outlineLevel="1" ht="15" customHeight="1" s="15">
      <c r="AT2412" s="36">
        <f>IF(OR(Y2286="",Y2286=7),"","A")</f>
        <v/>
      </c>
      <c r="AU2412" s="36">
        <f>IF(OR(Y2286="",Y2286&gt;=6),"","A")</f>
        <v/>
      </c>
    </row>
    <row r="2413" hidden="1" outlineLevel="1" ht="15" customHeight="1" s="15">
      <c r="AT2413" s="36">
        <f>IF(OR(Y2286="",Y2286=7),"","F")</f>
        <v/>
      </c>
      <c r="AU2413" s="36">
        <f>IF(OR(Y2286="",Y2286&gt;=6),"","F")</f>
        <v/>
      </c>
    </row>
    <row r="2414" hidden="1" outlineLevel="1" ht="15" customHeight="1" s="15">
      <c r="AT2414" s="36">
        <f>IF(OR(Y2286="",Y2286=7),"","C")</f>
        <v/>
      </c>
      <c r="AU2414" s="36">
        <f>IF(OR(Y2286="",Y2286&gt;=6),"","C")</f>
        <v/>
      </c>
    </row>
    <row r="2415" hidden="1" outlineLevel="1" ht="15" customHeight="1" s="15">
      <c r="AT2415" s="36">
        <f>IF(AND(Y2286&lt;&gt;"",Y2286=7),"R","")</f>
        <v/>
      </c>
      <c r="AU2415" s="36">
        <f>IF(AND(Y2286&lt;&gt;"",Y2286&gt;=6),"R","")</f>
        <v/>
      </c>
    </row>
    <row r="2416" hidden="1" outlineLevel="1" ht="15" customHeight="1" s="15">
      <c r="AT2416" s="36">
        <f>IF(OR(Z2286="",Z2286=7),"","P")</f>
        <v/>
      </c>
      <c r="AU2416" s="36">
        <f>IF(OR(Z2286="",Z2286&gt;=6),"","P")</f>
        <v/>
      </c>
    </row>
    <row r="2417" hidden="1" outlineLevel="1" ht="15" customHeight="1" s="15">
      <c r="AT2417" s="36">
        <f>IF(OR(Z2286="",Z2286=7),"","D")</f>
        <v/>
      </c>
      <c r="AU2417" s="36">
        <f>IF(OR(Z2286="",Z2286&gt;=6),"","D")</f>
        <v/>
      </c>
    </row>
    <row r="2418" hidden="1" outlineLevel="1" ht="15" customHeight="1" s="15">
      <c r="AT2418" s="36">
        <f>IF(OR(Z2286="",Z2286=7),"","A")</f>
        <v/>
      </c>
      <c r="AU2418" s="36">
        <f>IF(OR(Z2286="",Z2286&gt;=6),"","A")</f>
        <v/>
      </c>
    </row>
    <row r="2419" hidden="1" outlineLevel="1" ht="15" customHeight="1" s="15">
      <c r="AT2419" s="36">
        <f>IF(OR(Z2286="",Z2286=7),"","F")</f>
        <v/>
      </c>
      <c r="AU2419" s="36">
        <f>IF(OR(Z2286="",Z2286&gt;=6),"","F")</f>
        <v/>
      </c>
    </row>
    <row r="2420" hidden="1" outlineLevel="1" ht="15" customHeight="1" s="15">
      <c r="AT2420" s="36">
        <f>IF(OR(Z2286="",Z2286=7),"","C")</f>
        <v/>
      </c>
      <c r="AU2420" s="36">
        <f>IF(OR(Z2286="",Z2286&gt;=6),"","C")</f>
        <v/>
      </c>
    </row>
    <row r="2421" hidden="1" outlineLevel="1" ht="15" customHeight="1" s="15">
      <c r="AT2421" s="36">
        <f>IF(AND(Z2286&lt;&gt;"",Z2286=7),"R","")</f>
        <v/>
      </c>
      <c r="AU2421" s="36">
        <f>IF(AND(Z2286&lt;&gt;"",Z2286&gt;=6),"R","")</f>
        <v/>
      </c>
    </row>
    <row r="2422" hidden="1" outlineLevel="1" ht="15" customHeight="1" s="15">
      <c r="AT2422" s="36">
        <f>IF(OR(AA2286="",AA2286=7),"","P")</f>
        <v/>
      </c>
      <c r="AU2422" s="36">
        <f>IF(OR(AA2286="",AA2286&gt;=6),"","P")</f>
        <v/>
      </c>
    </row>
    <row r="2423" hidden="1" outlineLevel="1" ht="15" customHeight="1" s="15">
      <c r="AT2423" s="36">
        <f>IF(OR(AA2286="",AA2286=7),"","D")</f>
        <v/>
      </c>
      <c r="AU2423" s="36">
        <f>IF(OR(AA2286="",AA2286&gt;=6),"","D")</f>
        <v/>
      </c>
    </row>
    <row r="2424" hidden="1" outlineLevel="1" ht="15" customHeight="1" s="15">
      <c r="AT2424" s="36">
        <f>IF(OR(AA2286="",AA2286=7),"","A")</f>
        <v/>
      </c>
      <c r="AU2424" s="36">
        <f>IF(OR(AA2286="",AA2286&gt;=6),"","A")</f>
        <v/>
      </c>
    </row>
    <row r="2425" hidden="1" outlineLevel="1" ht="15" customHeight="1" s="15">
      <c r="AT2425" s="36">
        <f>IF(OR(AA2286="",AA2286=7),"","F")</f>
        <v/>
      </c>
      <c r="AU2425" s="36">
        <f>IF(OR(AA2286="",AA2286&gt;=6),"","F")</f>
        <v/>
      </c>
    </row>
    <row r="2426" hidden="1" outlineLevel="1" ht="15" customHeight="1" s="15">
      <c r="AT2426" s="36">
        <f>IF(OR(AA2286="",AA2286=7),"","C")</f>
        <v/>
      </c>
      <c r="AU2426" s="36">
        <f>IF(OR(AA2286="",AA2286&gt;=6),"","C")</f>
        <v/>
      </c>
    </row>
    <row r="2427" hidden="1" outlineLevel="1" ht="15" customHeight="1" s="15">
      <c r="AT2427" s="36">
        <f>IF(AND(AA2286&lt;&gt;"",AA2286=7),"R","")</f>
        <v/>
      </c>
      <c r="AU2427" s="36">
        <f>IF(AND(AA2286&lt;&gt;"",AA2286&gt;=6),"R","")</f>
        <v/>
      </c>
    </row>
    <row r="2428" hidden="1" outlineLevel="1" ht="15" customHeight="1" s="15">
      <c r="AT2428" s="36">
        <f>IF(OR(AB2286="",AB2286=7),"","P")</f>
        <v/>
      </c>
      <c r="AU2428" s="36">
        <f>IF(OR(AB2286="",AB2286&gt;=6),"","P")</f>
        <v/>
      </c>
    </row>
    <row r="2429" hidden="1" outlineLevel="1" ht="15" customHeight="1" s="15">
      <c r="AT2429" s="36">
        <f>IF(OR(AB2286="",AB2286=7),"","D")</f>
        <v/>
      </c>
      <c r="AU2429" s="36">
        <f>IF(OR(AB2286="",AB2286&gt;=6),"","D")</f>
        <v/>
      </c>
    </row>
    <row r="2430" hidden="1" outlineLevel="1" ht="15" customHeight="1" s="15">
      <c r="AT2430" s="36">
        <f>IF(OR(AB2286="",AB2286=7),"","A")</f>
        <v/>
      </c>
      <c r="AU2430" s="36">
        <f>IF(OR(AB2286="",AB2286&gt;=6),"","A")</f>
        <v/>
      </c>
    </row>
    <row r="2431" hidden="1" outlineLevel="1" ht="15" customHeight="1" s="15">
      <c r="AT2431" s="36">
        <f>IF(OR(AB2286="",AB2286=7),"","F")</f>
        <v/>
      </c>
      <c r="AU2431" s="36">
        <f>IF(OR(AB2286="",AB2286&gt;=6),"","F")</f>
        <v/>
      </c>
    </row>
    <row r="2432" hidden="1" outlineLevel="1" ht="15" customHeight="1" s="15">
      <c r="AT2432" s="36">
        <f>IF(OR(AB2286="",AB2286=7),"","C")</f>
        <v/>
      </c>
      <c r="AU2432" s="36">
        <f>IF(OR(AB2286="",AB2286&gt;=6),"","C")</f>
        <v/>
      </c>
    </row>
    <row r="2433" hidden="1" outlineLevel="1" ht="15" customHeight="1" s="15">
      <c r="AT2433" s="36">
        <f>IF(AND(AB2286&lt;&gt;"",AB2286=7),"R","")</f>
        <v/>
      </c>
      <c r="AU2433" s="36">
        <f>IF(AND(AB2286&lt;&gt;"",AB2286&gt;=6),"R","")</f>
        <v/>
      </c>
    </row>
    <row r="2434" hidden="1" outlineLevel="1" ht="15" customHeight="1" s="15">
      <c r="AT2434" s="36">
        <f>IF(OR(AC2286="",AC2286=7),"","P")</f>
        <v/>
      </c>
      <c r="AU2434" s="36">
        <f>IF(OR(AC2286="",AC2286&gt;=6),"","P")</f>
        <v/>
      </c>
    </row>
    <row r="2435" hidden="1" outlineLevel="1" ht="15" customHeight="1" s="15">
      <c r="AT2435" s="36">
        <f>IF(OR(AC2286="",AC2286=7),"","D")</f>
        <v/>
      </c>
      <c r="AU2435" s="36">
        <f>IF(OR(AC2286="",AC2286&gt;=6),"","D")</f>
        <v/>
      </c>
    </row>
    <row r="2436" hidden="1" outlineLevel="1" ht="15" customHeight="1" s="15">
      <c r="AT2436" s="36">
        <f>IF(OR(AC2286="",AC2286=7),"","A")</f>
        <v/>
      </c>
      <c r="AU2436" s="36">
        <f>IF(OR(AC2286="",AC2286&gt;=6),"","A")</f>
        <v/>
      </c>
    </row>
    <row r="2437" hidden="1" outlineLevel="1" ht="15" customHeight="1" s="15">
      <c r="AT2437" s="36">
        <f>IF(OR(AC2286="",AC2286=7),"","F")</f>
        <v/>
      </c>
      <c r="AU2437" s="36">
        <f>IF(OR(AC2286="",AC2286&gt;=6),"","F")</f>
        <v/>
      </c>
    </row>
    <row r="2438" hidden="1" outlineLevel="1" ht="15" customHeight="1" s="15">
      <c r="AT2438" s="36">
        <f>IF(OR(AC2286="",AC2286=7),"","C")</f>
        <v/>
      </c>
      <c r="AU2438" s="36">
        <f>IF(OR(AC2286="",AC2286&gt;=6),"","C")</f>
        <v/>
      </c>
    </row>
    <row r="2439" hidden="1" outlineLevel="1" ht="15" customHeight="1" s="15">
      <c r="AT2439" s="36">
        <f>IF(AND(AC2286&lt;&gt;"",AC2286=7),"R","")</f>
        <v/>
      </c>
      <c r="AU2439" s="36">
        <f>IF(AND(AC2286&lt;&gt;"",AC2286&gt;=6),"R","")</f>
        <v/>
      </c>
    </row>
    <row r="2440" hidden="1" outlineLevel="1" ht="15" customHeight="1" s="15">
      <c r="AT2440" s="36">
        <f>IF(OR(AD2286="",AD2286=7),"","P")</f>
        <v/>
      </c>
      <c r="AU2440" s="36">
        <f>IF(OR(AD2286="",AD2286&gt;=6),"","P")</f>
        <v/>
      </c>
    </row>
    <row r="2441" hidden="1" outlineLevel="1" ht="15" customHeight="1" s="15">
      <c r="AT2441" s="36">
        <f>IF(OR(AD2286="",AD2286=7),"","D")</f>
        <v/>
      </c>
      <c r="AU2441" s="36">
        <f>IF(OR(AD2286="",AD2286&gt;=6),"","D")</f>
        <v/>
      </c>
    </row>
    <row r="2442" hidden="1" outlineLevel="1" ht="15" customHeight="1" s="15">
      <c r="AT2442" s="36">
        <f>IF(OR(AD2286="",AD2286=7),"","A")</f>
        <v/>
      </c>
      <c r="AU2442" s="36">
        <f>IF(OR(AD2286="",AD2286&gt;=6),"","A")</f>
        <v/>
      </c>
    </row>
    <row r="2443" hidden="1" outlineLevel="1" ht="15" customHeight="1" s="15">
      <c r="AT2443" s="36">
        <f>IF(OR(AD2286="",AD2286=7),"","F")</f>
        <v/>
      </c>
      <c r="AU2443" s="36">
        <f>IF(OR(AD2286="",AD2286&gt;=6),"","F")</f>
        <v/>
      </c>
    </row>
    <row r="2444" hidden="1" outlineLevel="1" ht="15" customHeight="1" s="15">
      <c r="AT2444" s="36">
        <f>IF(OR(AD2286="",AD2286=7),"","C")</f>
        <v/>
      </c>
      <c r="AU2444" s="36">
        <f>IF(OR(AD2286="",AD2286&gt;=6),"","C")</f>
        <v/>
      </c>
    </row>
    <row r="2445" hidden="1" outlineLevel="1" ht="15" customHeight="1" s="15">
      <c r="AT2445" s="36">
        <f>IF(AND(AD2286&lt;&gt;"",AD2286=7),"R","")</f>
        <v/>
      </c>
      <c r="AU2445" s="36">
        <f>IF(AND(AD2286&lt;&gt;"",AD2286&gt;=6),"R","")</f>
        <v/>
      </c>
    </row>
    <row r="2446" hidden="1" outlineLevel="1" ht="15" customHeight="1" s="15">
      <c r="AT2446" s="36">
        <f>IF(OR(AE2286="",AE2286=7),"","P")</f>
        <v/>
      </c>
      <c r="AU2446" s="36">
        <f>IF(OR(AE2286="",AE2286&gt;=6),"","P")</f>
        <v/>
      </c>
    </row>
    <row r="2447" hidden="1" outlineLevel="1" ht="15" customHeight="1" s="15">
      <c r="AT2447" s="36">
        <f>IF(OR(AE2286="",AE2286=7),"","D")</f>
        <v/>
      </c>
      <c r="AU2447" s="36">
        <f>IF(OR(AE2286="",AE2286&gt;=6),"","D")</f>
        <v/>
      </c>
    </row>
    <row r="2448" hidden="1" outlineLevel="1" ht="15" customHeight="1" s="15">
      <c r="AT2448" s="36">
        <f>IF(OR(AE2286="",AE2286=7),"","A")</f>
        <v/>
      </c>
      <c r="AU2448" s="36">
        <f>IF(OR(AE2286="",AE2286&gt;=6),"","A")</f>
        <v/>
      </c>
    </row>
    <row r="2449" hidden="1" outlineLevel="1" ht="15" customHeight="1" s="15">
      <c r="AT2449" s="36">
        <f>IF(OR(AE2286="",AE2286=7),"","F")</f>
        <v/>
      </c>
      <c r="AU2449" s="36">
        <f>IF(OR(AE2286="",AE2286&gt;=6),"","F")</f>
        <v/>
      </c>
    </row>
    <row r="2450" hidden="1" outlineLevel="1" ht="15" customHeight="1" s="15">
      <c r="AT2450" s="36">
        <f>IF(OR(AE2286="",AE2286=7),"","C")</f>
        <v/>
      </c>
      <c r="AU2450" s="36">
        <f>IF(OR(AE2286="",AE2286&gt;=6),"","C")</f>
        <v/>
      </c>
    </row>
    <row r="2451" hidden="1" outlineLevel="1" ht="15" customHeight="1" s="15">
      <c r="AT2451" s="36">
        <f>IF(AND(AE2286&lt;&gt;"",AE2286=7),"R","")</f>
        <v/>
      </c>
      <c r="AU2451" s="36">
        <f>IF(AND(AE2286&lt;&gt;"",AE2286&gt;=6),"R","")</f>
        <v/>
      </c>
    </row>
    <row r="2452" hidden="1" outlineLevel="1" ht="15" customHeight="1" s="15">
      <c r="AT2452" s="36">
        <f>IF(OR(AF2286="",AF2286=7),"","P")</f>
        <v/>
      </c>
      <c r="AU2452" s="36">
        <f>IF(OR(AF2286="",AF2286&gt;=6),"","P")</f>
        <v/>
      </c>
    </row>
    <row r="2453" hidden="1" outlineLevel="1" ht="15" customHeight="1" s="15">
      <c r="AT2453" s="36">
        <f>IF(OR(AF2286="",AF2286=7),"","D")</f>
        <v/>
      </c>
      <c r="AU2453" s="36">
        <f>IF(OR(AF2286="",AF2286&gt;=6),"","D")</f>
        <v/>
      </c>
    </row>
    <row r="2454" hidden="1" outlineLevel="1" ht="15" customHeight="1" s="15">
      <c r="AT2454" s="36">
        <f>IF(OR(AF2286="",AF2286=7),"","A")</f>
        <v/>
      </c>
      <c r="AU2454" s="36">
        <f>IF(OR(AF2286="",AF2286&gt;=6),"","A")</f>
        <v/>
      </c>
    </row>
    <row r="2455" hidden="1" outlineLevel="1" ht="15" customHeight="1" s="15">
      <c r="AT2455" s="36">
        <f>IF(OR(AF2286="",AF2286=7),"","F")</f>
        <v/>
      </c>
      <c r="AU2455" s="36">
        <f>IF(OR(AF2286="",AF2286&gt;=6),"","F")</f>
        <v/>
      </c>
    </row>
    <row r="2456" hidden="1" outlineLevel="1" ht="15" customHeight="1" s="15">
      <c r="AT2456" s="36">
        <f>IF(OR(AF2286="",AF2286=7),"","C")</f>
        <v/>
      </c>
      <c r="AU2456" s="36">
        <f>IF(OR(AF2286="",AF2286&gt;=6),"","C")</f>
        <v/>
      </c>
    </row>
    <row r="2457" hidden="1" outlineLevel="1" ht="15" customHeight="1" s="15">
      <c r="AT2457" s="36">
        <f>IF(AND(AF2286&lt;&gt;"",AF2286=7),"R","")</f>
        <v/>
      </c>
      <c r="AU2457" s="36">
        <f>IF(AND(AF2286&lt;&gt;"",AF2286&gt;=6),"R","")</f>
        <v/>
      </c>
    </row>
    <row r="2458" hidden="1" outlineLevel="1" ht="15" customHeight="1" s="15">
      <c r="AT2458" s="36">
        <f>IF(OR(AG2286="",AG2286=7),"","P")</f>
        <v/>
      </c>
      <c r="AU2458" s="36">
        <f>IF(OR(AG2286="",AG2286&gt;=6),"","P")</f>
        <v/>
      </c>
    </row>
    <row r="2459" hidden="1" outlineLevel="1" ht="15" customHeight="1" s="15">
      <c r="AT2459" s="36">
        <f>IF(OR(AG2286="",AG2286=7),"","D")</f>
        <v/>
      </c>
      <c r="AU2459" s="36">
        <f>IF(OR(AG2286="",AG2286&gt;=6),"","D")</f>
        <v/>
      </c>
    </row>
    <row r="2460" hidden="1" outlineLevel="1" ht="15" customHeight="1" s="15">
      <c r="AT2460" s="36">
        <f>IF(OR(AG2286="",AG2286=7),"","A")</f>
        <v/>
      </c>
      <c r="AU2460" s="36">
        <f>IF(OR(AG2286="",AG2286&gt;=6),"","A")</f>
        <v/>
      </c>
    </row>
    <row r="2461" hidden="1" outlineLevel="1" ht="15" customHeight="1" s="15">
      <c r="AT2461" s="36">
        <f>IF(OR(AG2286="",AG2286=7),"","F")</f>
        <v/>
      </c>
      <c r="AU2461" s="36">
        <f>IF(OR(AG2286="",AG2286&gt;=6),"","F")</f>
        <v/>
      </c>
    </row>
    <row r="2462" hidden="1" outlineLevel="1" ht="15" customHeight="1" s="15">
      <c r="AT2462" s="36">
        <f>IF(OR(AG2286="",AG2286=7),"","C")</f>
        <v/>
      </c>
      <c r="AU2462" s="36">
        <f>IF(OR(AG2286="",AG2286&gt;=6),"","C")</f>
        <v/>
      </c>
    </row>
    <row r="2463" hidden="1" outlineLevel="1" ht="15" customHeight="1" s="15">
      <c r="AT2463" s="36">
        <f>IF(AND(AG2286&lt;&gt;"",AG2286=7),"R","")</f>
        <v/>
      </c>
      <c r="AU2463" s="36">
        <f>IF(AND(AG2286&lt;&gt;"",AG2286&gt;=6),"R","")</f>
        <v/>
      </c>
    </row>
    <row r="2464" hidden="1" outlineLevel="1" ht="15" customHeight="1" s="15">
      <c r="AT2464" s="36">
        <f>IF(OR(AH2286="",AH2286=7),"","P")</f>
        <v/>
      </c>
      <c r="AU2464" s="36">
        <f>IF(OR(AH2286="",AH2286&gt;=6),"","P")</f>
        <v/>
      </c>
    </row>
    <row r="2465" hidden="1" outlineLevel="1" ht="15" customHeight="1" s="15">
      <c r="AT2465" s="36">
        <f>IF(OR(AH2286="",AH2286=7),"","D")</f>
        <v/>
      </c>
      <c r="AU2465" s="36">
        <f>IF(OR(AH2286="",AH2286&gt;=6),"","D")</f>
        <v/>
      </c>
    </row>
    <row r="2466" hidden="1" outlineLevel="1" ht="15" customHeight="1" s="15">
      <c r="AT2466" s="36">
        <f>IF(OR(AH2286="",AH2286=7),"","A")</f>
        <v/>
      </c>
      <c r="AU2466" s="36">
        <f>IF(OR(AH2286="",AH2286&gt;=6),"","A")</f>
        <v/>
      </c>
    </row>
    <row r="2467" hidden="1" outlineLevel="1" ht="15" customHeight="1" s="15">
      <c r="AT2467" s="36">
        <f>IF(OR(AH2286="",AH2286=7),"","F")</f>
        <v/>
      </c>
      <c r="AU2467" s="36">
        <f>IF(OR(AH2286="",AH2286&gt;=6),"","F")</f>
        <v/>
      </c>
    </row>
    <row r="2468" hidden="1" outlineLevel="1" ht="15" customHeight="1" s="15">
      <c r="AT2468" s="36">
        <f>IF(OR(AH2286="",AH2286=7),"","C")</f>
        <v/>
      </c>
      <c r="AU2468" s="36">
        <f>IF(OR(AH2286="",AH2286&gt;=6),"","C")</f>
        <v/>
      </c>
    </row>
    <row r="2469" hidden="1" outlineLevel="1" ht="15" customHeight="1" s="15">
      <c r="AT2469" s="36">
        <f>IF(AND(AH2286&lt;&gt;"",AH2286=7),"R","")</f>
        <v/>
      </c>
      <c r="AU2469" s="36">
        <f>IF(AND(AH2286&lt;&gt;"",AH2286&gt;=6),"R","")</f>
        <v/>
      </c>
    </row>
    <row r="2470" hidden="1" outlineLevel="1" ht="15" customHeight="1" s="15">
      <c r="AT2470" s="36">
        <f>IF(OR(AI2286="",AI2286=7),"","P")</f>
        <v/>
      </c>
      <c r="AU2470" s="36">
        <f>IF(OR(AI2286="",AI2286&gt;=6),"","P")</f>
        <v/>
      </c>
    </row>
    <row r="2471" hidden="1" outlineLevel="1" ht="15" customHeight="1" s="15">
      <c r="AT2471" s="36">
        <f>IF(OR(AI2286="",AI2286=7),"","D")</f>
        <v/>
      </c>
      <c r="AU2471" s="36">
        <f>IF(OR(AI2286="",AI2286&gt;=6),"","D")</f>
        <v/>
      </c>
    </row>
    <row r="2472" hidden="1" outlineLevel="1" ht="15" customHeight="1" s="15">
      <c r="AT2472" s="36">
        <f>IF(OR(AI2286="",AI2286=7),"","A")</f>
        <v/>
      </c>
      <c r="AU2472" s="36">
        <f>IF(OR(AI2286="",AI2286&gt;=6),"","A")</f>
        <v/>
      </c>
    </row>
    <row r="2473" hidden="1" outlineLevel="1" ht="15" customHeight="1" s="15">
      <c r="AT2473" s="36">
        <f>IF(OR(AI2286="",AI2286=7),"","F")</f>
        <v/>
      </c>
      <c r="AU2473" s="36">
        <f>IF(OR(AI2286="",AI2286&gt;=6),"","F")</f>
        <v/>
      </c>
    </row>
    <row r="2474" hidden="1" outlineLevel="1" ht="15" customHeight="1" s="15">
      <c r="AT2474" s="36">
        <f>IF(OR(AI2286="",AI2286=7),"","C")</f>
        <v/>
      </c>
      <c r="AU2474" s="36">
        <f>IF(OR(AI2286="",AI2286&gt;=6),"","C")</f>
        <v/>
      </c>
    </row>
    <row r="2475" hidden="1" outlineLevel="1" ht="15" customHeight="1" s="15">
      <c r="AT2475" s="36">
        <f>IF(AND(AI2286&lt;&gt;"",AI2286=7),"R","")</f>
        <v/>
      </c>
      <c r="AU2475" s="36">
        <f>IF(AND(AI2286&lt;&gt;"",AI2286&gt;=6),"R","")</f>
        <v/>
      </c>
    </row>
    <row r="2476" hidden="1" outlineLevel="1" ht="15" customHeight="1" s="15">
      <c r="AT2476" s="36">
        <f>IF(OR(AJ2286="",AJ2286=7),"","P")</f>
        <v/>
      </c>
      <c r="AU2476" s="36">
        <f>IF(OR(AJ2286="",AJ2286&gt;=6),"","P")</f>
        <v/>
      </c>
    </row>
    <row r="2477" hidden="1" outlineLevel="1" ht="15" customHeight="1" s="15">
      <c r="AT2477" s="36">
        <f>IF(OR(AJ2286="",AJ2286=7),"","D")</f>
        <v/>
      </c>
      <c r="AU2477" s="36">
        <f>IF(OR(AJ2286="",AJ2286&gt;=6),"","D")</f>
        <v/>
      </c>
    </row>
    <row r="2478" hidden="1" outlineLevel="1" ht="15" customHeight="1" s="15">
      <c r="AT2478" s="36">
        <f>IF(OR(AJ2286="",AJ2286=7),"","A")</f>
        <v/>
      </c>
      <c r="AU2478" s="36">
        <f>IF(OR(AJ2286="",AJ2286&gt;=6),"","A")</f>
        <v/>
      </c>
    </row>
    <row r="2479" hidden="1" outlineLevel="1" ht="15" customHeight="1" s="15">
      <c r="AT2479" s="36">
        <f>IF(OR(AJ2286="",AJ2286=7),"","F")</f>
        <v/>
      </c>
      <c r="AU2479" s="36">
        <f>IF(OR(AJ2286="",AJ2286&gt;=6),"","F")</f>
        <v/>
      </c>
    </row>
    <row r="2480" hidden="1" outlineLevel="1" ht="15" customHeight="1" s="15">
      <c r="AT2480" s="36">
        <f>IF(OR(AJ2286="",AJ2286=7),"","C")</f>
        <v/>
      </c>
      <c r="AU2480" s="36">
        <f>IF(OR(AJ2286="",AJ2286&gt;=6),"","C")</f>
        <v/>
      </c>
    </row>
    <row r="2481" hidden="1" outlineLevel="1" ht="15" customHeight="1" s="15">
      <c r="AT2481" s="36">
        <f>IF(AND(AJ2286&lt;&gt;"",AJ2286=7),"R","")</f>
        <v/>
      </c>
      <c r="AU2481" s="36">
        <f>IF(AND(AJ2286&lt;&gt;"",AJ2286&gt;=6),"R","")</f>
        <v/>
      </c>
    </row>
    <row r="2482" hidden="1" outlineLevel="1" ht="15" customHeight="1" s="15">
      <c r="AT2482" s="36">
        <f>IF(OR(AK2286="",AK2286=7),"","P")</f>
        <v/>
      </c>
      <c r="AU2482" s="36">
        <f>IF(OR(AK2286="",AK2286&gt;=6),"","P")</f>
        <v/>
      </c>
    </row>
    <row r="2483" hidden="1" outlineLevel="1" ht="15" customHeight="1" s="15">
      <c r="AT2483" s="36">
        <f>IF(OR(AK2286="",AK2286=7),"","D")</f>
        <v/>
      </c>
      <c r="AU2483" s="36">
        <f>IF(OR(AK2286="",AK2286&gt;=6),"","D")</f>
        <v/>
      </c>
    </row>
    <row r="2484" hidden="1" outlineLevel="1" ht="15" customHeight="1" s="15">
      <c r="AT2484" s="36">
        <f>IF(OR(AK2286="",AK2286=7),"","A")</f>
        <v/>
      </c>
      <c r="AU2484" s="36">
        <f>IF(OR(AK2286="",AK2286&gt;=6),"","A")</f>
        <v/>
      </c>
    </row>
    <row r="2485" hidden="1" outlineLevel="1" ht="15" customHeight="1" s="15">
      <c r="AT2485" s="36">
        <f>IF(OR(AK2286="",AK2286=7),"","F")</f>
        <v/>
      </c>
      <c r="AU2485" s="36">
        <f>IF(OR(AK2286="",AK2286&gt;=6),"","F")</f>
        <v/>
      </c>
    </row>
    <row r="2486" hidden="1" outlineLevel="1" ht="15" customHeight="1" s="15">
      <c r="AT2486" s="36">
        <f>IF(OR(AK2286="",AK2286=7),"","C")</f>
        <v/>
      </c>
      <c r="AU2486" s="36">
        <f>IF(OR(AK2286="",AK2286&gt;=6),"","C")</f>
        <v/>
      </c>
    </row>
    <row r="2487" hidden="1" outlineLevel="1" ht="15" customHeight="1" s="15">
      <c r="AT2487" s="36">
        <f>IF(AND(AK2286&lt;&gt;"",AK2286=7),"R","")</f>
        <v/>
      </c>
      <c r="AU2487" s="36">
        <f>IF(AND(AK2286&lt;&gt;"",AK2286&gt;=6),"R","")</f>
        <v/>
      </c>
    </row>
    <row r="2488" hidden="1" outlineLevel="1" ht="15" customHeight="1" s="15">
      <c r="AT2488" s="36">
        <f>IF(OR(AL2286="",AL2286=7),"","P")</f>
        <v/>
      </c>
      <c r="AU2488" s="36">
        <f>IF(OR(AL2286="",AL2286&gt;=6),"","P")</f>
        <v/>
      </c>
    </row>
    <row r="2489" hidden="1" outlineLevel="1" ht="15" customHeight="1" s="15">
      <c r="AT2489" s="36">
        <f>IF(OR(AL2286="",AL2286=7),"","D")</f>
        <v/>
      </c>
      <c r="AU2489" s="36">
        <f>IF(OR(AL2286="",AL2286&gt;=6),"","D")</f>
        <v/>
      </c>
    </row>
    <row r="2490" hidden="1" outlineLevel="1" ht="15" customHeight="1" s="15">
      <c r="AT2490" s="36">
        <f>IF(OR(AL2286="",AL2286=7),"","A")</f>
        <v/>
      </c>
      <c r="AU2490" s="36">
        <f>IF(OR(AL2286="",AL2286&gt;=6),"","A")</f>
        <v/>
      </c>
    </row>
    <row r="2491" hidden="1" outlineLevel="1" ht="15" customHeight="1" s="15">
      <c r="AT2491" s="36">
        <f>IF(OR(AL2286="",AL2286=7),"","F")</f>
        <v/>
      </c>
      <c r="AU2491" s="36">
        <f>IF(OR(AL2286="",AL2286&gt;=6),"","F")</f>
        <v/>
      </c>
    </row>
    <row r="2492" hidden="1" outlineLevel="1" ht="15" customHeight="1" s="15">
      <c r="AT2492" s="36">
        <f>IF(OR(AL2286="",AL2286=7),"","C")</f>
        <v/>
      </c>
      <c r="AU2492" s="36">
        <f>IF(OR(AL2286="",AL2286&gt;=6),"","C")</f>
        <v/>
      </c>
    </row>
    <row r="2493" hidden="1" outlineLevel="1" ht="15" customHeight="1" s="15">
      <c r="AT2493" s="36">
        <f>IF(AND(AL2286&lt;&gt;"",AL2286=7),"R","")</f>
        <v/>
      </c>
      <c r="AU2493" s="36">
        <f>IF(AND(AL2286&lt;&gt;"",AL2286&gt;=6),"R","")</f>
        <v/>
      </c>
    </row>
    <row r="2494" hidden="1" outlineLevel="1" ht="15" customHeight="1" s="15">
      <c r="AT2494" s="36">
        <f>IF(OR(AM2286="",AM2286=7),"","P")</f>
        <v/>
      </c>
      <c r="AU2494" s="36">
        <f>IF(OR(AM2286="",AM2286&gt;=6),"","P")</f>
        <v/>
      </c>
    </row>
    <row r="2495" hidden="1" outlineLevel="1" ht="15" customHeight="1" s="15">
      <c r="AT2495" s="36">
        <f>IF(OR(AM2286="",AM2286=7),"","D")</f>
        <v/>
      </c>
      <c r="AU2495" s="36">
        <f>IF(OR(AM2286="",AM2286&gt;=6),"","D")</f>
        <v/>
      </c>
    </row>
    <row r="2496" hidden="1" outlineLevel="1" ht="15" customHeight="1" s="15">
      <c r="AT2496" s="36">
        <f>IF(OR(AM2286="",AM2286=7),"","A")</f>
        <v/>
      </c>
      <c r="AU2496" s="36">
        <f>IF(OR(AM2286="",AM2286&gt;=6),"","A")</f>
        <v/>
      </c>
    </row>
    <row r="2497" hidden="1" outlineLevel="1" ht="15" customHeight="1" s="15">
      <c r="AT2497" s="36">
        <f>IF(OR(AM2286="",AM2286=7),"","F")</f>
        <v/>
      </c>
      <c r="AU2497" s="36">
        <f>IF(OR(AM2286="",AM2286&gt;=6),"","F")</f>
        <v/>
      </c>
    </row>
    <row r="2498" hidden="1" outlineLevel="1" ht="15" customHeight="1" s="15">
      <c r="AT2498" s="36">
        <f>IF(OR(AM2286="",AM2286=7),"","C")</f>
        <v/>
      </c>
      <c r="AU2498" s="36">
        <f>IF(OR(AM2286="",AM2286&gt;=6),"","C")</f>
        <v/>
      </c>
    </row>
    <row r="2499" hidden="1" outlineLevel="1" ht="15" customHeight="1" s="15">
      <c r="AT2499" s="36">
        <f>IF(AND(AM2286&lt;&gt;"",AM2286=7),"R","")</f>
        <v/>
      </c>
      <c r="AU2499" s="36">
        <f>IF(AND(AM2286&lt;&gt;"",AM2286&gt;=6),"R","")</f>
        <v/>
      </c>
    </row>
    <row r="2500" hidden="1" outlineLevel="1" ht="15" customHeight="1" s="15">
      <c r="AT2500" s="36">
        <f>IF(OR(AN2286="",AN2286=7),"","P")</f>
        <v/>
      </c>
      <c r="AU2500" s="36">
        <f>IF(OR(AN2286="",AN2286&gt;=6),"","P")</f>
        <v/>
      </c>
    </row>
    <row r="2501" hidden="1" outlineLevel="1" ht="15" customHeight="1" s="15">
      <c r="AT2501" s="36">
        <f>IF(OR(AN2286="",AN2286=7),"","D")</f>
        <v/>
      </c>
      <c r="AU2501" s="36">
        <f>IF(OR(AN2286="",AN2286&gt;=6),"","D")</f>
        <v/>
      </c>
    </row>
    <row r="2502" hidden="1" outlineLevel="1" ht="15" customHeight="1" s="15">
      <c r="AT2502" s="36">
        <f>IF(OR(AN2286="",AN2286=7),"","A")</f>
        <v/>
      </c>
      <c r="AU2502" s="36">
        <f>IF(OR(AN2286="",AN2286&gt;=6),"","A")</f>
        <v/>
      </c>
    </row>
    <row r="2503" hidden="1" outlineLevel="1" ht="15" customHeight="1" s="15">
      <c r="AT2503" s="36">
        <f>IF(OR(AN2286="",AN2286=7),"","F")</f>
        <v/>
      </c>
      <c r="AU2503" s="36">
        <f>IF(OR(AN2286="",AN2286&gt;=6),"","F")</f>
        <v/>
      </c>
    </row>
    <row r="2504" hidden="1" outlineLevel="1" ht="15" customHeight="1" s="15">
      <c r="AT2504" s="36">
        <f>IF(OR(AN2286="",AN2286=7),"","C")</f>
        <v/>
      </c>
      <c r="AU2504" s="36">
        <f>IF(OR(AN2286="",AN2286&gt;=6),"","C")</f>
        <v/>
      </c>
    </row>
    <row r="2505" hidden="1" outlineLevel="1" ht="15" customHeight="1" s="15">
      <c r="AT2505" s="36">
        <f>IF(AND(AN2286&lt;&gt;"",AN2286=7),"R","")</f>
        <v/>
      </c>
      <c r="AU2505" s="36">
        <f>IF(AND(AN2286&lt;&gt;"",AN2286&gt;=6),"R","")</f>
        <v/>
      </c>
    </row>
    <row r="2506" hidden="1" outlineLevel="1" ht="15" customHeight="1" s="15">
      <c r="AT2506" s="36">
        <f>IF(OR(AO2286="",AO2286=7),"","P")</f>
        <v/>
      </c>
      <c r="AU2506" s="36">
        <f>IF(OR(AO2286="",AO2286&gt;=6),"","P")</f>
        <v/>
      </c>
    </row>
    <row r="2507" hidden="1" outlineLevel="1" ht="15" customHeight="1" s="15">
      <c r="AT2507" s="36">
        <f>IF(OR(AO2286="",AO2286=7),"","D")</f>
        <v/>
      </c>
      <c r="AU2507" s="36">
        <f>IF(OR(AO2286="",AO2286&gt;=6),"","D")</f>
        <v/>
      </c>
    </row>
    <row r="2508" hidden="1" outlineLevel="1" ht="15" customHeight="1" s="15">
      <c r="AT2508" s="36">
        <f>IF(OR(AO2286="",AO2286=7),"","A")</f>
        <v/>
      </c>
      <c r="AU2508" s="36">
        <f>IF(OR(AO2286="",AO2286&gt;=6),"","A")</f>
        <v/>
      </c>
    </row>
    <row r="2509" hidden="1" outlineLevel="1" ht="15" customHeight="1" s="15">
      <c r="AT2509" s="36">
        <f>IF(OR(AO2286="",AO2286=7),"","F")</f>
        <v/>
      </c>
      <c r="AU2509" s="36">
        <f>IF(OR(AO2286="",AO2286&gt;=6),"","F")</f>
        <v/>
      </c>
    </row>
    <row r="2510" hidden="1" outlineLevel="1" ht="15" customHeight="1" s="15">
      <c r="AT2510" s="36">
        <f>IF(OR(AO2286="",AO2286=7),"","C")</f>
        <v/>
      </c>
      <c r="AU2510" s="36">
        <f>IF(OR(AO2286="",AO2286&gt;=6),"","C")</f>
        <v/>
      </c>
    </row>
    <row r="2511" hidden="1" outlineLevel="1" ht="15" customHeight="1" s="15">
      <c r="AT2511" s="36">
        <f>IF(AND(AO2286&lt;&gt;"",AO2286=7),"R","")</f>
        <v/>
      </c>
      <c r="AU2511" s="36">
        <f>IF(AND(AO2286&lt;&gt;"",AO2286&gt;=6),"R","")</f>
        <v/>
      </c>
    </row>
    <row r="2512" hidden="1" outlineLevel="1" ht="15" customHeight="1" s="15">
      <c r="AT2512" s="36">
        <f>IF(OR(AP2286="",AP2286=7),"","P")</f>
        <v/>
      </c>
      <c r="AU2512" s="36">
        <f>IF(OR(AP2286="",AP2286&gt;=6),"","P")</f>
        <v/>
      </c>
    </row>
    <row r="2513" hidden="1" outlineLevel="1" ht="15" customHeight="1" s="15">
      <c r="AT2513" s="36">
        <f>IF(OR(AP2286="",AP2286=7),"","D")</f>
        <v/>
      </c>
      <c r="AU2513" s="36">
        <f>IF(OR(AP2286="",AP2286&gt;=6),"","D")</f>
        <v/>
      </c>
    </row>
    <row r="2514" hidden="1" outlineLevel="1" ht="15" customHeight="1" s="15">
      <c r="AT2514" s="36">
        <f>IF(OR(AP2286="",AP2286=7),"","A")</f>
        <v/>
      </c>
      <c r="AU2514" s="36">
        <f>IF(OR(AP2286="",AP2286&gt;=6),"","A")</f>
        <v/>
      </c>
    </row>
    <row r="2515" hidden="1" outlineLevel="1" ht="15" customHeight="1" s="15">
      <c r="AT2515" s="36">
        <f>IF(OR(AP2286="",AP2286=7),"","F")</f>
        <v/>
      </c>
      <c r="AU2515" s="36">
        <f>IF(OR(AP2286="",AP2286&gt;=6),"","F")</f>
        <v/>
      </c>
    </row>
    <row r="2516" hidden="1" outlineLevel="1" ht="15" customHeight="1" s="15">
      <c r="AT2516" s="36">
        <f>IF(OR(AP2286="",AP2286=7),"","C")</f>
        <v/>
      </c>
      <c r="AU2516" s="36">
        <f>IF(OR(AP2286="",AP2286&gt;=6),"","C")</f>
        <v/>
      </c>
    </row>
    <row r="2517" hidden="1" outlineLevel="1" ht="15" customHeight="1" s="15">
      <c r="AT2517" s="36">
        <f>IF(AND(AP2286&lt;&gt;"",AP2286=7),"R","")</f>
        <v/>
      </c>
      <c r="AU2517" s="36">
        <f>IF(AND(AP2286&lt;&gt;"",AP2286&gt;=6),"R","")</f>
        <v/>
      </c>
    </row>
    <row r="2518" hidden="1" outlineLevel="1" ht="15" customHeight="1" s="15">
      <c r="AT2518" s="36">
        <f>IF(OR(AQ2286="",AQ2286=7),"","P")</f>
        <v/>
      </c>
      <c r="AU2518" s="36">
        <f>IF(OR(AQ2286="",AQ2286&gt;=6),"","P")</f>
        <v/>
      </c>
    </row>
    <row r="2519" hidden="1" outlineLevel="1" ht="15" customHeight="1" s="15">
      <c r="AT2519" s="36">
        <f>IF(OR(AQ2286="",AQ2286=7),"","D")</f>
        <v/>
      </c>
      <c r="AU2519" s="36">
        <f>IF(OR(AQ2286="",AQ2286&gt;=6),"","D")</f>
        <v/>
      </c>
    </row>
    <row r="2520" hidden="1" outlineLevel="1" ht="15" customHeight="1" s="15">
      <c r="AT2520" s="36">
        <f>IF(OR(AQ2286="",AQ2286=7),"","A")</f>
        <v/>
      </c>
      <c r="AU2520" s="36">
        <f>IF(OR(AQ2286="",AQ2286&gt;=6),"","A")</f>
        <v/>
      </c>
    </row>
    <row r="2521" hidden="1" outlineLevel="1" ht="15" customHeight="1" s="15">
      <c r="AT2521" s="36">
        <f>IF(OR(AQ2286="",AQ2286=7),"","F")</f>
        <v/>
      </c>
      <c r="AU2521" s="36">
        <f>IF(OR(AQ2286="",AQ2286&gt;=6),"","F")</f>
        <v/>
      </c>
    </row>
    <row r="2522" hidden="1" outlineLevel="1" ht="15" customHeight="1" s="15">
      <c r="AT2522" s="36">
        <f>IF(OR(AQ2286="",AQ2286=7),"","C")</f>
        <v/>
      </c>
      <c r="AU2522" s="36">
        <f>IF(OR(AQ2286="",AQ2286&gt;=6),"","C")</f>
        <v/>
      </c>
    </row>
    <row r="2523" hidden="1" outlineLevel="1" ht="15" customHeight="1" s="15">
      <c r="AT2523" s="36">
        <f>IF(AND(AQ2286&lt;&gt;"",AQ2286=7),"R","")</f>
        <v/>
      </c>
      <c r="AU2523" s="36">
        <f>IF(AND(AQ2286&lt;&gt;"",AQ2286&gt;=6),"R","")</f>
        <v/>
      </c>
    </row>
    <row r="2524" hidden="1" outlineLevel="1" ht="15" customHeight="1" s="15">
      <c r="AT2524" s="36">
        <f>IF(OR(AR2286="",AR2286=7),"","P")</f>
        <v/>
      </c>
      <c r="AU2524" s="36">
        <f>IF(OR(AR2286="",AR2286&gt;=6),"","P")</f>
        <v/>
      </c>
    </row>
    <row r="2525" hidden="1" outlineLevel="1" ht="15" customHeight="1" s="15">
      <c r="AT2525" s="36">
        <f>IF(OR(AR2286="",AR2286=7),"","D")</f>
        <v/>
      </c>
      <c r="AU2525" s="36">
        <f>IF(OR(AR2286="",AR2286&gt;=6),"","D")</f>
        <v/>
      </c>
    </row>
    <row r="2526" hidden="1" outlineLevel="1" ht="15" customHeight="1" s="15">
      <c r="AT2526" s="36">
        <f>IF(OR(AR2286="",AR2286=7),"","A")</f>
        <v/>
      </c>
      <c r="AU2526" s="36">
        <f>IF(OR(AR2286="",AR2286&gt;=6),"","A")</f>
        <v/>
      </c>
    </row>
    <row r="2527" hidden="1" outlineLevel="1" ht="15" customHeight="1" s="15">
      <c r="AT2527" s="36">
        <f>IF(OR(AR2286="",AR2286=7),"","F")</f>
        <v/>
      </c>
      <c r="AU2527" s="36">
        <f>IF(OR(AR2286="",AR2286&gt;=6),"","F")</f>
        <v/>
      </c>
    </row>
    <row r="2528" hidden="1" outlineLevel="1" ht="15" customHeight="1" s="15">
      <c r="AT2528" s="36">
        <f>IF(OR(AR2286="",AR2286=7),"","C")</f>
        <v/>
      </c>
      <c r="AU2528" s="36">
        <f>IF(OR(AR2286="",AR2286&gt;=6),"","C")</f>
        <v/>
      </c>
    </row>
    <row r="2529" hidden="1" outlineLevel="1" ht="15" customHeight="1" s="15">
      <c r="AT2529" s="36">
        <f>IF(AND(AR2286&lt;&gt;"",AR2286=7),"R","")</f>
        <v/>
      </c>
      <c r="AU2529" s="36">
        <f>IF(AND(AR2286&lt;&gt;"",AR2286&gt;=6),"R","")</f>
        <v/>
      </c>
    </row>
    <row r="2530" hidden="1" outlineLevel="1" ht="15" customHeight="1" s="15">
      <c r="AT2530" s="36">
        <f>IF(OR(AS2286="",AS2286=7),"","P")</f>
        <v/>
      </c>
      <c r="AU2530" s="36">
        <f>IF(OR(AS2286="",AS2286&gt;=6),"","P")</f>
        <v/>
      </c>
    </row>
    <row r="2531" hidden="1" outlineLevel="1" ht="15" customHeight="1" s="15">
      <c r="AT2531" s="36">
        <f>IF(OR(AS2286="",AS2286=7),"","D")</f>
        <v/>
      </c>
      <c r="AU2531" s="36">
        <f>IF(OR(AS2286="",AS2286&gt;=6),"","D")</f>
        <v/>
      </c>
    </row>
    <row r="2532" hidden="1" outlineLevel="1" ht="15" customHeight="1" s="15">
      <c r="AT2532" s="36">
        <f>IF(OR(AS2286="",AS2286=7),"","A")</f>
        <v/>
      </c>
      <c r="AU2532" s="36">
        <f>IF(OR(AS2286="",AS2286&gt;=6),"","A")</f>
        <v/>
      </c>
    </row>
    <row r="2533" hidden="1" outlineLevel="1" ht="15" customHeight="1" s="15">
      <c r="AT2533" s="36">
        <f>IF(OR(AS2286="",AS2286=7),"","F")</f>
        <v/>
      </c>
      <c r="AU2533" s="36">
        <f>IF(OR(AS2286="",AS2286&gt;=6),"","F")</f>
        <v/>
      </c>
    </row>
    <row r="2534" hidden="1" outlineLevel="1" ht="15" customHeight="1" s="15">
      <c r="AT2534" s="36">
        <f>IF(OR(AS2286="",AS2286=7),"","C")</f>
        <v/>
      </c>
      <c r="AU2534" s="36">
        <f>IF(OR(AS2286="",AS2286&gt;=6),"","C")</f>
        <v/>
      </c>
    </row>
    <row r="2535" hidden="1" outlineLevel="1" ht="15" customHeight="1" s="15">
      <c r="AT2535" s="36">
        <f>IF(AND(AS2286&lt;&gt;"",AS2286=7),"R","")</f>
        <v/>
      </c>
      <c r="AU2535" s="36">
        <f>IF(AND(AS2286&lt;&gt;"",AS2286&gt;=6),"R","")</f>
        <v/>
      </c>
    </row>
    <row r="2536" ht="21.75" customHeight="1" s="15">
      <c r="B2536" s="6" t="inlineStr">
        <is>
          <t>ℹ  Grille de pointage Octobre — P/D/A/F/C/R, jours prévus/réels/absence calculés (jours ouvrables réels, WEEKDAY). R ne se propose que le jour de repos (repos exceptionnellement travaillé, +majoration). Listes techniques et ligne de calendrier repliées par défaut.</t>
        </is>
      </c>
    </row>
    <row r="2538" ht="19.5" customHeight="1" s="15">
      <c r="B2538" s="71">
        <f>"  NOVEMBRE " &amp; PARAMETRES!$C$29</f>
        <v/>
      </c>
    </row>
    <row r="2539" hidden="1" ht="15" customHeight="1" s="15">
      <c r="B2539" s="36" t="inlineStr">
        <is>
          <t>Jour sem. (technique)</t>
        </is>
      </c>
      <c r="O2539" s="37">
        <f>IF(1&gt;DAY(EOMONTH(DATE(PARAMETRES!$C$29,11,1),0)),"",WEEKDAY(DATE(PARAMETRES!$C$29,11,1),2))</f>
        <v/>
      </c>
      <c r="P2539" s="37">
        <f>IF(2&gt;DAY(EOMONTH(DATE(PARAMETRES!$C$29,11,1),0)),"",WEEKDAY(DATE(PARAMETRES!$C$29,11,2),2))</f>
        <v/>
      </c>
      <c r="Q2539" s="37">
        <f>IF(3&gt;DAY(EOMONTH(DATE(PARAMETRES!$C$29,11,1),0)),"",WEEKDAY(DATE(PARAMETRES!$C$29,11,3),2))</f>
        <v/>
      </c>
      <c r="R2539" s="37">
        <f>IF(4&gt;DAY(EOMONTH(DATE(PARAMETRES!$C$29,11,1),0)),"",WEEKDAY(DATE(PARAMETRES!$C$29,11,4),2))</f>
        <v/>
      </c>
      <c r="S2539" s="37">
        <f>IF(5&gt;DAY(EOMONTH(DATE(PARAMETRES!$C$29,11,1),0)),"",WEEKDAY(DATE(PARAMETRES!$C$29,11,5),2))</f>
        <v/>
      </c>
      <c r="T2539" s="37">
        <f>IF(6&gt;DAY(EOMONTH(DATE(PARAMETRES!$C$29,11,1),0)),"",WEEKDAY(DATE(PARAMETRES!$C$29,11,6),2))</f>
        <v/>
      </c>
      <c r="U2539" s="37">
        <f>IF(7&gt;DAY(EOMONTH(DATE(PARAMETRES!$C$29,11,1),0)),"",WEEKDAY(DATE(PARAMETRES!$C$29,11,7),2))</f>
        <v/>
      </c>
      <c r="V2539" s="37">
        <f>IF(8&gt;DAY(EOMONTH(DATE(PARAMETRES!$C$29,11,1),0)),"",WEEKDAY(DATE(PARAMETRES!$C$29,11,8),2))</f>
        <v/>
      </c>
      <c r="W2539" s="37">
        <f>IF(9&gt;DAY(EOMONTH(DATE(PARAMETRES!$C$29,11,1),0)),"",WEEKDAY(DATE(PARAMETRES!$C$29,11,9),2))</f>
        <v/>
      </c>
      <c r="X2539" s="37">
        <f>IF(10&gt;DAY(EOMONTH(DATE(PARAMETRES!$C$29,11,1),0)),"",WEEKDAY(DATE(PARAMETRES!$C$29,11,10),2))</f>
        <v/>
      </c>
      <c r="Y2539" s="37">
        <f>IF(11&gt;DAY(EOMONTH(DATE(PARAMETRES!$C$29,11,1),0)),"",WEEKDAY(DATE(PARAMETRES!$C$29,11,11),2))</f>
        <v/>
      </c>
      <c r="Z2539" s="37">
        <f>IF(12&gt;DAY(EOMONTH(DATE(PARAMETRES!$C$29,11,1),0)),"",WEEKDAY(DATE(PARAMETRES!$C$29,11,12),2))</f>
        <v/>
      </c>
      <c r="AA2539" s="37">
        <f>IF(13&gt;DAY(EOMONTH(DATE(PARAMETRES!$C$29,11,1),0)),"",WEEKDAY(DATE(PARAMETRES!$C$29,11,13),2))</f>
        <v/>
      </c>
      <c r="AB2539" s="37">
        <f>IF(14&gt;DAY(EOMONTH(DATE(PARAMETRES!$C$29,11,1),0)),"",WEEKDAY(DATE(PARAMETRES!$C$29,11,14),2))</f>
        <v/>
      </c>
      <c r="AC2539" s="37">
        <f>IF(15&gt;DAY(EOMONTH(DATE(PARAMETRES!$C$29,11,1),0)),"",WEEKDAY(DATE(PARAMETRES!$C$29,11,15),2))</f>
        <v/>
      </c>
      <c r="AD2539" s="37">
        <f>IF(16&gt;DAY(EOMONTH(DATE(PARAMETRES!$C$29,11,1),0)),"",WEEKDAY(DATE(PARAMETRES!$C$29,11,16),2))</f>
        <v/>
      </c>
      <c r="AE2539" s="37">
        <f>IF(17&gt;DAY(EOMONTH(DATE(PARAMETRES!$C$29,11,1),0)),"",WEEKDAY(DATE(PARAMETRES!$C$29,11,17),2))</f>
        <v/>
      </c>
      <c r="AF2539" s="37">
        <f>IF(18&gt;DAY(EOMONTH(DATE(PARAMETRES!$C$29,11,1),0)),"",WEEKDAY(DATE(PARAMETRES!$C$29,11,18),2))</f>
        <v/>
      </c>
      <c r="AG2539" s="37">
        <f>IF(19&gt;DAY(EOMONTH(DATE(PARAMETRES!$C$29,11,1),0)),"",WEEKDAY(DATE(PARAMETRES!$C$29,11,19),2))</f>
        <v/>
      </c>
      <c r="AH2539" s="37">
        <f>IF(20&gt;DAY(EOMONTH(DATE(PARAMETRES!$C$29,11,1),0)),"",WEEKDAY(DATE(PARAMETRES!$C$29,11,20),2))</f>
        <v/>
      </c>
      <c r="AI2539" s="37">
        <f>IF(21&gt;DAY(EOMONTH(DATE(PARAMETRES!$C$29,11,1),0)),"",WEEKDAY(DATE(PARAMETRES!$C$29,11,21),2))</f>
        <v/>
      </c>
      <c r="AJ2539" s="37">
        <f>IF(22&gt;DAY(EOMONTH(DATE(PARAMETRES!$C$29,11,1),0)),"",WEEKDAY(DATE(PARAMETRES!$C$29,11,22),2))</f>
        <v/>
      </c>
      <c r="AK2539" s="37">
        <f>IF(23&gt;DAY(EOMONTH(DATE(PARAMETRES!$C$29,11,1),0)),"",WEEKDAY(DATE(PARAMETRES!$C$29,11,23),2))</f>
        <v/>
      </c>
      <c r="AL2539" s="37">
        <f>IF(24&gt;DAY(EOMONTH(DATE(PARAMETRES!$C$29,11,1),0)),"",WEEKDAY(DATE(PARAMETRES!$C$29,11,24),2))</f>
        <v/>
      </c>
      <c r="AM2539" s="37">
        <f>IF(25&gt;DAY(EOMONTH(DATE(PARAMETRES!$C$29,11,1),0)),"",WEEKDAY(DATE(PARAMETRES!$C$29,11,25),2))</f>
        <v/>
      </c>
      <c r="AN2539" s="37">
        <f>IF(26&gt;DAY(EOMONTH(DATE(PARAMETRES!$C$29,11,1),0)),"",WEEKDAY(DATE(PARAMETRES!$C$29,11,26),2))</f>
        <v/>
      </c>
      <c r="AO2539" s="37">
        <f>IF(27&gt;DAY(EOMONTH(DATE(PARAMETRES!$C$29,11,1),0)),"",WEEKDAY(DATE(PARAMETRES!$C$29,11,27),2))</f>
        <v/>
      </c>
      <c r="AP2539" s="37">
        <f>IF(28&gt;DAY(EOMONTH(DATE(PARAMETRES!$C$29,11,1),0)),"",WEEKDAY(DATE(PARAMETRES!$C$29,11,28),2))</f>
        <v/>
      </c>
      <c r="AQ2539" s="37">
        <f>IF(29&gt;DAY(EOMONTH(DATE(PARAMETRES!$C$29,11,1),0)),"",WEEKDAY(DATE(PARAMETRES!$C$29,11,29),2))</f>
        <v/>
      </c>
      <c r="AR2539" s="37">
        <f>IF(30&gt;DAY(EOMONTH(DATE(PARAMETRES!$C$29,11,1),0)),"",WEEKDAY(DATE(PARAMETRES!$C$29,11,30),2))</f>
        <v/>
      </c>
      <c r="AS2539" s="37">
        <f>IF(31&gt;DAY(EOMONTH(DATE(PARAMETRES!$C$29,11,1),0)),"",WEEKDAY(DATE(PARAMETRES!$C$29,11,31),2))</f>
        <v/>
      </c>
    </row>
    <row r="2540" ht="15" customHeight="1" s="15">
      <c r="B2540" s="38" t="inlineStr">
        <is>
          <t>Jour</t>
        </is>
      </c>
      <c r="O2540" s="39">
        <f>IF(O2539="","",CHOOSE(O2539,"L","M","M","J","V","S","D"))</f>
        <v/>
      </c>
      <c r="P2540" s="39">
        <f>IF(P2539="","",CHOOSE(P2539,"L","M","M","J","V","S","D"))</f>
        <v/>
      </c>
      <c r="Q2540" s="39">
        <f>IF(Q2539="","",CHOOSE(Q2539,"L","M","M","J","V","S","D"))</f>
        <v/>
      </c>
      <c r="R2540" s="39">
        <f>IF(R2539="","",CHOOSE(R2539,"L","M","M","J","V","S","D"))</f>
        <v/>
      </c>
      <c r="S2540" s="39">
        <f>IF(S2539="","",CHOOSE(S2539,"L","M","M","J","V","S","D"))</f>
        <v/>
      </c>
      <c r="T2540" s="39">
        <f>IF(T2539="","",CHOOSE(T2539,"L","M","M","J","V","S","D"))</f>
        <v/>
      </c>
      <c r="U2540" s="39">
        <f>IF(U2539="","",CHOOSE(U2539,"L","M","M","J","V","S","D"))</f>
        <v/>
      </c>
      <c r="V2540" s="39">
        <f>IF(V2539="","",CHOOSE(V2539,"L","M","M","J","V","S","D"))</f>
        <v/>
      </c>
      <c r="W2540" s="39">
        <f>IF(W2539="","",CHOOSE(W2539,"L","M","M","J","V","S","D"))</f>
        <v/>
      </c>
      <c r="X2540" s="39">
        <f>IF(X2539="","",CHOOSE(X2539,"L","M","M","J","V","S","D"))</f>
        <v/>
      </c>
      <c r="Y2540" s="39">
        <f>IF(Y2539="","",CHOOSE(Y2539,"L","M","M","J","V","S","D"))</f>
        <v/>
      </c>
      <c r="Z2540" s="39">
        <f>IF(Z2539="","",CHOOSE(Z2539,"L","M","M","J","V","S","D"))</f>
        <v/>
      </c>
      <c r="AA2540" s="39">
        <f>IF(AA2539="","",CHOOSE(AA2539,"L","M","M","J","V","S","D"))</f>
        <v/>
      </c>
      <c r="AB2540" s="39">
        <f>IF(AB2539="","",CHOOSE(AB2539,"L","M","M","J","V","S","D"))</f>
        <v/>
      </c>
      <c r="AC2540" s="39">
        <f>IF(AC2539="","",CHOOSE(AC2539,"L","M","M","J","V","S","D"))</f>
        <v/>
      </c>
      <c r="AD2540" s="39">
        <f>IF(AD2539="","",CHOOSE(AD2539,"L","M","M","J","V","S","D"))</f>
        <v/>
      </c>
      <c r="AE2540" s="39">
        <f>IF(AE2539="","",CHOOSE(AE2539,"L","M","M","J","V","S","D"))</f>
        <v/>
      </c>
      <c r="AF2540" s="39">
        <f>IF(AF2539="","",CHOOSE(AF2539,"L","M","M","J","V","S","D"))</f>
        <v/>
      </c>
      <c r="AG2540" s="39">
        <f>IF(AG2539="","",CHOOSE(AG2539,"L","M","M","J","V","S","D"))</f>
        <v/>
      </c>
      <c r="AH2540" s="39">
        <f>IF(AH2539="","",CHOOSE(AH2539,"L","M","M","J","V","S","D"))</f>
        <v/>
      </c>
      <c r="AI2540" s="39">
        <f>IF(AI2539="","",CHOOSE(AI2539,"L","M","M","J","V","S","D"))</f>
        <v/>
      </c>
      <c r="AJ2540" s="39">
        <f>IF(AJ2539="","",CHOOSE(AJ2539,"L","M","M","J","V","S","D"))</f>
        <v/>
      </c>
      <c r="AK2540" s="39">
        <f>IF(AK2539="","",CHOOSE(AK2539,"L","M","M","J","V","S","D"))</f>
        <v/>
      </c>
      <c r="AL2540" s="39">
        <f>IF(AL2539="","",CHOOSE(AL2539,"L","M","M","J","V","S","D"))</f>
        <v/>
      </c>
      <c r="AM2540" s="39">
        <f>IF(AM2539="","",CHOOSE(AM2539,"L","M","M","J","V","S","D"))</f>
        <v/>
      </c>
      <c r="AN2540" s="39">
        <f>IF(AN2539="","",CHOOSE(AN2539,"L","M","M","J","V","S","D"))</f>
        <v/>
      </c>
      <c r="AO2540" s="39">
        <f>IF(AO2539="","",CHOOSE(AO2539,"L","M","M","J","V","S","D"))</f>
        <v/>
      </c>
      <c r="AP2540" s="39">
        <f>IF(AP2539="","",CHOOSE(AP2539,"L","M","M","J","V","S","D"))</f>
        <v/>
      </c>
      <c r="AQ2540" s="39">
        <f>IF(AQ2539="","",CHOOSE(AQ2539,"L","M","M","J","V","S","D"))</f>
        <v/>
      </c>
      <c r="AR2540" s="39">
        <f>IF(AR2539="","",CHOOSE(AR2539,"L","M","M","J","V","S","D"))</f>
        <v/>
      </c>
      <c r="AS2540" s="39">
        <f>IF(AS2539="","",CHOOSE(AS2539,"L","M","M","J","V","S","D"))</f>
        <v/>
      </c>
    </row>
    <row r="2541" ht="24" customHeight="1" s="15">
      <c r="B2541" s="40" t="inlineStr">
        <is>
          <t>Mois</t>
        </is>
      </c>
      <c r="C2541" s="40" t="inlineStr">
        <is>
          <t>Matricule</t>
        </is>
      </c>
      <c r="D2541" s="40" t="inlineStr">
        <is>
          <t>Nom complet</t>
        </is>
      </c>
      <c r="E2541" s="40" t="inlineStr">
        <is>
          <t>Heures
sup.</t>
        </is>
      </c>
      <c r="F2541" s="40" t="inlineStr">
        <is>
          <t>Primes
(CDF)</t>
        </is>
      </c>
      <c r="G2541" s="40" t="inlineStr">
        <is>
          <t>Jours
abs.</t>
        </is>
      </c>
      <c r="H2541" s="40" t="inlineStr">
        <is>
          <t>Avance
(CDF)</t>
        </is>
      </c>
      <c r="I2541" s="40" t="inlineStr">
        <is>
          <t>Contrôle
auto.</t>
        </is>
      </c>
      <c r="J2541" s="40" t="inlineStr">
        <is>
          <t>Retenues
(CDF)</t>
        </is>
      </c>
      <c r="K2541" s="40" t="inlineStr">
        <is>
          <t>Motif</t>
        </is>
      </c>
      <c r="L2541" s="40" t="inlineStr">
        <is>
          <t>Observ.</t>
        </is>
      </c>
      <c r="M2541" s="40" t="inlineStr">
        <is>
          <t>Jours
prévus</t>
        </is>
      </c>
      <c r="N2541" s="40" t="inlineStr">
        <is>
          <t>Jours
réels</t>
        </is>
      </c>
      <c r="O2541" s="40" t="n">
        <v>1</v>
      </c>
      <c r="P2541" s="40" t="n">
        <v>2</v>
      </c>
      <c r="Q2541" s="40" t="n">
        <v>3</v>
      </c>
      <c r="R2541" s="40" t="n">
        <v>4</v>
      </c>
      <c r="S2541" s="40" t="n">
        <v>5</v>
      </c>
      <c r="T2541" s="40" t="n">
        <v>6</v>
      </c>
      <c r="U2541" s="40" t="n">
        <v>7</v>
      </c>
      <c r="V2541" s="40" t="n">
        <v>8</v>
      </c>
      <c r="W2541" s="40" t="n">
        <v>9</v>
      </c>
      <c r="X2541" s="40" t="n">
        <v>10</v>
      </c>
      <c r="Y2541" s="40" t="n">
        <v>11</v>
      </c>
      <c r="Z2541" s="40" t="n">
        <v>12</v>
      </c>
      <c r="AA2541" s="40" t="n">
        <v>13</v>
      </c>
      <c r="AB2541" s="40" t="n">
        <v>14</v>
      </c>
      <c r="AC2541" s="40" t="n">
        <v>15</v>
      </c>
      <c r="AD2541" s="40" t="n">
        <v>16</v>
      </c>
      <c r="AE2541" s="40" t="n">
        <v>17</v>
      </c>
      <c r="AF2541" s="40" t="n">
        <v>18</v>
      </c>
      <c r="AG2541" s="40" t="n">
        <v>19</v>
      </c>
      <c r="AH2541" s="40" t="n">
        <v>20</v>
      </c>
      <c r="AI2541" s="40" t="n">
        <v>21</v>
      </c>
      <c r="AJ2541" s="40" t="n">
        <v>22</v>
      </c>
      <c r="AK2541" s="40" t="n">
        <v>23</v>
      </c>
      <c r="AL2541" s="40" t="n">
        <v>24</v>
      </c>
      <c r="AM2541" s="40" t="n">
        <v>25</v>
      </c>
      <c r="AN2541" s="40" t="n">
        <v>26</v>
      </c>
      <c r="AO2541" s="40" t="n">
        <v>27</v>
      </c>
      <c r="AP2541" s="40" t="n">
        <v>28</v>
      </c>
      <c r="AQ2541" s="40" t="n">
        <v>29</v>
      </c>
      <c r="AR2541" s="40" t="n">
        <v>30</v>
      </c>
      <c r="AS2541" s="40" t="n">
        <v>31</v>
      </c>
      <c r="AY2541" s="40" t="inlineStr">
        <is>
          <t>Heures
nuit</t>
        </is>
      </c>
    </row>
    <row r="2542" hidden="1" outlineLevel="1" ht="15" customHeight="1" s="15">
      <c r="B2542" s="41" t="n">
        <v>11</v>
      </c>
      <c r="C2542" s="42">
        <f>IF(EMPLOYES!C15="","",EMPLOYES!C15)</f>
        <v/>
      </c>
      <c r="D2542" s="43">
        <f>IF(EMPLOYES!C15="","",EMPLOYES!D15)</f>
        <v/>
      </c>
      <c r="E2542" s="44" t="n"/>
      <c r="F2542" s="42" t="n"/>
      <c r="G2542" s="41">
        <f>IF($C2542="",0,MAX(0,$M2542-$N2542))</f>
        <v/>
      </c>
      <c r="H2542" s="45" t="n"/>
      <c r="I2542" s="41">
        <f>IF($C2542="","",IF(H2542="","OK",IF(H2542&gt;EMPLOYES!P15,"⚠ Avance &gt; salaire",IF(H2542&gt;EMPLOYES!P15*PARAMETRES!$C$218,"⚠ Avance élevée","OK"))))</f>
        <v/>
      </c>
      <c r="J2542" s="45" t="n"/>
      <c r="K2542" s="46" t="n"/>
      <c r="L2542" s="46" t="n"/>
      <c r="M2542" s="41">
        <f>IF($C2542="","",SUMPRODUCT((PARAMETRES!$B$38:$B$157=PARAMETRES!$C$29)*(PARAMETRES!$C$38:$C$157=11)*(IF(EMPLOYES!M15="5j",PARAMETRES!$I$38:$I$157,PARAMETRES!$H$38:$H$157))))</f>
        <v/>
      </c>
      <c r="N2542" s="41">
        <f>IF($C2542="","",SUMPRODUCT((O2542:AS2542="P")+(O2542:AS2542="F")+(O2542:AS2542="C")+0.5*(O2542:AS2542="D"),(1-((O2539:AS2539=6)*(EMPLOYES!M15="5j")))))</f>
        <v/>
      </c>
      <c r="O2542" s="46" t="n"/>
      <c r="P2542" s="46" t="n"/>
      <c r="Q2542" s="46" t="n"/>
      <c r="R2542" s="46" t="n"/>
      <c r="S2542" s="46" t="n"/>
      <c r="T2542" s="46" t="n"/>
      <c r="U2542" s="46" t="n"/>
      <c r="V2542" s="46" t="n"/>
      <c r="W2542" s="46" t="n"/>
      <c r="X2542" s="46" t="n"/>
      <c r="Y2542" s="46" t="n"/>
      <c r="Z2542" s="46" t="n"/>
      <c r="AA2542" s="46" t="n"/>
      <c r="AB2542" s="46" t="n"/>
      <c r="AC2542" s="46" t="n"/>
      <c r="AD2542" s="46" t="n"/>
      <c r="AE2542" s="46" t="n"/>
      <c r="AF2542" s="46" t="n"/>
      <c r="AG2542" s="46" t="n"/>
      <c r="AH2542" s="46" t="n"/>
      <c r="AI2542" s="46" t="n"/>
      <c r="AJ2542" s="46" t="n"/>
      <c r="AK2542" s="46" t="n"/>
      <c r="AL2542" s="46" t="n"/>
      <c r="AM2542" s="46" t="n"/>
      <c r="AN2542" s="46" t="n"/>
      <c r="AO2542" s="46" t="n"/>
      <c r="AP2542" s="46" t="n"/>
      <c r="AQ2542" s="46" t="n"/>
      <c r="AR2542" s="46" t="n"/>
      <c r="AS2542" s="46" t="n"/>
      <c r="AV2542" s="36">
        <f>IF($C2542="","",EMPLOYES!M15)</f>
        <v/>
      </c>
      <c r="AW2542" s="36">
        <f>IF($C2542="",0,SUMPRODUCT(--(O2542:AS2542="C")))</f>
        <v/>
      </c>
      <c r="AX2542" s="36">
        <f>IF($C2542="",0,SUMPRODUCT(--(O2542:AS2542="R")))</f>
        <v/>
      </c>
      <c r="AY2542" s="44" t="n"/>
    </row>
    <row r="2543" hidden="1" outlineLevel="1" ht="15" customHeight="1" s="15">
      <c r="B2543" s="41" t="n">
        <v>11</v>
      </c>
      <c r="C2543" s="42">
        <f>IF(EMPLOYES!C16="","",EMPLOYES!C16)</f>
        <v/>
      </c>
      <c r="D2543" s="43">
        <f>IF(EMPLOYES!C16="","",EMPLOYES!D16)</f>
        <v/>
      </c>
      <c r="E2543" s="44" t="n"/>
      <c r="F2543" s="42" t="n"/>
      <c r="G2543" s="41">
        <f>IF($C2543="",0,MAX(0,$M2543-$N2543))</f>
        <v/>
      </c>
      <c r="H2543" s="45" t="n"/>
      <c r="I2543" s="41">
        <f>IF($C2543="","",IF(H2543="","OK",IF(H2543&gt;EMPLOYES!P16,"⚠ Avance &gt; salaire",IF(H2543&gt;EMPLOYES!P16*PARAMETRES!$C$218,"⚠ Avance élevée","OK"))))</f>
        <v/>
      </c>
      <c r="J2543" s="45" t="n"/>
      <c r="K2543" s="46" t="n"/>
      <c r="L2543" s="46" t="n"/>
      <c r="M2543" s="41">
        <f>IF($C2543="","",SUMPRODUCT((PARAMETRES!$B$38:$B$157=PARAMETRES!$C$29)*(PARAMETRES!$C$38:$C$157=11)*(IF(EMPLOYES!M16="5j",PARAMETRES!$I$38:$I$157,PARAMETRES!$H$38:$H$157))))</f>
        <v/>
      </c>
      <c r="N2543" s="41">
        <f>IF($C2543="","",SUMPRODUCT((O2543:AS2543="P")+(O2543:AS2543="F")+(O2543:AS2543="C")+0.5*(O2543:AS2543="D"),(1-((O2539:AS2539=6)*(EMPLOYES!M16="5j")))))</f>
        <v/>
      </c>
      <c r="O2543" s="46" t="n"/>
      <c r="P2543" s="46" t="n"/>
      <c r="Q2543" s="46" t="n"/>
      <c r="R2543" s="46" t="n"/>
      <c r="S2543" s="46" t="n"/>
      <c r="T2543" s="46" t="n"/>
      <c r="U2543" s="46" t="n"/>
      <c r="V2543" s="46" t="n"/>
      <c r="W2543" s="46" t="n"/>
      <c r="X2543" s="46" t="n"/>
      <c r="Y2543" s="46" t="n"/>
      <c r="Z2543" s="46" t="n"/>
      <c r="AA2543" s="46" t="n"/>
      <c r="AB2543" s="46" t="n"/>
      <c r="AC2543" s="46" t="n"/>
      <c r="AD2543" s="46" t="n"/>
      <c r="AE2543" s="46" t="n"/>
      <c r="AF2543" s="46" t="n"/>
      <c r="AG2543" s="46" t="n"/>
      <c r="AH2543" s="46" t="n"/>
      <c r="AI2543" s="46" t="n"/>
      <c r="AJ2543" s="46" t="n"/>
      <c r="AK2543" s="46" t="n"/>
      <c r="AL2543" s="46" t="n"/>
      <c r="AM2543" s="46" t="n"/>
      <c r="AN2543" s="46" t="n"/>
      <c r="AO2543" s="46" t="n"/>
      <c r="AP2543" s="46" t="n"/>
      <c r="AQ2543" s="46" t="n"/>
      <c r="AR2543" s="46" t="n"/>
      <c r="AS2543" s="46" t="n"/>
      <c r="AV2543" s="36">
        <f>IF($C2543="","",EMPLOYES!M16)</f>
        <v/>
      </c>
      <c r="AW2543" s="36">
        <f>IF($C2543="",0,SUMPRODUCT(--(O2543:AS2543="C")))</f>
        <v/>
      </c>
      <c r="AX2543" s="36">
        <f>IF($C2543="",0,SUMPRODUCT(--(O2543:AS2543="R")))</f>
        <v/>
      </c>
      <c r="AY2543" s="44" t="n"/>
    </row>
    <row r="2544" hidden="1" outlineLevel="1" ht="15" customHeight="1" s="15">
      <c r="B2544" s="41" t="n">
        <v>11</v>
      </c>
      <c r="C2544" s="42">
        <f>IF(EMPLOYES!C17="","",EMPLOYES!C17)</f>
        <v/>
      </c>
      <c r="D2544" s="43">
        <f>IF(EMPLOYES!C17="","",EMPLOYES!D17)</f>
        <v/>
      </c>
      <c r="E2544" s="44" t="n"/>
      <c r="F2544" s="42" t="n"/>
      <c r="G2544" s="41">
        <f>IF($C2544="",0,MAX(0,$M2544-$N2544))</f>
        <v/>
      </c>
      <c r="H2544" s="45" t="n"/>
      <c r="I2544" s="41">
        <f>IF($C2544="","",IF(H2544="","OK",IF(H2544&gt;EMPLOYES!P17,"⚠ Avance &gt; salaire",IF(H2544&gt;EMPLOYES!P17*PARAMETRES!$C$218,"⚠ Avance élevée","OK"))))</f>
        <v/>
      </c>
      <c r="J2544" s="45" t="n"/>
      <c r="K2544" s="46" t="n"/>
      <c r="L2544" s="46" t="n"/>
      <c r="M2544" s="41">
        <f>IF($C2544="","",SUMPRODUCT((PARAMETRES!$B$38:$B$157=PARAMETRES!$C$29)*(PARAMETRES!$C$38:$C$157=11)*(IF(EMPLOYES!M17="5j",PARAMETRES!$I$38:$I$157,PARAMETRES!$H$38:$H$157))))</f>
        <v/>
      </c>
      <c r="N2544" s="41">
        <f>IF($C2544="","",SUMPRODUCT((O2544:AS2544="P")+(O2544:AS2544="F")+(O2544:AS2544="C")+0.5*(O2544:AS2544="D"),(1-((O2539:AS2539=6)*(EMPLOYES!M17="5j")))))</f>
        <v/>
      </c>
      <c r="O2544" s="46" t="n"/>
      <c r="P2544" s="46" t="n"/>
      <c r="Q2544" s="46" t="n"/>
      <c r="R2544" s="46" t="n"/>
      <c r="S2544" s="46" t="n"/>
      <c r="T2544" s="46" t="n"/>
      <c r="U2544" s="46" t="n"/>
      <c r="V2544" s="46" t="n"/>
      <c r="W2544" s="46" t="n"/>
      <c r="X2544" s="46" t="n"/>
      <c r="Y2544" s="46" t="n"/>
      <c r="Z2544" s="46" t="n"/>
      <c r="AA2544" s="46" t="n"/>
      <c r="AB2544" s="46" t="n"/>
      <c r="AC2544" s="46" t="n"/>
      <c r="AD2544" s="46" t="n"/>
      <c r="AE2544" s="46" t="n"/>
      <c r="AF2544" s="46" t="n"/>
      <c r="AG2544" s="46" t="n"/>
      <c r="AH2544" s="46" t="n"/>
      <c r="AI2544" s="46" t="n"/>
      <c r="AJ2544" s="46" t="n"/>
      <c r="AK2544" s="46" t="n"/>
      <c r="AL2544" s="46" t="n"/>
      <c r="AM2544" s="46" t="n"/>
      <c r="AN2544" s="46" t="n"/>
      <c r="AO2544" s="46" t="n"/>
      <c r="AP2544" s="46" t="n"/>
      <c r="AQ2544" s="46" t="n"/>
      <c r="AR2544" s="46" t="n"/>
      <c r="AS2544" s="46" t="n"/>
      <c r="AV2544" s="36">
        <f>IF($C2544="","",EMPLOYES!M17)</f>
        <v/>
      </c>
      <c r="AW2544" s="36">
        <f>IF($C2544="",0,SUMPRODUCT(--(O2544:AS2544="C")))</f>
        <v/>
      </c>
      <c r="AX2544" s="36">
        <f>IF($C2544="",0,SUMPRODUCT(--(O2544:AS2544="R")))</f>
        <v/>
      </c>
      <c r="AY2544" s="44" t="n"/>
    </row>
    <row r="2545" hidden="1" outlineLevel="1" ht="15" customHeight="1" s="15">
      <c r="B2545" s="41" t="n">
        <v>11</v>
      </c>
      <c r="C2545" s="42">
        <f>IF(EMPLOYES!C18="","",EMPLOYES!C18)</f>
        <v/>
      </c>
      <c r="D2545" s="43">
        <f>IF(EMPLOYES!C18="","",EMPLOYES!D18)</f>
        <v/>
      </c>
      <c r="E2545" s="44" t="n"/>
      <c r="F2545" s="42" t="n"/>
      <c r="G2545" s="41">
        <f>IF($C2545="",0,MAX(0,$M2545-$N2545))</f>
        <v/>
      </c>
      <c r="H2545" s="45" t="n"/>
      <c r="I2545" s="41">
        <f>IF($C2545="","",IF(H2545="","OK",IF(H2545&gt;EMPLOYES!P18,"⚠ Avance &gt; salaire",IF(H2545&gt;EMPLOYES!P18*PARAMETRES!$C$218,"⚠ Avance élevée","OK"))))</f>
        <v/>
      </c>
      <c r="J2545" s="45" t="n"/>
      <c r="K2545" s="46" t="n"/>
      <c r="L2545" s="46" t="n"/>
      <c r="M2545" s="41">
        <f>IF($C2545="","",SUMPRODUCT((PARAMETRES!$B$38:$B$157=PARAMETRES!$C$29)*(PARAMETRES!$C$38:$C$157=11)*(IF(EMPLOYES!M18="5j",PARAMETRES!$I$38:$I$157,PARAMETRES!$H$38:$H$157))))</f>
        <v/>
      </c>
      <c r="N2545" s="41">
        <f>IF($C2545="","",SUMPRODUCT((O2545:AS2545="P")+(O2545:AS2545="F")+(O2545:AS2545="C")+0.5*(O2545:AS2545="D"),(1-((O2539:AS2539=6)*(EMPLOYES!M18="5j")))))</f>
        <v/>
      </c>
      <c r="O2545" s="46" t="n"/>
      <c r="P2545" s="46" t="n"/>
      <c r="Q2545" s="46" t="n"/>
      <c r="R2545" s="46" t="n"/>
      <c r="S2545" s="46" t="n"/>
      <c r="T2545" s="46" t="n"/>
      <c r="U2545" s="46" t="n"/>
      <c r="V2545" s="46" t="n"/>
      <c r="W2545" s="46" t="n"/>
      <c r="X2545" s="46" t="n"/>
      <c r="Y2545" s="46" t="n"/>
      <c r="Z2545" s="46" t="n"/>
      <c r="AA2545" s="46" t="n"/>
      <c r="AB2545" s="46" t="n"/>
      <c r="AC2545" s="46" t="n"/>
      <c r="AD2545" s="46" t="n"/>
      <c r="AE2545" s="46" t="n"/>
      <c r="AF2545" s="46" t="n"/>
      <c r="AG2545" s="46" t="n"/>
      <c r="AH2545" s="46" t="n"/>
      <c r="AI2545" s="46" t="n"/>
      <c r="AJ2545" s="46" t="n"/>
      <c r="AK2545" s="46" t="n"/>
      <c r="AL2545" s="46" t="n"/>
      <c r="AM2545" s="46" t="n"/>
      <c r="AN2545" s="46" t="n"/>
      <c r="AO2545" s="46" t="n"/>
      <c r="AP2545" s="46" t="n"/>
      <c r="AQ2545" s="46" t="n"/>
      <c r="AR2545" s="46" t="n"/>
      <c r="AS2545" s="46" t="n"/>
      <c r="AV2545" s="36">
        <f>IF($C2545="","",EMPLOYES!M18)</f>
        <v/>
      </c>
      <c r="AW2545" s="36">
        <f>IF($C2545="",0,SUMPRODUCT(--(O2545:AS2545="C")))</f>
        <v/>
      </c>
      <c r="AX2545" s="36">
        <f>IF($C2545="",0,SUMPRODUCT(--(O2545:AS2545="R")))</f>
        <v/>
      </c>
      <c r="AY2545" s="44" t="n"/>
    </row>
    <row r="2546" hidden="1" outlineLevel="1" ht="15" customHeight="1" s="15">
      <c r="B2546" s="41" t="n">
        <v>11</v>
      </c>
      <c r="C2546" s="42">
        <f>IF(EMPLOYES!C19="","",EMPLOYES!C19)</f>
        <v/>
      </c>
      <c r="D2546" s="43">
        <f>IF(EMPLOYES!C19="","",EMPLOYES!D19)</f>
        <v/>
      </c>
      <c r="E2546" s="44" t="n"/>
      <c r="F2546" s="42" t="n"/>
      <c r="G2546" s="41">
        <f>IF($C2546="",0,MAX(0,$M2546-$N2546))</f>
        <v/>
      </c>
      <c r="H2546" s="45" t="n"/>
      <c r="I2546" s="41">
        <f>IF($C2546="","",IF(H2546="","OK",IF(H2546&gt;EMPLOYES!P19,"⚠ Avance &gt; salaire",IF(H2546&gt;EMPLOYES!P19*PARAMETRES!$C$218,"⚠ Avance élevée","OK"))))</f>
        <v/>
      </c>
      <c r="J2546" s="45" t="n"/>
      <c r="K2546" s="46" t="n"/>
      <c r="L2546" s="46" t="n"/>
      <c r="M2546" s="41">
        <f>IF($C2546="","",SUMPRODUCT((PARAMETRES!$B$38:$B$157=PARAMETRES!$C$29)*(PARAMETRES!$C$38:$C$157=11)*(IF(EMPLOYES!M19="5j",PARAMETRES!$I$38:$I$157,PARAMETRES!$H$38:$H$157))))</f>
        <v/>
      </c>
      <c r="N2546" s="41">
        <f>IF($C2546="","",SUMPRODUCT((O2546:AS2546="P")+(O2546:AS2546="F")+(O2546:AS2546="C")+0.5*(O2546:AS2546="D"),(1-((O2539:AS2539=6)*(EMPLOYES!M19="5j")))))</f>
        <v/>
      </c>
      <c r="O2546" s="46" t="n"/>
      <c r="P2546" s="46" t="n"/>
      <c r="Q2546" s="46" t="n"/>
      <c r="R2546" s="46" t="n"/>
      <c r="S2546" s="46" t="n"/>
      <c r="T2546" s="46" t="n"/>
      <c r="U2546" s="46" t="n"/>
      <c r="V2546" s="46" t="n"/>
      <c r="W2546" s="46" t="n"/>
      <c r="X2546" s="46" t="n"/>
      <c r="Y2546" s="46" t="n"/>
      <c r="Z2546" s="46" t="n"/>
      <c r="AA2546" s="46" t="n"/>
      <c r="AB2546" s="46" t="n"/>
      <c r="AC2546" s="46" t="n"/>
      <c r="AD2546" s="46" t="n"/>
      <c r="AE2546" s="46" t="n"/>
      <c r="AF2546" s="46" t="n"/>
      <c r="AG2546" s="46" t="n"/>
      <c r="AH2546" s="46" t="n"/>
      <c r="AI2546" s="46" t="n"/>
      <c r="AJ2546" s="46" t="n"/>
      <c r="AK2546" s="46" t="n"/>
      <c r="AL2546" s="46" t="n"/>
      <c r="AM2546" s="46" t="n"/>
      <c r="AN2546" s="46" t="n"/>
      <c r="AO2546" s="46" t="n"/>
      <c r="AP2546" s="46" t="n"/>
      <c r="AQ2546" s="46" t="n"/>
      <c r="AR2546" s="46" t="n"/>
      <c r="AS2546" s="46" t="n"/>
      <c r="AV2546" s="36">
        <f>IF($C2546="","",EMPLOYES!M19)</f>
        <v/>
      </c>
      <c r="AW2546" s="36">
        <f>IF($C2546="",0,SUMPRODUCT(--(O2546:AS2546="C")))</f>
        <v/>
      </c>
      <c r="AX2546" s="36">
        <f>IF($C2546="",0,SUMPRODUCT(--(O2546:AS2546="R")))</f>
        <v/>
      </c>
      <c r="AY2546" s="44" t="n"/>
    </row>
    <row r="2547" hidden="1" outlineLevel="1" ht="15" customHeight="1" s="15">
      <c r="B2547" s="41" t="n">
        <v>11</v>
      </c>
      <c r="C2547" s="42">
        <f>IF(EMPLOYES!C20="","",EMPLOYES!C20)</f>
        <v/>
      </c>
      <c r="D2547" s="43">
        <f>IF(EMPLOYES!C20="","",EMPLOYES!D20)</f>
        <v/>
      </c>
      <c r="E2547" s="44" t="n"/>
      <c r="F2547" s="42" t="n"/>
      <c r="G2547" s="41">
        <f>IF($C2547="",0,MAX(0,$M2547-$N2547))</f>
        <v/>
      </c>
      <c r="H2547" s="45" t="n"/>
      <c r="I2547" s="41">
        <f>IF($C2547="","",IF(H2547="","OK",IF(H2547&gt;EMPLOYES!P20,"⚠ Avance &gt; salaire",IF(H2547&gt;EMPLOYES!P20*PARAMETRES!$C$218,"⚠ Avance élevée","OK"))))</f>
        <v/>
      </c>
      <c r="J2547" s="45" t="n"/>
      <c r="K2547" s="46" t="n"/>
      <c r="L2547" s="46" t="n"/>
      <c r="M2547" s="41">
        <f>IF($C2547="","",SUMPRODUCT((PARAMETRES!$B$38:$B$157=PARAMETRES!$C$29)*(PARAMETRES!$C$38:$C$157=11)*(IF(EMPLOYES!M20="5j",PARAMETRES!$I$38:$I$157,PARAMETRES!$H$38:$H$157))))</f>
        <v/>
      </c>
      <c r="N2547" s="41">
        <f>IF($C2547="","",SUMPRODUCT((O2547:AS2547="P")+(O2547:AS2547="F")+(O2547:AS2547="C")+0.5*(O2547:AS2547="D"),(1-((O2539:AS2539=6)*(EMPLOYES!M20="5j")))))</f>
        <v/>
      </c>
      <c r="O2547" s="46" t="n"/>
      <c r="P2547" s="46" t="n"/>
      <c r="Q2547" s="46" t="n"/>
      <c r="R2547" s="46" t="n"/>
      <c r="S2547" s="46" t="n"/>
      <c r="T2547" s="46" t="n"/>
      <c r="U2547" s="46" t="n"/>
      <c r="V2547" s="46" t="n"/>
      <c r="W2547" s="46" t="n"/>
      <c r="X2547" s="46" t="n"/>
      <c r="Y2547" s="46" t="n"/>
      <c r="Z2547" s="46" t="n"/>
      <c r="AA2547" s="46" t="n"/>
      <c r="AB2547" s="46" t="n"/>
      <c r="AC2547" s="46" t="n"/>
      <c r="AD2547" s="46" t="n"/>
      <c r="AE2547" s="46" t="n"/>
      <c r="AF2547" s="46" t="n"/>
      <c r="AG2547" s="46" t="n"/>
      <c r="AH2547" s="46" t="n"/>
      <c r="AI2547" s="46" t="n"/>
      <c r="AJ2547" s="46" t="n"/>
      <c r="AK2547" s="46" t="n"/>
      <c r="AL2547" s="46" t="n"/>
      <c r="AM2547" s="46" t="n"/>
      <c r="AN2547" s="46" t="n"/>
      <c r="AO2547" s="46" t="n"/>
      <c r="AP2547" s="46" t="n"/>
      <c r="AQ2547" s="46" t="n"/>
      <c r="AR2547" s="46" t="n"/>
      <c r="AS2547" s="46" t="n"/>
      <c r="AV2547" s="36">
        <f>IF($C2547="","",EMPLOYES!M20)</f>
        <v/>
      </c>
      <c r="AW2547" s="36">
        <f>IF($C2547="",0,SUMPRODUCT(--(O2547:AS2547="C")))</f>
        <v/>
      </c>
      <c r="AX2547" s="36">
        <f>IF($C2547="",0,SUMPRODUCT(--(O2547:AS2547="R")))</f>
        <v/>
      </c>
      <c r="AY2547" s="44" t="n"/>
    </row>
    <row r="2548" hidden="1" outlineLevel="1" ht="15" customHeight="1" s="15">
      <c r="B2548" s="41" t="n">
        <v>11</v>
      </c>
      <c r="C2548" s="42">
        <f>IF(EMPLOYES!C21="","",EMPLOYES!C21)</f>
        <v/>
      </c>
      <c r="D2548" s="43">
        <f>IF(EMPLOYES!C21="","",EMPLOYES!D21)</f>
        <v/>
      </c>
      <c r="E2548" s="44" t="n"/>
      <c r="F2548" s="42" t="n"/>
      <c r="G2548" s="41">
        <f>IF($C2548="",0,MAX(0,$M2548-$N2548))</f>
        <v/>
      </c>
      <c r="H2548" s="45" t="n"/>
      <c r="I2548" s="41">
        <f>IF($C2548="","",IF(H2548="","OK",IF(H2548&gt;EMPLOYES!P21,"⚠ Avance &gt; salaire",IF(H2548&gt;EMPLOYES!P21*PARAMETRES!$C$218,"⚠ Avance élevée","OK"))))</f>
        <v/>
      </c>
      <c r="J2548" s="45" t="n"/>
      <c r="K2548" s="46" t="n"/>
      <c r="L2548" s="46" t="n"/>
      <c r="M2548" s="41">
        <f>IF($C2548="","",SUMPRODUCT((PARAMETRES!$B$38:$B$157=PARAMETRES!$C$29)*(PARAMETRES!$C$38:$C$157=11)*(IF(EMPLOYES!M21="5j",PARAMETRES!$I$38:$I$157,PARAMETRES!$H$38:$H$157))))</f>
        <v/>
      </c>
      <c r="N2548" s="41">
        <f>IF($C2548="","",SUMPRODUCT((O2548:AS2548="P")+(O2548:AS2548="F")+(O2548:AS2548="C")+0.5*(O2548:AS2548="D"),(1-((O2539:AS2539=6)*(EMPLOYES!M21="5j")))))</f>
        <v/>
      </c>
      <c r="O2548" s="46" t="n"/>
      <c r="P2548" s="46" t="n"/>
      <c r="Q2548" s="46" t="n"/>
      <c r="R2548" s="46" t="n"/>
      <c r="S2548" s="46" t="n"/>
      <c r="T2548" s="46" t="n"/>
      <c r="U2548" s="46" t="n"/>
      <c r="V2548" s="46" t="n"/>
      <c r="W2548" s="46" t="n"/>
      <c r="X2548" s="46" t="n"/>
      <c r="Y2548" s="46" t="n"/>
      <c r="Z2548" s="46" t="n"/>
      <c r="AA2548" s="46" t="n"/>
      <c r="AB2548" s="46" t="n"/>
      <c r="AC2548" s="46" t="n"/>
      <c r="AD2548" s="46" t="n"/>
      <c r="AE2548" s="46" t="n"/>
      <c r="AF2548" s="46" t="n"/>
      <c r="AG2548" s="46" t="n"/>
      <c r="AH2548" s="46" t="n"/>
      <c r="AI2548" s="46" t="n"/>
      <c r="AJ2548" s="46" t="n"/>
      <c r="AK2548" s="46" t="n"/>
      <c r="AL2548" s="46" t="n"/>
      <c r="AM2548" s="46" t="n"/>
      <c r="AN2548" s="46" t="n"/>
      <c r="AO2548" s="46" t="n"/>
      <c r="AP2548" s="46" t="n"/>
      <c r="AQ2548" s="46" t="n"/>
      <c r="AR2548" s="46" t="n"/>
      <c r="AS2548" s="46" t="n"/>
      <c r="AV2548" s="36">
        <f>IF($C2548="","",EMPLOYES!M21)</f>
        <v/>
      </c>
      <c r="AW2548" s="36">
        <f>IF($C2548="",0,SUMPRODUCT(--(O2548:AS2548="C")))</f>
        <v/>
      </c>
      <c r="AX2548" s="36">
        <f>IF($C2548="",0,SUMPRODUCT(--(O2548:AS2548="R")))</f>
        <v/>
      </c>
      <c r="AY2548" s="44" t="n"/>
    </row>
    <row r="2549" hidden="1" outlineLevel="1" ht="15" customHeight="1" s="15">
      <c r="B2549" s="41" t="n">
        <v>11</v>
      </c>
      <c r="C2549" s="42">
        <f>IF(EMPLOYES!C22="","",EMPLOYES!C22)</f>
        <v/>
      </c>
      <c r="D2549" s="43">
        <f>IF(EMPLOYES!C22="","",EMPLOYES!D22)</f>
        <v/>
      </c>
      <c r="E2549" s="44" t="n"/>
      <c r="F2549" s="42" t="n"/>
      <c r="G2549" s="41">
        <f>IF($C2549="",0,MAX(0,$M2549-$N2549))</f>
        <v/>
      </c>
      <c r="H2549" s="45" t="n"/>
      <c r="I2549" s="41">
        <f>IF($C2549="","",IF(H2549="","OK",IF(H2549&gt;EMPLOYES!P22,"⚠ Avance &gt; salaire",IF(H2549&gt;EMPLOYES!P22*PARAMETRES!$C$218,"⚠ Avance élevée","OK"))))</f>
        <v/>
      </c>
      <c r="J2549" s="45" t="n"/>
      <c r="K2549" s="46" t="n"/>
      <c r="L2549" s="46" t="n"/>
      <c r="M2549" s="41">
        <f>IF($C2549="","",SUMPRODUCT((PARAMETRES!$B$38:$B$157=PARAMETRES!$C$29)*(PARAMETRES!$C$38:$C$157=11)*(IF(EMPLOYES!M22="5j",PARAMETRES!$I$38:$I$157,PARAMETRES!$H$38:$H$157))))</f>
        <v/>
      </c>
      <c r="N2549" s="41">
        <f>IF($C2549="","",SUMPRODUCT((O2549:AS2549="P")+(O2549:AS2549="F")+(O2549:AS2549="C")+0.5*(O2549:AS2549="D"),(1-((O2539:AS2539=6)*(EMPLOYES!M22="5j")))))</f>
        <v/>
      </c>
      <c r="O2549" s="46" t="n"/>
      <c r="P2549" s="46" t="n"/>
      <c r="Q2549" s="46" t="n"/>
      <c r="R2549" s="46" t="n"/>
      <c r="S2549" s="46" t="n"/>
      <c r="T2549" s="46" t="n"/>
      <c r="U2549" s="46" t="n"/>
      <c r="V2549" s="46" t="n"/>
      <c r="W2549" s="46" t="n"/>
      <c r="X2549" s="46" t="n"/>
      <c r="Y2549" s="46" t="n"/>
      <c r="Z2549" s="46" t="n"/>
      <c r="AA2549" s="46" t="n"/>
      <c r="AB2549" s="46" t="n"/>
      <c r="AC2549" s="46" t="n"/>
      <c r="AD2549" s="46" t="n"/>
      <c r="AE2549" s="46" t="n"/>
      <c r="AF2549" s="46" t="n"/>
      <c r="AG2549" s="46" t="n"/>
      <c r="AH2549" s="46" t="n"/>
      <c r="AI2549" s="46" t="n"/>
      <c r="AJ2549" s="46" t="n"/>
      <c r="AK2549" s="46" t="n"/>
      <c r="AL2549" s="46" t="n"/>
      <c r="AM2549" s="46" t="n"/>
      <c r="AN2549" s="46" t="n"/>
      <c r="AO2549" s="46" t="n"/>
      <c r="AP2549" s="46" t="n"/>
      <c r="AQ2549" s="46" t="n"/>
      <c r="AR2549" s="46" t="n"/>
      <c r="AS2549" s="46" t="n"/>
      <c r="AV2549" s="36">
        <f>IF($C2549="","",EMPLOYES!M22)</f>
        <v/>
      </c>
      <c r="AW2549" s="36">
        <f>IF($C2549="",0,SUMPRODUCT(--(O2549:AS2549="C")))</f>
        <v/>
      </c>
      <c r="AX2549" s="36">
        <f>IF($C2549="",0,SUMPRODUCT(--(O2549:AS2549="R")))</f>
        <v/>
      </c>
      <c r="AY2549" s="44" t="n"/>
    </row>
    <row r="2550" hidden="1" outlineLevel="1" ht="15" customHeight="1" s="15">
      <c r="B2550" s="41" t="n">
        <v>11</v>
      </c>
      <c r="C2550" s="42">
        <f>IF(EMPLOYES!C23="","",EMPLOYES!C23)</f>
        <v/>
      </c>
      <c r="D2550" s="43">
        <f>IF(EMPLOYES!C23="","",EMPLOYES!D23)</f>
        <v/>
      </c>
      <c r="E2550" s="44" t="n"/>
      <c r="F2550" s="42" t="n"/>
      <c r="G2550" s="41">
        <f>IF($C2550="",0,MAX(0,$M2550-$N2550))</f>
        <v/>
      </c>
      <c r="H2550" s="45" t="n"/>
      <c r="I2550" s="41">
        <f>IF($C2550="","",IF(H2550="","OK",IF(H2550&gt;EMPLOYES!P23,"⚠ Avance &gt; salaire",IF(H2550&gt;EMPLOYES!P23*PARAMETRES!$C$218,"⚠ Avance élevée","OK"))))</f>
        <v/>
      </c>
      <c r="J2550" s="45" t="n"/>
      <c r="K2550" s="46" t="n"/>
      <c r="L2550" s="46" t="n"/>
      <c r="M2550" s="41">
        <f>IF($C2550="","",SUMPRODUCT((PARAMETRES!$B$38:$B$157=PARAMETRES!$C$29)*(PARAMETRES!$C$38:$C$157=11)*(IF(EMPLOYES!M23="5j",PARAMETRES!$I$38:$I$157,PARAMETRES!$H$38:$H$157))))</f>
        <v/>
      </c>
      <c r="N2550" s="41">
        <f>IF($C2550="","",SUMPRODUCT((O2550:AS2550="P")+(O2550:AS2550="F")+(O2550:AS2550="C")+0.5*(O2550:AS2550="D"),(1-((O2539:AS2539=6)*(EMPLOYES!M23="5j")))))</f>
        <v/>
      </c>
      <c r="O2550" s="46" t="n"/>
      <c r="P2550" s="46" t="n"/>
      <c r="Q2550" s="46" t="n"/>
      <c r="R2550" s="46" t="n"/>
      <c r="S2550" s="46" t="n"/>
      <c r="T2550" s="46" t="n"/>
      <c r="U2550" s="46" t="n"/>
      <c r="V2550" s="46" t="n"/>
      <c r="W2550" s="46" t="n"/>
      <c r="X2550" s="46" t="n"/>
      <c r="Y2550" s="46" t="n"/>
      <c r="Z2550" s="46" t="n"/>
      <c r="AA2550" s="46" t="n"/>
      <c r="AB2550" s="46" t="n"/>
      <c r="AC2550" s="46" t="n"/>
      <c r="AD2550" s="46" t="n"/>
      <c r="AE2550" s="46" t="n"/>
      <c r="AF2550" s="46" t="n"/>
      <c r="AG2550" s="46" t="n"/>
      <c r="AH2550" s="46" t="n"/>
      <c r="AI2550" s="46" t="n"/>
      <c r="AJ2550" s="46" t="n"/>
      <c r="AK2550" s="46" t="n"/>
      <c r="AL2550" s="46" t="n"/>
      <c r="AM2550" s="46" t="n"/>
      <c r="AN2550" s="46" t="n"/>
      <c r="AO2550" s="46" t="n"/>
      <c r="AP2550" s="46" t="n"/>
      <c r="AQ2550" s="46" t="n"/>
      <c r="AR2550" s="46" t="n"/>
      <c r="AS2550" s="46" t="n"/>
      <c r="AV2550" s="36">
        <f>IF($C2550="","",EMPLOYES!M23)</f>
        <v/>
      </c>
      <c r="AW2550" s="36">
        <f>IF($C2550="",0,SUMPRODUCT(--(O2550:AS2550="C")))</f>
        <v/>
      </c>
      <c r="AX2550" s="36">
        <f>IF($C2550="",0,SUMPRODUCT(--(O2550:AS2550="R")))</f>
        <v/>
      </c>
      <c r="AY2550" s="44" t="n"/>
    </row>
    <row r="2551" hidden="1" outlineLevel="1" ht="15" customHeight="1" s="15">
      <c r="B2551" s="41" t="n">
        <v>11</v>
      </c>
      <c r="C2551" s="42">
        <f>IF(EMPLOYES!C24="","",EMPLOYES!C24)</f>
        <v/>
      </c>
      <c r="D2551" s="43">
        <f>IF(EMPLOYES!C24="","",EMPLOYES!D24)</f>
        <v/>
      </c>
      <c r="E2551" s="44" t="n"/>
      <c r="F2551" s="42" t="n"/>
      <c r="G2551" s="41">
        <f>IF($C2551="",0,MAX(0,$M2551-$N2551))</f>
        <v/>
      </c>
      <c r="H2551" s="45" t="n"/>
      <c r="I2551" s="41">
        <f>IF($C2551="","",IF(H2551="","OK",IF(H2551&gt;EMPLOYES!P24,"⚠ Avance &gt; salaire",IF(H2551&gt;EMPLOYES!P24*PARAMETRES!$C$218,"⚠ Avance élevée","OK"))))</f>
        <v/>
      </c>
      <c r="J2551" s="45" t="n"/>
      <c r="K2551" s="46" t="n"/>
      <c r="L2551" s="46" t="n"/>
      <c r="M2551" s="41">
        <f>IF($C2551="","",SUMPRODUCT((PARAMETRES!$B$38:$B$157=PARAMETRES!$C$29)*(PARAMETRES!$C$38:$C$157=11)*(IF(EMPLOYES!M24="5j",PARAMETRES!$I$38:$I$157,PARAMETRES!$H$38:$H$157))))</f>
        <v/>
      </c>
      <c r="N2551" s="41">
        <f>IF($C2551="","",SUMPRODUCT((O2551:AS2551="P")+(O2551:AS2551="F")+(O2551:AS2551="C")+0.5*(O2551:AS2551="D"),(1-((O2539:AS2539=6)*(EMPLOYES!M24="5j")))))</f>
        <v/>
      </c>
      <c r="O2551" s="46" t="n"/>
      <c r="P2551" s="46" t="n"/>
      <c r="Q2551" s="46" t="n"/>
      <c r="R2551" s="46" t="n"/>
      <c r="S2551" s="46" t="n"/>
      <c r="T2551" s="46" t="n"/>
      <c r="U2551" s="46" t="n"/>
      <c r="V2551" s="46" t="n"/>
      <c r="W2551" s="46" t="n"/>
      <c r="X2551" s="46" t="n"/>
      <c r="Y2551" s="46" t="n"/>
      <c r="Z2551" s="46" t="n"/>
      <c r="AA2551" s="46" t="n"/>
      <c r="AB2551" s="46" t="n"/>
      <c r="AC2551" s="46" t="n"/>
      <c r="AD2551" s="46" t="n"/>
      <c r="AE2551" s="46" t="n"/>
      <c r="AF2551" s="46" t="n"/>
      <c r="AG2551" s="46" t="n"/>
      <c r="AH2551" s="46" t="n"/>
      <c r="AI2551" s="46" t="n"/>
      <c r="AJ2551" s="46" t="n"/>
      <c r="AK2551" s="46" t="n"/>
      <c r="AL2551" s="46" t="n"/>
      <c r="AM2551" s="46" t="n"/>
      <c r="AN2551" s="46" t="n"/>
      <c r="AO2551" s="46" t="n"/>
      <c r="AP2551" s="46" t="n"/>
      <c r="AQ2551" s="46" t="n"/>
      <c r="AR2551" s="46" t="n"/>
      <c r="AS2551" s="46" t="n"/>
      <c r="AV2551" s="36">
        <f>IF($C2551="","",EMPLOYES!M24)</f>
        <v/>
      </c>
      <c r="AW2551" s="36">
        <f>IF($C2551="",0,SUMPRODUCT(--(O2551:AS2551="C")))</f>
        <v/>
      </c>
      <c r="AX2551" s="36">
        <f>IF($C2551="",0,SUMPRODUCT(--(O2551:AS2551="R")))</f>
        <v/>
      </c>
      <c r="AY2551" s="44" t="n"/>
    </row>
    <row r="2552" hidden="1" outlineLevel="1" ht="15" customHeight="1" s="15">
      <c r="B2552" s="41" t="n">
        <v>11</v>
      </c>
      <c r="C2552" s="42">
        <f>IF(EMPLOYES!C25="","",EMPLOYES!C25)</f>
        <v/>
      </c>
      <c r="D2552" s="43">
        <f>IF(EMPLOYES!C25="","",EMPLOYES!D25)</f>
        <v/>
      </c>
      <c r="E2552" s="44" t="n"/>
      <c r="F2552" s="42" t="n"/>
      <c r="G2552" s="41">
        <f>IF($C2552="",0,MAX(0,$M2552-$N2552))</f>
        <v/>
      </c>
      <c r="H2552" s="45" t="n"/>
      <c r="I2552" s="41">
        <f>IF($C2552="","",IF(H2552="","OK",IF(H2552&gt;EMPLOYES!P25,"⚠ Avance &gt; salaire",IF(H2552&gt;EMPLOYES!P25*PARAMETRES!$C$218,"⚠ Avance élevée","OK"))))</f>
        <v/>
      </c>
      <c r="J2552" s="45" t="n"/>
      <c r="K2552" s="46" t="n"/>
      <c r="L2552" s="46" t="n"/>
      <c r="M2552" s="41">
        <f>IF($C2552="","",SUMPRODUCT((PARAMETRES!$B$38:$B$157=PARAMETRES!$C$29)*(PARAMETRES!$C$38:$C$157=11)*(IF(EMPLOYES!M25="5j",PARAMETRES!$I$38:$I$157,PARAMETRES!$H$38:$H$157))))</f>
        <v/>
      </c>
      <c r="N2552" s="41">
        <f>IF($C2552="","",SUMPRODUCT((O2552:AS2552="P")+(O2552:AS2552="F")+(O2552:AS2552="C")+0.5*(O2552:AS2552="D"),(1-((O2539:AS2539=6)*(EMPLOYES!M25="5j")))))</f>
        <v/>
      </c>
      <c r="O2552" s="46" t="n"/>
      <c r="P2552" s="46" t="n"/>
      <c r="Q2552" s="46" t="n"/>
      <c r="R2552" s="46" t="n"/>
      <c r="S2552" s="46" t="n"/>
      <c r="T2552" s="46" t="n"/>
      <c r="U2552" s="46" t="n"/>
      <c r="V2552" s="46" t="n"/>
      <c r="W2552" s="46" t="n"/>
      <c r="X2552" s="46" t="n"/>
      <c r="Y2552" s="46" t="n"/>
      <c r="Z2552" s="46" t="n"/>
      <c r="AA2552" s="46" t="n"/>
      <c r="AB2552" s="46" t="n"/>
      <c r="AC2552" s="46" t="n"/>
      <c r="AD2552" s="46" t="n"/>
      <c r="AE2552" s="46" t="n"/>
      <c r="AF2552" s="46" t="n"/>
      <c r="AG2552" s="46" t="n"/>
      <c r="AH2552" s="46" t="n"/>
      <c r="AI2552" s="46" t="n"/>
      <c r="AJ2552" s="46" t="n"/>
      <c r="AK2552" s="46" t="n"/>
      <c r="AL2552" s="46" t="n"/>
      <c r="AM2552" s="46" t="n"/>
      <c r="AN2552" s="46" t="n"/>
      <c r="AO2552" s="46" t="n"/>
      <c r="AP2552" s="46" t="n"/>
      <c r="AQ2552" s="46" t="n"/>
      <c r="AR2552" s="46" t="n"/>
      <c r="AS2552" s="46" t="n"/>
      <c r="AV2552" s="36">
        <f>IF($C2552="","",EMPLOYES!M25)</f>
        <v/>
      </c>
      <c r="AW2552" s="36">
        <f>IF($C2552="",0,SUMPRODUCT(--(O2552:AS2552="C")))</f>
        <v/>
      </c>
      <c r="AX2552" s="36">
        <f>IF($C2552="",0,SUMPRODUCT(--(O2552:AS2552="R")))</f>
        <v/>
      </c>
      <c r="AY2552" s="44" t="n"/>
    </row>
    <row r="2553" hidden="1" outlineLevel="1" ht="15" customHeight="1" s="15">
      <c r="B2553" s="41" t="n">
        <v>11</v>
      </c>
      <c r="C2553" s="42">
        <f>IF(EMPLOYES!C26="","",EMPLOYES!C26)</f>
        <v/>
      </c>
      <c r="D2553" s="43">
        <f>IF(EMPLOYES!C26="","",EMPLOYES!D26)</f>
        <v/>
      </c>
      <c r="E2553" s="44" t="n"/>
      <c r="F2553" s="42" t="n"/>
      <c r="G2553" s="41">
        <f>IF($C2553="",0,MAX(0,$M2553-$N2553))</f>
        <v/>
      </c>
      <c r="H2553" s="45" t="n"/>
      <c r="I2553" s="41">
        <f>IF($C2553="","",IF(H2553="","OK",IF(H2553&gt;EMPLOYES!P26,"⚠ Avance &gt; salaire",IF(H2553&gt;EMPLOYES!P26*PARAMETRES!$C$218,"⚠ Avance élevée","OK"))))</f>
        <v/>
      </c>
      <c r="J2553" s="45" t="n"/>
      <c r="K2553" s="46" t="n"/>
      <c r="L2553" s="46" t="n"/>
      <c r="M2553" s="41">
        <f>IF($C2553="","",SUMPRODUCT((PARAMETRES!$B$38:$B$157=PARAMETRES!$C$29)*(PARAMETRES!$C$38:$C$157=11)*(IF(EMPLOYES!M26="5j",PARAMETRES!$I$38:$I$157,PARAMETRES!$H$38:$H$157))))</f>
        <v/>
      </c>
      <c r="N2553" s="41">
        <f>IF($C2553="","",SUMPRODUCT((O2553:AS2553="P")+(O2553:AS2553="F")+(O2553:AS2553="C")+0.5*(O2553:AS2553="D"),(1-((O2539:AS2539=6)*(EMPLOYES!M26="5j")))))</f>
        <v/>
      </c>
      <c r="O2553" s="46" t="n"/>
      <c r="P2553" s="46" t="n"/>
      <c r="Q2553" s="46" t="n"/>
      <c r="R2553" s="46" t="n"/>
      <c r="S2553" s="46" t="n"/>
      <c r="T2553" s="46" t="n"/>
      <c r="U2553" s="46" t="n"/>
      <c r="V2553" s="46" t="n"/>
      <c r="W2553" s="46" t="n"/>
      <c r="X2553" s="46" t="n"/>
      <c r="Y2553" s="46" t="n"/>
      <c r="Z2553" s="46" t="n"/>
      <c r="AA2553" s="46" t="n"/>
      <c r="AB2553" s="46" t="n"/>
      <c r="AC2553" s="46" t="n"/>
      <c r="AD2553" s="46" t="n"/>
      <c r="AE2553" s="46" t="n"/>
      <c r="AF2553" s="46" t="n"/>
      <c r="AG2553" s="46" t="n"/>
      <c r="AH2553" s="46" t="n"/>
      <c r="AI2553" s="46" t="n"/>
      <c r="AJ2553" s="46" t="n"/>
      <c r="AK2553" s="46" t="n"/>
      <c r="AL2553" s="46" t="n"/>
      <c r="AM2553" s="46" t="n"/>
      <c r="AN2553" s="46" t="n"/>
      <c r="AO2553" s="46" t="n"/>
      <c r="AP2553" s="46" t="n"/>
      <c r="AQ2553" s="46" t="n"/>
      <c r="AR2553" s="46" t="n"/>
      <c r="AS2553" s="46" t="n"/>
      <c r="AV2553" s="36">
        <f>IF($C2553="","",EMPLOYES!M26)</f>
        <v/>
      </c>
      <c r="AW2553" s="36">
        <f>IF($C2553="",0,SUMPRODUCT(--(O2553:AS2553="C")))</f>
        <v/>
      </c>
      <c r="AX2553" s="36">
        <f>IF($C2553="",0,SUMPRODUCT(--(O2553:AS2553="R")))</f>
        <v/>
      </c>
      <c r="AY2553" s="44" t="n"/>
    </row>
    <row r="2554" hidden="1" outlineLevel="1" ht="15" customHeight="1" s="15">
      <c r="B2554" s="41" t="n">
        <v>11</v>
      </c>
      <c r="C2554" s="42">
        <f>IF(EMPLOYES!C27="","",EMPLOYES!C27)</f>
        <v/>
      </c>
      <c r="D2554" s="43">
        <f>IF(EMPLOYES!C27="","",EMPLOYES!D27)</f>
        <v/>
      </c>
      <c r="E2554" s="44" t="n"/>
      <c r="F2554" s="42" t="n"/>
      <c r="G2554" s="41">
        <f>IF($C2554="",0,MAX(0,$M2554-$N2554))</f>
        <v/>
      </c>
      <c r="H2554" s="45" t="n"/>
      <c r="I2554" s="41">
        <f>IF($C2554="","",IF(H2554="","OK",IF(H2554&gt;EMPLOYES!P27,"⚠ Avance &gt; salaire",IF(H2554&gt;EMPLOYES!P27*PARAMETRES!$C$218,"⚠ Avance élevée","OK"))))</f>
        <v/>
      </c>
      <c r="J2554" s="45" t="n"/>
      <c r="K2554" s="46" t="n"/>
      <c r="L2554" s="46" t="n"/>
      <c r="M2554" s="41">
        <f>IF($C2554="","",SUMPRODUCT((PARAMETRES!$B$38:$B$157=PARAMETRES!$C$29)*(PARAMETRES!$C$38:$C$157=11)*(IF(EMPLOYES!M27="5j",PARAMETRES!$I$38:$I$157,PARAMETRES!$H$38:$H$157))))</f>
        <v/>
      </c>
      <c r="N2554" s="41">
        <f>IF($C2554="","",SUMPRODUCT((O2554:AS2554="P")+(O2554:AS2554="F")+(O2554:AS2554="C")+0.5*(O2554:AS2554="D"),(1-((O2539:AS2539=6)*(EMPLOYES!M27="5j")))))</f>
        <v/>
      </c>
      <c r="O2554" s="46" t="n"/>
      <c r="P2554" s="46" t="n"/>
      <c r="Q2554" s="46" t="n"/>
      <c r="R2554" s="46" t="n"/>
      <c r="S2554" s="46" t="n"/>
      <c r="T2554" s="46" t="n"/>
      <c r="U2554" s="46" t="n"/>
      <c r="V2554" s="46" t="n"/>
      <c r="W2554" s="46" t="n"/>
      <c r="X2554" s="46" t="n"/>
      <c r="Y2554" s="46" t="n"/>
      <c r="Z2554" s="46" t="n"/>
      <c r="AA2554" s="46" t="n"/>
      <c r="AB2554" s="46" t="n"/>
      <c r="AC2554" s="46" t="n"/>
      <c r="AD2554" s="46" t="n"/>
      <c r="AE2554" s="46" t="n"/>
      <c r="AF2554" s="46" t="n"/>
      <c r="AG2554" s="46" t="n"/>
      <c r="AH2554" s="46" t="n"/>
      <c r="AI2554" s="46" t="n"/>
      <c r="AJ2554" s="46" t="n"/>
      <c r="AK2554" s="46" t="n"/>
      <c r="AL2554" s="46" t="n"/>
      <c r="AM2554" s="46" t="n"/>
      <c r="AN2554" s="46" t="n"/>
      <c r="AO2554" s="46" t="n"/>
      <c r="AP2554" s="46" t="n"/>
      <c r="AQ2554" s="46" t="n"/>
      <c r="AR2554" s="46" t="n"/>
      <c r="AS2554" s="46" t="n"/>
      <c r="AV2554" s="36">
        <f>IF($C2554="","",EMPLOYES!M27)</f>
        <v/>
      </c>
      <c r="AW2554" s="36">
        <f>IF($C2554="",0,SUMPRODUCT(--(O2554:AS2554="C")))</f>
        <v/>
      </c>
      <c r="AX2554" s="36">
        <f>IF($C2554="",0,SUMPRODUCT(--(O2554:AS2554="R")))</f>
        <v/>
      </c>
      <c r="AY2554" s="44" t="n"/>
    </row>
    <row r="2555" hidden="1" outlineLevel="1" ht="15" customHeight="1" s="15">
      <c r="B2555" s="41" t="n">
        <v>11</v>
      </c>
      <c r="C2555" s="42">
        <f>IF(EMPLOYES!C28="","",EMPLOYES!C28)</f>
        <v/>
      </c>
      <c r="D2555" s="43">
        <f>IF(EMPLOYES!C28="","",EMPLOYES!D28)</f>
        <v/>
      </c>
      <c r="E2555" s="44" t="n"/>
      <c r="F2555" s="42" t="n"/>
      <c r="G2555" s="41">
        <f>IF($C2555="",0,MAX(0,$M2555-$N2555))</f>
        <v/>
      </c>
      <c r="H2555" s="45" t="n"/>
      <c r="I2555" s="41">
        <f>IF($C2555="","",IF(H2555="","OK",IF(H2555&gt;EMPLOYES!P28,"⚠ Avance &gt; salaire",IF(H2555&gt;EMPLOYES!P28*PARAMETRES!$C$218,"⚠ Avance élevée","OK"))))</f>
        <v/>
      </c>
      <c r="J2555" s="45" t="n"/>
      <c r="K2555" s="46" t="n"/>
      <c r="L2555" s="46" t="n"/>
      <c r="M2555" s="41">
        <f>IF($C2555="","",SUMPRODUCT((PARAMETRES!$B$38:$B$157=PARAMETRES!$C$29)*(PARAMETRES!$C$38:$C$157=11)*(IF(EMPLOYES!M28="5j",PARAMETRES!$I$38:$I$157,PARAMETRES!$H$38:$H$157))))</f>
        <v/>
      </c>
      <c r="N2555" s="41">
        <f>IF($C2555="","",SUMPRODUCT((O2555:AS2555="P")+(O2555:AS2555="F")+(O2555:AS2555="C")+0.5*(O2555:AS2555="D"),(1-((O2539:AS2539=6)*(EMPLOYES!M28="5j")))))</f>
        <v/>
      </c>
      <c r="O2555" s="46" t="n"/>
      <c r="P2555" s="46" t="n"/>
      <c r="Q2555" s="46" t="n"/>
      <c r="R2555" s="46" t="n"/>
      <c r="S2555" s="46" t="n"/>
      <c r="T2555" s="46" t="n"/>
      <c r="U2555" s="46" t="n"/>
      <c r="V2555" s="46" t="n"/>
      <c r="W2555" s="46" t="n"/>
      <c r="X2555" s="46" t="n"/>
      <c r="Y2555" s="46" t="n"/>
      <c r="Z2555" s="46" t="n"/>
      <c r="AA2555" s="46" t="n"/>
      <c r="AB2555" s="46" t="n"/>
      <c r="AC2555" s="46" t="n"/>
      <c r="AD2555" s="46" t="n"/>
      <c r="AE2555" s="46" t="n"/>
      <c r="AF2555" s="46" t="n"/>
      <c r="AG2555" s="46" t="n"/>
      <c r="AH2555" s="46" t="n"/>
      <c r="AI2555" s="46" t="n"/>
      <c r="AJ2555" s="46" t="n"/>
      <c r="AK2555" s="46" t="n"/>
      <c r="AL2555" s="46" t="n"/>
      <c r="AM2555" s="46" t="n"/>
      <c r="AN2555" s="46" t="n"/>
      <c r="AO2555" s="46" t="n"/>
      <c r="AP2555" s="46" t="n"/>
      <c r="AQ2555" s="46" t="n"/>
      <c r="AR2555" s="46" t="n"/>
      <c r="AS2555" s="46" t="n"/>
      <c r="AV2555" s="36">
        <f>IF($C2555="","",EMPLOYES!M28)</f>
        <v/>
      </c>
      <c r="AW2555" s="36">
        <f>IF($C2555="",0,SUMPRODUCT(--(O2555:AS2555="C")))</f>
        <v/>
      </c>
      <c r="AX2555" s="36">
        <f>IF($C2555="",0,SUMPRODUCT(--(O2555:AS2555="R")))</f>
        <v/>
      </c>
      <c r="AY2555" s="44" t="n"/>
    </row>
    <row r="2556" hidden="1" outlineLevel="1" ht="15" customHeight="1" s="15">
      <c r="B2556" s="41" t="n">
        <v>11</v>
      </c>
      <c r="C2556" s="42">
        <f>IF(EMPLOYES!C29="","",EMPLOYES!C29)</f>
        <v/>
      </c>
      <c r="D2556" s="43">
        <f>IF(EMPLOYES!C29="","",EMPLOYES!D29)</f>
        <v/>
      </c>
      <c r="E2556" s="44" t="n"/>
      <c r="F2556" s="42" t="n"/>
      <c r="G2556" s="41">
        <f>IF($C2556="",0,MAX(0,$M2556-$N2556))</f>
        <v/>
      </c>
      <c r="H2556" s="45" t="n"/>
      <c r="I2556" s="41">
        <f>IF($C2556="","",IF(H2556="","OK",IF(H2556&gt;EMPLOYES!P29,"⚠ Avance &gt; salaire",IF(H2556&gt;EMPLOYES!P29*PARAMETRES!$C$218,"⚠ Avance élevée","OK"))))</f>
        <v/>
      </c>
      <c r="J2556" s="45" t="n"/>
      <c r="K2556" s="46" t="n"/>
      <c r="L2556" s="46" t="n"/>
      <c r="M2556" s="41">
        <f>IF($C2556="","",SUMPRODUCT((PARAMETRES!$B$38:$B$157=PARAMETRES!$C$29)*(PARAMETRES!$C$38:$C$157=11)*(IF(EMPLOYES!M29="5j",PARAMETRES!$I$38:$I$157,PARAMETRES!$H$38:$H$157))))</f>
        <v/>
      </c>
      <c r="N2556" s="41">
        <f>IF($C2556="","",SUMPRODUCT((O2556:AS2556="P")+(O2556:AS2556="F")+(O2556:AS2556="C")+0.5*(O2556:AS2556="D"),(1-((O2539:AS2539=6)*(EMPLOYES!M29="5j")))))</f>
        <v/>
      </c>
      <c r="O2556" s="46" t="n"/>
      <c r="P2556" s="46" t="n"/>
      <c r="Q2556" s="46" t="n"/>
      <c r="R2556" s="46" t="n"/>
      <c r="S2556" s="46" t="n"/>
      <c r="T2556" s="46" t="n"/>
      <c r="U2556" s="46" t="n"/>
      <c r="V2556" s="46" t="n"/>
      <c r="W2556" s="46" t="n"/>
      <c r="X2556" s="46" t="n"/>
      <c r="Y2556" s="46" t="n"/>
      <c r="Z2556" s="46" t="n"/>
      <c r="AA2556" s="46" t="n"/>
      <c r="AB2556" s="46" t="n"/>
      <c r="AC2556" s="46" t="n"/>
      <c r="AD2556" s="46" t="n"/>
      <c r="AE2556" s="46" t="n"/>
      <c r="AF2556" s="46" t="n"/>
      <c r="AG2556" s="46" t="n"/>
      <c r="AH2556" s="46" t="n"/>
      <c r="AI2556" s="46" t="n"/>
      <c r="AJ2556" s="46" t="n"/>
      <c r="AK2556" s="46" t="n"/>
      <c r="AL2556" s="46" t="n"/>
      <c r="AM2556" s="46" t="n"/>
      <c r="AN2556" s="46" t="n"/>
      <c r="AO2556" s="46" t="n"/>
      <c r="AP2556" s="46" t="n"/>
      <c r="AQ2556" s="46" t="n"/>
      <c r="AR2556" s="46" t="n"/>
      <c r="AS2556" s="46" t="n"/>
      <c r="AV2556" s="36">
        <f>IF($C2556="","",EMPLOYES!M29)</f>
        <v/>
      </c>
      <c r="AW2556" s="36">
        <f>IF($C2556="",0,SUMPRODUCT(--(O2556:AS2556="C")))</f>
        <v/>
      </c>
      <c r="AX2556" s="36">
        <f>IF($C2556="",0,SUMPRODUCT(--(O2556:AS2556="R")))</f>
        <v/>
      </c>
      <c r="AY2556" s="44" t="n"/>
    </row>
    <row r="2557" hidden="1" outlineLevel="1" ht="15" customHeight="1" s="15">
      <c r="B2557" s="41" t="n">
        <v>11</v>
      </c>
      <c r="C2557" s="42">
        <f>IF(EMPLOYES!C30="","",EMPLOYES!C30)</f>
        <v/>
      </c>
      <c r="D2557" s="43">
        <f>IF(EMPLOYES!C30="","",EMPLOYES!D30)</f>
        <v/>
      </c>
      <c r="E2557" s="44" t="n"/>
      <c r="F2557" s="42" t="n"/>
      <c r="G2557" s="41">
        <f>IF($C2557="",0,MAX(0,$M2557-$N2557))</f>
        <v/>
      </c>
      <c r="H2557" s="45" t="n"/>
      <c r="I2557" s="41">
        <f>IF($C2557="","",IF(H2557="","OK",IF(H2557&gt;EMPLOYES!P30,"⚠ Avance &gt; salaire",IF(H2557&gt;EMPLOYES!P30*PARAMETRES!$C$218,"⚠ Avance élevée","OK"))))</f>
        <v/>
      </c>
      <c r="J2557" s="45" t="n"/>
      <c r="K2557" s="46" t="n"/>
      <c r="L2557" s="46" t="n"/>
      <c r="M2557" s="41">
        <f>IF($C2557="","",SUMPRODUCT((PARAMETRES!$B$38:$B$157=PARAMETRES!$C$29)*(PARAMETRES!$C$38:$C$157=11)*(IF(EMPLOYES!M30="5j",PARAMETRES!$I$38:$I$157,PARAMETRES!$H$38:$H$157))))</f>
        <v/>
      </c>
      <c r="N2557" s="41">
        <f>IF($C2557="","",SUMPRODUCT((O2557:AS2557="P")+(O2557:AS2557="F")+(O2557:AS2557="C")+0.5*(O2557:AS2557="D"),(1-((O2539:AS2539=6)*(EMPLOYES!M30="5j")))))</f>
        <v/>
      </c>
      <c r="O2557" s="46" t="n"/>
      <c r="P2557" s="46" t="n"/>
      <c r="Q2557" s="46" t="n"/>
      <c r="R2557" s="46" t="n"/>
      <c r="S2557" s="46" t="n"/>
      <c r="T2557" s="46" t="n"/>
      <c r="U2557" s="46" t="n"/>
      <c r="V2557" s="46" t="n"/>
      <c r="W2557" s="46" t="n"/>
      <c r="X2557" s="46" t="n"/>
      <c r="Y2557" s="46" t="n"/>
      <c r="Z2557" s="46" t="n"/>
      <c r="AA2557" s="46" t="n"/>
      <c r="AB2557" s="46" t="n"/>
      <c r="AC2557" s="46" t="n"/>
      <c r="AD2557" s="46" t="n"/>
      <c r="AE2557" s="46" t="n"/>
      <c r="AF2557" s="46" t="n"/>
      <c r="AG2557" s="46" t="n"/>
      <c r="AH2557" s="46" t="n"/>
      <c r="AI2557" s="46" t="n"/>
      <c r="AJ2557" s="46" t="n"/>
      <c r="AK2557" s="46" t="n"/>
      <c r="AL2557" s="46" t="n"/>
      <c r="AM2557" s="46" t="n"/>
      <c r="AN2557" s="46" t="n"/>
      <c r="AO2557" s="46" t="n"/>
      <c r="AP2557" s="46" t="n"/>
      <c r="AQ2557" s="46" t="n"/>
      <c r="AR2557" s="46" t="n"/>
      <c r="AS2557" s="46" t="n"/>
      <c r="AV2557" s="36">
        <f>IF($C2557="","",EMPLOYES!M30)</f>
        <v/>
      </c>
      <c r="AW2557" s="36">
        <f>IF($C2557="",0,SUMPRODUCT(--(O2557:AS2557="C")))</f>
        <v/>
      </c>
      <c r="AX2557" s="36">
        <f>IF($C2557="",0,SUMPRODUCT(--(O2557:AS2557="R")))</f>
        <v/>
      </c>
      <c r="AY2557" s="44" t="n"/>
    </row>
    <row r="2558" hidden="1" outlineLevel="1" ht="15" customHeight="1" s="15">
      <c r="B2558" s="41" t="n">
        <v>11</v>
      </c>
      <c r="C2558" s="42">
        <f>IF(EMPLOYES!C31="","",EMPLOYES!C31)</f>
        <v/>
      </c>
      <c r="D2558" s="43">
        <f>IF(EMPLOYES!C31="","",EMPLOYES!D31)</f>
        <v/>
      </c>
      <c r="E2558" s="44" t="n"/>
      <c r="F2558" s="42" t="n"/>
      <c r="G2558" s="41">
        <f>IF($C2558="",0,MAX(0,$M2558-$N2558))</f>
        <v/>
      </c>
      <c r="H2558" s="45" t="n"/>
      <c r="I2558" s="41">
        <f>IF($C2558="","",IF(H2558="","OK",IF(H2558&gt;EMPLOYES!P31,"⚠ Avance &gt; salaire",IF(H2558&gt;EMPLOYES!P31*PARAMETRES!$C$218,"⚠ Avance élevée","OK"))))</f>
        <v/>
      </c>
      <c r="J2558" s="45" t="n"/>
      <c r="K2558" s="46" t="n"/>
      <c r="L2558" s="46" t="n"/>
      <c r="M2558" s="41">
        <f>IF($C2558="","",SUMPRODUCT((PARAMETRES!$B$38:$B$157=PARAMETRES!$C$29)*(PARAMETRES!$C$38:$C$157=11)*(IF(EMPLOYES!M31="5j",PARAMETRES!$I$38:$I$157,PARAMETRES!$H$38:$H$157))))</f>
        <v/>
      </c>
      <c r="N2558" s="41">
        <f>IF($C2558="","",SUMPRODUCT((O2558:AS2558="P")+(O2558:AS2558="F")+(O2558:AS2558="C")+0.5*(O2558:AS2558="D"),(1-((O2539:AS2539=6)*(EMPLOYES!M31="5j")))))</f>
        <v/>
      </c>
      <c r="O2558" s="46" t="n"/>
      <c r="P2558" s="46" t="n"/>
      <c r="Q2558" s="46" t="n"/>
      <c r="R2558" s="46" t="n"/>
      <c r="S2558" s="46" t="n"/>
      <c r="T2558" s="46" t="n"/>
      <c r="U2558" s="46" t="n"/>
      <c r="V2558" s="46" t="n"/>
      <c r="W2558" s="46" t="n"/>
      <c r="X2558" s="46" t="n"/>
      <c r="Y2558" s="46" t="n"/>
      <c r="Z2558" s="46" t="n"/>
      <c r="AA2558" s="46" t="n"/>
      <c r="AB2558" s="46" t="n"/>
      <c r="AC2558" s="46" t="n"/>
      <c r="AD2558" s="46" t="n"/>
      <c r="AE2558" s="46" t="n"/>
      <c r="AF2558" s="46" t="n"/>
      <c r="AG2558" s="46" t="n"/>
      <c r="AH2558" s="46" t="n"/>
      <c r="AI2558" s="46" t="n"/>
      <c r="AJ2558" s="46" t="n"/>
      <c r="AK2558" s="46" t="n"/>
      <c r="AL2558" s="46" t="n"/>
      <c r="AM2558" s="46" t="n"/>
      <c r="AN2558" s="46" t="n"/>
      <c r="AO2558" s="46" t="n"/>
      <c r="AP2558" s="46" t="n"/>
      <c r="AQ2558" s="46" t="n"/>
      <c r="AR2558" s="46" t="n"/>
      <c r="AS2558" s="46" t="n"/>
      <c r="AV2558" s="36">
        <f>IF($C2558="","",EMPLOYES!M31)</f>
        <v/>
      </c>
      <c r="AW2558" s="36">
        <f>IF($C2558="",0,SUMPRODUCT(--(O2558:AS2558="C")))</f>
        <v/>
      </c>
      <c r="AX2558" s="36">
        <f>IF($C2558="",0,SUMPRODUCT(--(O2558:AS2558="R")))</f>
        <v/>
      </c>
      <c r="AY2558" s="44" t="n"/>
    </row>
    <row r="2559" hidden="1" outlineLevel="1" ht="15" customHeight="1" s="15">
      <c r="B2559" s="41" t="n">
        <v>11</v>
      </c>
      <c r="C2559" s="42">
        <f>IF(EMPLOYES!C32="","",EMPLOYES!C32)</f>
        <v/>
      </c>
      <c r="D2559" s="43">
        <f>IF(EMPLOYES!C32="","",EMPLOYES!D32)</f>
        <v/>
      </c>
      <c r="E2559" s="44" t="n"/>
      <c r="F2559" s="42" t="n"/>
      <c r="G2559" s="41">
        <f>IF($C2559="",0,MAX(0,$M2559-$N2559))</f>
        <v/>
      </c>
      <c r="H2559" s="45" t="n"/>
      <c r="I2559" s="41">
        <f>IF($C2559="","",IF(H2559="","OK",IF(H2559&gt;EMPLOYES!P32,"⚠ Avance &gt; salaire",IF(H2559&gt;EMPLOYES!P32*PARAMETRES!$C$218,"⚠ Avance élevée","OK"))))</f>
        <v/>
      </c>
      <c r="J2559" s="45" t="n"/>
      <c r="K2559" s="46" t="n"/>
      <c r="L2559" s="46" t="n"/>
      <c r="M2559" s="41">
        <f>IF($C2559="","",SUMPRODUCT((PARAMETRES!$B$38:$B$157=PARAMETRES!$C$29)*(PARAMETRES!$C$38:$C$157=11)*(IF(EMPLOYES!M32="5j",PARAMETRES!$I$38:$I$157,PARAMETRES!$H$38:$H$157))))</f>
        <v/>
      </c>
      <c r="N2559" s="41">
        <f>IF($C2559="","",SUMPRODUCT((O2559:AS2559="P")+(O2559:AS2559="F")+(O2559:AS2559="C")+0.5*(O2559:AS2559="D"),(1-((O2539:AS2539=6)*(EMPLOYES!M32="5j")))))</f>
        <v/>
      </c>
      <c r="O2559" s="46" t="n"/>
      <c r="P2559" s="46" t="n"/>
      <c r="Q2559" s="46" t="n"/>
      <c r="R2559" s="46" t="n"/>
      <c r="S2559" s="46" t="n"/>
      <c r="T2559" s="46" t="n"/>
      <c r="U2559" s="46" t="n"/>
      <c r="V2559" s="46" t="n"/>
      <c r="W2559" s="46" t="n"/>
      <c r="X2559" s="46" t="n"/>
      <c r="Y2559" s="46" t="n"/>
      <c r="Z2559" s="46" t="n"/>
      <c r="AA2559" s="46" t="n"/>
      <c r="AB2559" s="46" t="n"/>
      <c r="AC2559" s="46" t="n"/>
      <c r="AD2559" s="46" t="n"/>
      <c r="AE2559" s="46" t="n"/>
      <c r="AF2559" s="46" t="n"/>
      <c r="AG2559" s="46" t="n"/>
      <c r="AH2559" s="46" t="n"/>
      <c r="AI2559" s="46" t="n"/>
      <c r="AJ2559" s="46" t="n"/>
      <c r="AK2559" s="46" t="n"/>
      <c r="AL2559" s="46" t="n"/>
      <c r="AM2559" s="46" t="n"/>
      <c r="AN2559" s="46" t="n"/>
      <c r="AO2559" s="46" t="n"/>
      <c r="AP2559" s="46" t="n"/>
      <c r="AQ2559" s="46" t="n"/>
      <c r="AR2559" s="46" t="n"/>
      <c r="AS2559" s="46" t="n"/>
      <c r="AV2559" s="36">
        <f>IF($C2559="","",EMPLOYES!M32)</f>
        <v/>
      </c>
      <c r="AW2559" s="36">
        <f>IF($C2559="",0,SUMPRODUCT(--(O2559:AS2559="C")))</f>
        <v/>
      </c>
      <c r="AX2559" s="36">
        <f>IF($C2559="",0,SUMPRODUCT(--(O2559:AS2559="R")))</f>
        <v/>
      </c>
      <c r="AY2559" s="44" t="n"/>
    </row>
    <row r="2560" hidden="1" outlineLevel="1" ht="15" customHeight="1" s="15">
      <c r="B2560" s="41" t="n">
        <v>11</v>
      </c>
      <c r="C2560" s="42">
        <f>IF(EMPLOYES!C33="","",EMPLOYES!C33)</f>
        <v/>
      </c>
      <c r="D2560" s="43">
        <f>IF(EMPLOYES!C33="","",EMPLOYES!D33)</f>
        <v/>
      </c>
      <c r="E2560" s="44" t="n"/>
      <c r="F2560" s="42" t="n"/>
      <c r="G2560" s="41">
        <f>IF($C2560="",0,MAX(0,$M2560-$N2560))</f>
        <v/>
      </c>
      <c r="H2560" s="45" t="n"/>
      <c r="I2560" s="41">
        <f>IF($C2560="","",IF(H2560="","OK",IF(H2560&gt;EMPLOYES!P33,"⚠ Avance &gt; salaire",IF(H2560&gt;EMPLOYES!P33*PARAMETRES!$C$218,"⚠ Avance élevée","OK"))))</f>
        <v/>
      </c>
      <c r="J2560" s="45" t="n"/>
      <c r="K2560" s="46" t="n"/>
      <c r="L2560" s="46" t="n"/>
      <c r="M2560" s="41">
        <f>IF($C2560="","",SUMPRODUCT((PARAMETRES!$B$38:$B$157=PARAMETRES!$C$29)*(PARAMETRES!$C$38:$C$157=11)*(IF(EMPLOYES!M33="5j",PARAMETRES!$I$38:$I$157,PARAMETRES!$H$38:$H$157))))</f>
        <v/>
      </c>
      <c r="N2560" s="41">
        <f>IF($C2560="","",SUMPRODUCT((O2560:AS2560="P")+(O2560:AS2560="F")+(O2560:AS2560="C")+0.5*(O2560:AS2560="D"),(1-((O2539:AS2539=6)*(EMPLOYES!M33="5j")))))</f>
        <v/>
      </c>
      <c r="O2560" s="46" t="n"/>
      <c r="P2560" s="46" t="n"/>
      <c r="Q2560" s="46" t="n"/>
      <c r="R2560" s="46" t="n"/>
      <c r="S2560" s="46" t="n"/>
      <c r="T2560" s="46" t="n"/>
      <c r="U2560" s="46" t="n"/>
      <c r="V2560" s="46" t="n"/>
      <c r="W2560" s="46" t="n"/>
      <c r="X2560" s="46" t="n"/>
      <c r="Y2560" s="46" t="n"/>
      <c r="Z2560" s="46" t="n"/>
      <c r="AA2560" s="46" t="n"/>
      <c r="AB2560" s="46" t="n"/>
      <c r="AC2560" s="46" t="n"/>
      <c r="AD2560" s="46" t="n"/>
      <c r="AE2560" s="46" t="n"/>
      <c r="AF2560" s="46" t="n"/>
      <c r="AG2560" s="46" t="n"/>
      <c r="AH2560" s="46" t="n"/>
      <c r="AI2560" s="46" t="n"/>
      <c r="AJ2560" s="46" t="n"/>
      <c r="AK2560" s="46" t="n"/>
      <c r="AL2560" s="46" t="n"/>
      <c r="AM2560" s="46" t="n"/>
      <c r="AN2560" s="46" t="n"/>
      <c r="AO2560" s="46" t="n"/>
      <c r="AP2560" s="46" t="n"/>
      <c r="AQ2560" s="46" t="n"/>
      <c r="AR2560" s="46" t="n"/>
      <c r="AS2560" s="46" t="n"/>
      <c r="AV2560" s="36">
        <f>IF($C2560="","",EMPLOYES!M33)</f>
        <v/>
      </c>
      <c r="AW2560" s="36">
        <f>IF($C2560="",0,SUMPRODUCT(--(O2560:AS2560="C")))</f>
        <v/>
      </c>
      <c r="AX2560" s="36">
        <f>IF($C2560="",0,SUMPRODUCT(--(O2560:AS2560="R")))</f>
        <v/>
      </c>
      <c r="AY2560" s="44" t="n"/>
    </row>
    <row r="2561" hidden="1" outlineLevel="1" ht="15" customHeight="1" s="15">
      <c r="B2561" s="41" t="n">
        <v>11</v>
      </c>
      <c r="C2561" s="42">
        <f>IF(EMPLOYES!C34="","",EMPLOYES!C34)</f>
        <v/>
      </c>
      <c r="D2561" s="43">
        <f>IF(EMPLOYES!C34="","",EMPLOYES!D34)</f>
        <v/>
      </c>
      <c r="E2561" s="44" t="n"/>
      <c r="F2561" s="42" t="n"/>
      <c r="G2561" s="41">
        <f>IF($C2561="",0,MAX(0,$M2561-$N2561))</f>
        <v/>
      </c>
      <c r="H2561" s="45" t="n"/>
      <c r="I2561" s="41">
        <f>IF($C2561="","",IF(H2561="","OK",IF(H2561&gt;EMPLOYES!P34,"⚠ Avance &gt; salaire",IF(H2561&gt;EMPLOYES!P34*PARAMETRES!$C$218,"⚠ Avance élevée","OK"))))</f>
        <v/>
      </c>
      <c r="J2561" s="45" t="n"/>
      <c r="K2561" s="46" t="n"/>
      <c r="L2561" s="46" t="n"/>
      <c r="M2561" s="41">
        <f>IF($C2561="","",SUMPRODUCT((PARAMETRES!$B$38:$B$157=PARAMETRES!$C$29)*(PARAMETRES!$C$38:$C$157=11)*(IF(EMPLOYES!M34="5j",PARAMETRES!$I$38:$I$157,PARAMETRES!$H$38:$H$157))))</f>
        <v/>
      </c>
      <c r="N2561" s="41">
        <f>IF($C2561="","",SUMPRODUCT((O2561:AS2561="P")+(O2561:AS2561="F")+(O2561:AS2561="C")+0.5*(O2561:AS2561="D"),(1-((O2539:AS2539=6)*(EMPLOYES!M34="5j")))))</f>
        <v/>
      </c>
      <c r="O2561" s="46" t="n"/>
      <c r="P2561" s="46" t="n"/>
      <c r="Q2561" s="46" t="n"/>
      <c r="R2561" s="46" t="n"/>
      <c r="S2561" s="46" t="n"/>
      <c r="T2561" s="46" t="n"/>
      <c r="U2561" s="46" t="n"/>
      <c r="V2561" s="46" t="n"/>
      <c r="W2561" s="46" t="n"/>
      <c r="X2561" s="46" t="n"/>
      <c r="Y2561" s="46" t="n"/>
      <c r="Z2561" s="46" t="n"/>
      <c r="AA2561" s="46" t="n"/>
      <c r="AB2561" s="46" t="n"/>
      <c r="AC2561" s="46" t="n"/>
      <c r="AD2561" s="46" t="n"/>
      <c r="AE2561" s="46" t="n"/>
      <c r="AF2561" s="46" t="n"/>
      <c r="AG2561" s="46" t="n"/>
      <c r="AH2561" s="46" t="n"/>
      <c r="AI2561" s="46" t="n"/>
      <c r="AJ2561" s="46" t="n"/>
      <c r="AK2561" s="46" t="n"/>
      <c r="AL2561" s="46" t="n"/>
      <c r="AM2561" s="46" t="n"/>
      <c r="AN2561" s="46" t="n"/>
      <c r="AO2561" s="46" t="n"/>
      <c r="AP2561" s="46" t="n"/>
      <c r="AQ2561" s="46" t="n"/>
      <c r="AR2561" s="46" t="n"/>
      <c r="AS2561" s="46" t="n"/>
      <c r="AV2561" s="36">
        <f>IF($C2561="","",EMPLOYES!M34)</f>
        <v/>
      </c>
      <c r="AW2561" s="36">
        <f>IF($C2561="",0,SUMPRODUCT(--(O2561:AS2561="C")))</f>
        <v/>
      </c>
      <c r="AX2561" s="36">
        <f>IF($C2561="",0,SUMPRODUCT(--(O2561:AS2561="R")))</f>
        <v/>
      </c>
      <c r="AY2561" s="44" t="n"/>
    </row>
    <row r="2562" hidden="1" outlineLevel="1" ht="15" customHeight="1" s="15">
      <c r="B2562" s="41" t="n">
        <v>11</v>
      </c>
      <c r="C2562" s="42">
        <f>IF(EMPLOYES!C35="","",EMPLOYES!C35)</f>
        <v/>
      </c>
      <c r="D2562" s="43">
        <f>IF(EMPLOYES!C35="","",EMPLOYES!D35)</f>
        <v/>
      </c>
      <c r="E2562" s="44" t="n"/>
      <c r="F2562" s="42" t="n"/>
      <c r="G2562" s="41">
        <f>IF($C2562="",0,MAX(0,$M2562-$N2562))</f>
        <v/>
      </c>
      <c r="H2562" s="45" t="n"/>
      <c r="I2562" s="41">
        <f>IF($C2562="","",IF(H2562="","OK",IF(H2562&gt;EMPLOYES!P35,"⚠ Avance &gt; salaire",IF(H2562&gt;EMPLOYES!P35*PARAMETRES!$C$218,"⚠ Avance élevée","OK"))))</f>
        <v/>
      </c>
      <c r="J2562" s="45" t="n"/>
      <c r="K2562" s="46" t="n"/>
      <c r="L2562" s="46" t="n"/>
      <c r="M2562" s="41">
        <f>IF($C2562="","",SUMPRODUCT((PARAMETRES!$B$38:$B$157=PARAMETRES!$C$29)*(PARAMETRES!$C$38:$C$157=11)*(IF(EMPLOYES!M35="5j",PARAMETRES!$I$38:$I$157,PARAMETRES!$H$38:$H$157))))</f>
        <v/>
      </c>
      <c r="N2562" s="41">
        <f>IF($C2562="","",SUMPRODUCT((O2562:AS2562="P")+(O2562:AS2562="F")+(O2562:AS2562="C")+0.5*(O2562:AS2562="D"),(1-((O2539:AS2539=6)*(EMPLOYES!M35="5j")))))</f>
        <v/>
      </c>
      <c r="O2562" s="46" t="n"/>
      <c r="P2562" s="46" t="n"/>
      <c r="Q2562" s="46" t="n"/>
      <c r="R2562" s="46" t="n"/>
      <c r="S2562" s="46" t="n"/>
      <c r="T2562" s="46" t="n"/>
      <c r="U2562" s="46" t="n"/>
      <c r="V2562" s="46" t="n"/>
      <c r="W2562" s="46" t="n"/>
      <c r="X2562" s="46" t="n"/>
      <c r="Y2562" s="46" t="n"/>
      <c r="Z2562" s="46" t="n"/>
      <c r="AA2562" s="46" t="n"/>
      <c r="AB2562" s="46" t="n"/>
      <c r="AC2562" s="46" t="n"/>
      <c r="AD2562" s="46" t="n"/>
      <c r="AE2562" s="46" t="n"/>
      <c r="AF2562" s="46" t="n"/>
      <c r="AG2562" s="46" t="n"/>
      <c r="AH2562" s="46" t="n"/>
      <c r="AI2562" s="46" t="n"/>
      <c r="AJ2562" s="46" t="n"/>
      <c r="AK2562" s="46" t="n"/>
      <c r="AL2562" s="46" t="n"/>
      <c r="AM2562" s="46" t="n"/>
      <c r="AN2562" s="46" t="n"/>
      <c r="AO2562" s="46" t="n"/>
      <c r="AP2562" s="46" t="n"/>
      <c r="AQ2562" s="46" t="n"/>
      <c r="AR2562" s="46" t="n"/>
      <c r="AS2562" s="46" t="n"/>
      <c r="AV2562" s="36">
        <f>IF($C2562="","",EMPLOYES!M35)</f>
        <v/>
      </c>
      <c r="AW2562" s="36">
        <f>IF($C2562="",0,SUMPRODUCT(--(O2562:AS2562="C")))</f>
        <v/>
      </c>
      <c r="AX2562" s="36">
        <f>IF($C2562="",0,SUMPRODUCT(--(O2562:AS2562="R")))</f>
        <v/>
      </c>
      <c r="AY2562" s="44" t="n"/>
    </row>
    <row r="2563" hidden="1" outlineLevel="1" ht="15" customHeight="1" s="15">
      <c r="B2563" s="41" t="n">
        <v>11</v>
      </c>
      <c r="C2563" s="42">
        <f>IF(EMPLOYES!C36="","",EMPLOYES!C36)</f>
        <v/>
      </c>
      <c r="D2563" s="43">
        <f>IF(EMPLOYES!C36="","",EMPLOYES!D36)</f>
        <v/>
      </c>
      <c r="E2563" s="44" t="n"/>
      <c r="F2563" s="42" t="n"/>
      <c r="G2563" s="41">
        <f>IF($C2563="",0,MAX(0,$M2563-$N2563))</f>
        <v/>
      </c>
      <c r="H2563" s="45" t="n"/>
      <c r="I2563" s="41">
        <f>IF($C2563="","",IF(H2563="","OK",IF(H2563&gt;EMPLOYES!P36,"⚠ Avance &gt; salaire",IF(H2563&gt;EMPLOYES!P36*PARAMETRES!$C$218,"⚠ Avance élevée","OK"))))</f>
        <v/>
      </c>
      <c r="J2563" s="45" t="n"/>
      <c r="K2563" s="46" t="n"/>
      <c r="L2563" s="46" t="n"/>
      <c r="M2563" s="41">
        <f>IF($C2563="","",SUMPRODUCT((PARAMETRES!$B$38:$B$157=PARAMETRES!$C$29)*(PARAMETRES!$C$38:$C$157=11)*(IF(EMPLOYES!M36="5j",PARAMETRES!$I$38:$I$157,PARAMETRES!$H$38:$H$157))))</f>
        <v/>
      </c>
      <c r="N2563" s="41">
        <f>IF($C2563="","",SUMPRODUCT((O2563:AS2563="P")+(O2563:AS2563="F")+(O2563:AS2563="C")+0.5*(O2563:AS2563="D"),(1-((O2539:AS2539=6)*(EMPLOYES!M36="5j")))))</f>
        <v/>
      </c>
      <c r="O2563" s="46" t="n"/>
      <c r="P2563" s="46" t="n"/>
      <c r="Q2563" s="46" t="n"/>
      <c r="R2563" s="46" t="n"/>
      <c r="S2563" s="46" t="n"/>
      <c r="T2563" s="46" t="n"/>
      <c r="U2563" s="46" t="n"/>
      <c r="V2563" s="46" t="n"/>
      <c r="W2563" s="46" t="n"/>
      <c r="X2563" s="46" t="n"/>
      <c r="Y2563" s="46" t="n"/>
      <c r="Z2563" s="46" t="n"/>
      <c r="AA2563" s="46" t="n"/>
      <c r="AB2563" s="46" t="n"/>
      <c r="AC2563" s="46" t="n"/>
      <c r="AD2563" s="46" t="n"/>
      <c r="AE2563" s="46" t="n"/>
      <c r="AF2563" s="46" t="n"/>
      <c r="AG2563" s="46" t="n"/>
      <c r="AH2563" s="46" t="n"/>
      <c r="AI2563" s="46" t="n"/>
      <c r="AJ2563" s="46" t="n"/>
      <c r="AK2563" s="46" t="n"/>
      <c r="AL2563" s="46" t="n"/>
      <c r="AM2563" s="46" t="n"/>
      <c r="AN2563" s="46" t="n"/>
      <c r="AO2563" s="46" t="n"/>
      <c r="AP2563" s="46" t="n"/>
      <c r="AQ2563" s="46" t="n"/>
      <c r="AR2563" s="46" t="n"/>
      <c r="AS2563" s="46" t="n"/>
      <c r="AV2563" s="36">
        <f>IF($C2563="","",EMPLOYES!M36)</f>
        <v/>
      </c>
      <c r="AW2563" s="36">
        <f>IF($C2563="",0,SUMPRODUCT(--(O2563:AS2563="C")))</f>
        <v/>
      </c>
      <c r="AX2563" s="36">
        <f>IF($C2563="",0,SUMPRODUCT(--(O2563:AS2563="R")))</f>
        <v/>
      </c>
      <c r="AY2563" s="44" t="n"/>
    </row>
    <row r="2564" hidden="1" outlineLevel="1" ht="15" customHeight="1" s="15">
      <c r="B2564" s="41" t="n">
        <v>11</v>
      </c>
      <c r="C2564" s="42">
        <f>IF(EMPLOYES!C37="","",EMPLOYES!C37)</f>
        <v/>
      </c>
      <c r="D2564" s="43">
        <f>IF(EMPLOYES!C37="","",EMPLOYES!D37)</f>
        <v/>
      </c>
      <c r="E2564" s="44" t="n"/>
      <c r="F2564" s="42" t="n"/>
      <c r="G2564" s="41">
        <f>IF($C2564="",0,MAX(0,$M2564-$N2564))</f>
        <v/>
      </c>
      <c r="H2564" s="45" t="n"/>
      <c r="I2564" s="41">
        <f>IF($C2564="","",IF(H2564="","OK",IF(H2564&gt;EMPLOYES!P37,"⚠ Avance &gt; salaire",IF(H2564&gt;EMPLOYES!P37*PARAMETRES!$C$218,"⚠ Avance élevée","OK"))))</f>
        <v/>
      </c>
      <c r="J2564" s="45" t="n"/>
      <c r="K2564" s="46" t="n"/>
      <c r="L2564" s="46" t="n"/>
      <c r="M2564" s="41">
        <f>IF($C2564="","",SUMPRODUCT((PARAMETRES!$B$38:$B$157=PARAMETRES!$C$29)*(PARAMETRES!$C$38:$C$157=11)*(IF(EMPLOYES!M37="5j",PARAMETRES!$I$38:$I$157,PARAMETRES!$H$38:$H$157))))</f>
        <v/>
      </c>
      <c r="N2564" s="41">
        <f>IF($C2564="","",SUMPRODUCT((O2564:AS2564="P")+(O2564:AS2564="F")+(O2564:AS2564="C")+0.5*(O2564:AS2564="D"),(1-((O2539:AS2539=6)*(EMPLOYES!M37="5j")))))</f>
        <v/>
      </c>
      <c r="O2564" s="46" t="n"/>
      <c r="P2564" s="46" t="n"/>
      <c r="Q2564" s="46" t="n"/>
      <c r="R2564" s="46" t="n"/>
      <c r="S2564" s="46" t="n"/>
      <c r="T2564" s="46" t="n"/>
      <c r="U2564" s="46" t="n"/>
      <c r="V2564" s="46" t="n"/>
      <c r="W2564" s="46" t="n"/>
      <c r="X2564" s="46" t="n"/>
      <c r="Y2564" s="46" t="n"/>
      <c r="Z2564" s="46" t="n"/>
      <c r="AA2564" s="46" t="n"/>
      <c r="AB2564" s="46" t="n"/>
      <c r="AC2564" s="46" t="n"/>
      <c r="AD2564" s="46" t="n"/>
      <c r="AE2564" s="46" t="n"/>
      <c r="AF2564" s="46" t="n"/>
      <c r="AG2564" s="46" t="n"/>
      <c r="AH2564" s="46" t="n"/>
      <c r="AI2564" s="46" t="n"/>
      <c r="AJ2564" s="46" t="n"/>
      <c r="AK2564" s="46" t="n"/>
      <c r="AL2564" s="46" t="n"/>
      <c r="AM2564" s="46" t="n"/>
      <c r="AN2564" s="46" t="n"/>
      <c r="AO2564" s="46" t="n"/>
      <c r="AP2564" s="46" t="n"/>
      <c r="AQ2564" s="46" t="n"/>
      <c r="AR2564" s="46" t="n"/>
      <c r="AS2564" s="46" t="n"/>
      <c r="AV2564" s="36">
        <f>IF($C2564="","",EMPLOYES!M37)</f>
        <v/>
      </c>
      <c r="AW2564" s="36">
        <f>IF($C2564="",0,SUMPRODUCT(--(O2564:AS2564="C")))</f>
        <v/>
      </c>
      <c r="AX2564" s="36">
        <f>IF($C2564="",0,SUMPRODUCT(--(O2564:AS2564="R")))</f>
        <v/>
      </c>
      <c r="AY2564" s="44" t="n"/>
    </row>
    <row r="2565" hidden="1" outlineLevel="1" ht="15" customHeight="1" s="15">
      <c r="B2565" s="41" t="n">
        <v>11</v>
      </c>
      <c r="C2565" s="42">
        <f>IF(EMPLOYES!C38="","",EMPLOYES!C38)</f>
        <v/>
      </c>
      <c r="D2565" s="43">
        <f>IF(EMPLOYES!C38="","",EMPLOYES!D38)</f>
        <v/>
      </c>
      <c r="E2565" s="44" t="n"/>
      <c r="F2565" s="42" t="n"/>
      <c r="G2565" s="41">
        <f>IF($C2565="",0,MAX(0,$M2565-$N2565))</f>
        <v/>
      </c>
      <c r="H2565" s="45" t="n"/>
      <c r="I2565" s="41">
        <f>IF($C2565="","",IF(H2565="","OK",IF(H2565&gt;EMPLOYES!P38,"⚠ Avance &gt; salaire",IF(H2565&gt;EMPLOYES!P38*PARAMETRES!$C$218,"⚠ Avance élevée","OK"))))</f>
        <v/>
      </c>
      <c r="J2565" s="45" t="n"/>
      <c r="K2565" s="46" t="n"/>
      <c r="L2565" s="46" t="n"/>
      <c r="M2565" s="41">
        <f>IF($C2565="","",SUMPRODUCT((PARAMETRES!$B$38:$B$157=PARAMETRES!$C$29)*(PARAMETRES!$C$38:$C$157=11)*(IF(EMPLOYES!M38="5j",PARAMETRES!$I$38:$I$157,PARAMETRES!$H$38:$H$157))))</f>
        <v/>
      </c>
      <c r="N2565" s="41">
        <f>IF($C2565="","",SUMPRODUCT((O2565:AS2565="P")+(O2565:AS2565="F")+(O2565:AS2565="C")+0.5*(O2565:AS2565="D"),(1-((O2539:AS2539=6)*(EMPLOYES!M38="5j")))))</f>
        <v/>
      </c>
      <c r="O2565" s="46" t="n"/>
      <c r="P2565" s="46" t="n"/>
      <c r="Q2565" s="46" t="n"/>
      <c r="R2565" s="46" t="n"/>
      <c r="S2565" s="46" t="n"/>
      <c r="T2565" s="46" t="n"/>
      <c r="U2565" s="46" t="n"/>
      <c r="V2565" s="46" t="n"/>
      <c r="W2565" s="46" t="n"/>
      <c r="X2565" s="46" t="n"/>
      <c r="Y2565" s="46" t="n"/>
      <c r="Z2565" s="46" t="n"/>
      <c r="AA2565" s="46" t="n"/>
      <c r="AB2565" s="46" t="n"/>
      <c r="AC2565" s="46" t="n"/>
      <c r="AD2565" s="46" t="n"/>
      <c r="AE2565" s="46" t="n"/>
      <c r="AF2565" s="46" t="n"/>
      <c r="AG2565" s="46" t="n"/>
      <c r="AH2565" s="46" t="n"/>
      <c r="AI2565" s="46" t="n"/>
      <c r="AJ2565" s="46" t="n"/>
      <c r="AK2565" s="46" t="n"/>
      <c r="AL2565" s="46" t="n"/>
      <c r="AM2565" s="46" t="n"/>
      <c r="AN2565" s="46" t="n"/>
      <c r="AO2565" s="46" t="n"/>
      <c r="AP2565" s="46" t="n"/>
      <c r="AQ2565" s="46" t="n"/>
      <c r="AR2565" s="46" t="n"/>
      <c r="AS2565" s="46" t="n"/>
      <c r="AV2565" s="36">
        <f>IF($C2565="","",EMPLOYES!M38)</f>
        <v/>
      </c>
      <c r="AW2565" s="36">
        <f>IF($C2565="",0,SUMPRODUCT(--(O2565:AS2565="C")))</f>
        <v/>
      </c>
      <c r="AX2565" s="36">
        <f>IF($C2565="",0,SUMPRODUCT(--(O2565:AS2565="R")))</f>
        <v/>
      </c>
      <c r="AY2565" s="44" t="n"/>
    </row>
    <row r="2566" hidden="1" outlineLevel="1" ht="15" customHeight="1" s="15">
      <c r="B2566" s="41" t="n">
        <v>11</v>
      </c>
      <c r="C2566" s="42">
        <f>IF(EMPLOYES!C39="","",EMPLOYES!C39)</f>
        <v/>
      </c>
      <c r="D2566" s="43">
        <f>IF(EMPLOYES!C39="","",EMPLOYES!D39)</f>
        <v/>
      </c>
      <c r="E2566" s="44" t="n"/>
      <c r="F2566" s="42" t="n"/>
      <c r="G2566" s="41">
        <f>IF($C2566="",0,MAX(0,$M2566-$N2566))</f>
        <v/>
      </c>
      <c r="H2566" s="45" t="n"/>
      <c r="I2566" s="41">
        <f>IF($C2566="","",IF(H2566="","OK",IF(H2566&gt;EMPLOYES!P39,"⚠ Avance &gt; salaire",IF(H2566&gt;EMPLOYES!P39*PARAMETRES!$C$218,"⚠ Avance élevée","OK"))))</f>
        <v/>
      </c>
      <c r="J2566" s="45" t="n"/>
      <c r="K2566" s="46" t="n"/>
      <c r="L2566" s="46" t="n"/>
      <c r="M2566" s="41">
        <f>IF($C2566="","",SUMPRODUCT((PARAMETRES!$B$38:$B$157=PARAMETRES!$C$29)*(PARAMETRES!$C$38:$C$157=11)*(IF(EMPLOYES!M39="5j",PARAMETRES!$I$38:$I$157,PARAMETRES!$H$38:$H$157))))</f>
        <v/>
      </c>
      <c r="N2566" s="41">
        <f>IF($C2566="","",SUMPRODUCT((O2566:AS2566="P")+(O2566:AS2566="F")+(O2566:AS2566="C")+0.5*(O2566:AS2566="D"),(1-((O2539:AS2539=6)*(EMPLOYES!M39="5j")))))</f>
        <v/>
      </c>
      <c r="O2566" s="46" t="n"/>
      <c r="P2566" s="46" t="n"/>
      <c r="Q2566" s="46" t="n"/>
      <c r="R2566" s="46" t="n"/>
      <c r="S2566" s="46" t="n"/>
      <c r="T2566" s="46" t="n"/>
      <c r="U2566" s="46" t="n"/>
      <c r="V2566" s="46" t="n"/>
      <c r="W2566" s="46" t="n"/>
      <c r="X2566" s="46" t="n"/>
      <c r="Y2566" s="46" t="n"/>
      <c r="Z2566" s="46" t="n"/>
      <c r="AA2566" s="46" t="n"/>
      <c r="AB2566" s="46" t="n"/>
      <c r="AC2566" s="46" t="n"/>
      <c r="AD2566" s="46" t="n"/>
      <c r="AE2566" s="46" t="n"/>
      <c r="AF2566" s="46" t="n"/>
      <c r="AG2566" s="46" t="n"/>
      <c r="AH2566" s="46" t="n"/>
      <c r="AI2566" s="46" t="n"/>
      <c r="AJ2566" s="46" t="n"/>
      <c r="AK2566" s="46" t="n"/>
      <c r="AL2566" s="46" t="n"/>
      <c r="AM2566" s="46" t="n"/>
      <c r="AN2566" s="46" t="n"/>
      <c r="AO2566" s="46" t="n"/>
      <c r="AP2566" s="46" t="n"/>
      <c r="AQ2566" s="46" t="n"/>
      <c r="AR2566" s="46" t="n"/>
      <c r="AS2566" s="46" t="n"/>
      <c r="AV2566" s="36">
        <f>IF($C2566="","",EMPLOYES!M39)</f>
        <v/>
      </c>
      <c r="AW2566" s="36">
        <f>IF($C2566="",0,SUMPRODUCT(--(O2566:AS2566="C")))</f>
        <v/>
      </c>
      <c r="AX2566" s="36">
        <f>IF($C2566="",0,SUMPRODUCT(--(O2566:AS2566="R")))</f>
        <v/>
      </c>
      <c r="AY2566" s="44" t="n"/>
    </row>
    <row r="2567" hidden="1" outlineLevel="1" ht="15" customHeight="1" s="15">
      <c r="B2567" s="41" t="n">
        <v>11</v>
      </c>
      <c r="C2567" s="42">
        <f>IF(EMPLOYES!C40="","",EMPLOYES!C40)</f>
        <v/>
      </c>
      <c r="D2567" s="43">
        <f>IF(EMPLOYES!C40="","",EMPLOYES!D40)</f>
        <v/>
      </c>
      <c r="E2567" s="44" t="n"/>
      <c r="F2567" s="42" t="n"/>
      <c r="G2567" s="41">
        <f>IF($C2567="",0,MAX(0,$M2567-$N2567))</f>
        <v/>
      </c>
      <c r="H2567" s="45" t="n"/>
      <c r="I2567" s="41">
        <f>IF($C2567="","",IF(H2567="","OK",IF(H2567&gt;EMPLOYES!P40,"⚠ Avance &gt; salaire",IF(H2567&gt;EMPLOYES!P40*PARAMETRES!$C$218,"⚠ Avance élevée","OK"))))</f>
        <v/>
      </c>
      <c r="J2567" s="45" t="n"/>
      <c r="K2567" s="46" t="n"/>
      <c r="L2567" s="46" t="n"/>
      <c r="M2567" s="41">
        <f>IF($C2567="","",SUMPRODUCT((PARAMETRES!$B$38:$B$157=PARAMETRES!$C$29)*(PARAMETRES!$C$38:$C$157=11)*(IF(EMPLOYES!M40="5j",PARAMETRES!$I$38:$I$157,PARAMETRES!$H$38:$H$157))))</f>
        <v/>
      </c>
      <c r="N2567" s="41">
        <f>IF($C2567="","",SUMPRODUCT((O2567:AS2567="P")+(O2567:AS2567="F")+(O2567:AS2567="C")+0.5*(O2567:AS2567="D"),(1-((O2539:AS2539=6)*(EMPLOYES!M40="5j")))))</f>
        <v/>
      </c>
      <c r="O2567" s="46" t="n"/>
      <c r="P2567" s="46" t="n"/>
      <c r="Q2567" s="46" t="n"/>
      <c r="R2567" s="46" t="n"/>
      <c r="S2567" s="46" t="n"/>
      <c r="T2567" s="46" t="n"/>
      <c r="U2567" s="46" t="n"/>
      <c r="V2567" s="46" t="n"/>
      <c r="W2567" s="46" t="n"/>
      <c r="X2567" s="46" t="n"/>
      <c r="Y2567" s="46" t="n"/>
      <c r="Z2567" s="46" t="n"/>
      <c r="AA2567" s="46" t="n"/>
      <c r="AB2567" s="46" t="n"/>
      <c r="AC2567" s="46" t="n"/>
      <c r="AD2567" s="46" t="n"/>
      <c r="AE2567" s="46" t="n"/>
      <c r="AF2567" s="46" t="n"/>
      <c r="AG2567" s="46" t="n"/>
      <c r="AH2567" s="46" t="n"/>
      <c r="AI2567" s="46" t="n"/>
      <c r="AJ2567" s="46" t="n"/>
      <c r="AK2567" s="46" t="n"/>
      <c r="AL2567" s="46" t="n"/>
      <c r="AM2567" s="46" t="n"/>
      <c r="AN2567" s="46" t="n"/>
      <c r="AO2567" s="46" t="n"/>
      <c r="AP2567" s="46" t="n"/>
      <c r="AQ2567" s="46" t="n"/>
      <c r="AR2567" s="46" t="n"/>
      <c r="AS2567" s="46" t="n"/>
      <c r="AV2567" s="36">
        <f>IF($C2567="","",EMPLOYES!M40)</f>
        <v/>
      </c>
      <c r="AW2567" s="36">
        <f>IF($C2567="",0,SUMPRODUCT(--(O2567:AS2567="C")))</f>
        <v/>
      </c>
      <c r="AX2567" s="36">
        <f>IF($C2567="",0,SUMPRODUCT(--(O2567:AS2567="R")))</f>
        <v/>
      </c>
      <c r="AY2567" s="44" t="n"/>
    </row>
    <row r="2568" hidden="1" outlineLevel="1" ht="15" customHeight="1" s="15">
      <c r="B2568" s="41" t="n">
        <v>11</v>
      </c>
      <c r="C2568" s="42">
        <f>IF(EMPLOYES!C41="","",EMPLOYES!C41)</f>
        <v/>
      </c>
      <c r="D2568" s="43">
        <f>IF(EMPLOYES!C41="","",EMPLOYES!D41)</f>
        <v/>
      </c>
      <c r="E2568" s="44" t="n"/>
      <c r="F2568" s="42" t="n"/>
      <c r="G2568" s="41">
        <f>IF($C2568="",0,MAX(0,$M2568-$N2568))</f>
        <v/>
      </c>
      <c r="H2568" s="45" t="n"/>
      <c r="I2568" s="41">
        <f>IF($C2568="","",IF(H2568="","OK",IF(H2568&gt;EMPLOYES!P41,"⚠ Avance &gt; salaire",IF(H2568&gt;EMPLOYES!P41*PARAMETRES!$C$218,"⚠ Avance élevée","OK"))))</f>
        <v/>
      </c>
      <c r="J2568" s="45" t="n"/>
      <c r="K2568" s="46" t="n"/>
      <c r="L2568" s="46" t="n"/>
      <c r="M2568" s="41">
        <f>IF($C2568="","",SUMPRODUCT((PARAMETRES!$B$38:$B$157=PARAMETRES!$C$29)*(PARAMETRES!$C$38:$C$157=11)*(IF(EMPLOYES!M41="5j",PARAMETRES!$I$38:$I$157,PARAMETRES!$H$38:$H$157))))</f>
        <v/>
      </c>
      <c r="N2568" s="41">
        <f>IF($C2568="","",SUMPRODUCT((O2568:AS2568="P")+(O2568:AS2568="F")+(O2568:AS2568="C")+0.5*(O2568:AS2568="D"),(1-((O2539:AS2539=6)*(EMPLOYES!M41="5j")))))</f>
        <v/>
      </c>
      <c r="O2568" s="46" t="n"/>
      <c r="P2568" s="46" t="n"/>
      <c r="Q2568" s="46" t="n"/>
      <c r="R2568" s="46" t="n"/>
      <c r="S2568" s="46" t="n"/>
      <c r="T2568" s="46" t="n"/>
      <c r="U2568" s="46" t="n"/>
      <c r="V2568" s="46" t="n"/>
      <c r="W2568" s="46" t="n"/>
      <c r="X2568" s="46" t="n"/>
      <c r="Y2568" s="46" t="n"/>
      <c r="Z2568" s="46" t="n"/>
      <c r="AA2568" s="46" t="n"/>
      <c r="AB2568" s="46" t="n"/>
      <c r="AC2568" s="46" t="n"/>
      <c r="AD2568" s="46" t="n"/>
      <c r="AE2568" s="46" t="n"/>
      <c r="AF2568" s="46" t="n"/>
      <c r="AG2568" s="46" t="n"/>
      <c r="AH2568" s="46" t="n"/>
      <c r="AI2568" s="46" t="n"/>
      <c r="AJ2568" s="46" t="n"/>
      <c r="AK2568" s="46" t="n"/>
      <c r="AL2568" s="46" t="n"/>
      <c r="AM2568" s="46" t="n"/>
      <c r="AN2568" s="46" t="n"/>
      <c r="AO2568" s="46" t="n"/>
      <c r="AP2568" s="46" t="n"/>
      <c r="AQ2568" s="46" t="n"/>
      <c r="AR2568" s="46" t="n"/>
      <c r="AS2568" s="46" t="n"/>
      <c r="AV2568" s="36">
        <f>IF($C2568="","",EMPLOYES!M41)</f>
        <v/>
      </c>
      <c r="AW2568" s="36">
        <f>IF($C2568="",0,SUMPRODUCT(--(O2568:AS2568="C")))</f>
        <v/>
      </c>
      <c r="AX2568" s="36">
        <f>IF($C2568="",0,SUMPRODUCT(--(O2568:AS2568="R")))</f>
        <v/>
      </c>
      <c r="AY2568" s="44" t="n"/>
    </row>
    <row r="2569" hidden="1" outlineLevel="1" ht="15" customHeight="1" s="15">
      <c r="B2569" s="41" t="n">
        <v>11</v>
      </c>
      <c r="C2569" s="42">
        <f>IF(EMPLOYES!C42="","",EMPLOYES!C42)</f>
        <v/>
      </c>
      <c r="D2569" s="43">
        <f>IF(EMPLOYES!C42="","",EMPLOYES!D42)</f>
        <v/>
      </c>
      <c r="E2569" s="44" t="n"/>
      <c r="F2569" s="42" t="n"/>
      <c r="G2569" s="41">
        <f>IF($C2569="",0,MAX(0,$M2569-$N2569))</f>
        <v/>
      </c>
      <c r="H2569" s="45" t="n"/>
      <c r="I2569" s="41">
        <f>IF($C2569="","",IF(H2569="","OK",IF(H2569&gt;EMPLOYES!P42,"⚠ Avance &gt; salaire",IF(H2569&gt;EMPLOYES!P42*PARAMETRES!$C$218,"⚠ Avance élevée","OK"))))</f>
        <v/>
      </c>
      <c r="J2569" s="45" t="n"/>
      <c r="K2569" s="46" t="n"/>
      <c r="L2569" s="46" t="n"/>
      <c r="M2569" s="41">
        <f>IF($C2569="","",SUMPRODUCT((PARAMETRES!$B$38:$B$157=PARAMETRES!$C$29)*(PARAMETRES!$C$38:$C$157=11)*(IF(EMPLOYES!M42="5j",PARAMETRES!$I$38:$I$157,PARAMETRES!$H$38:$H$157))))</f>
        <v/>
      </c>
      <c r="N2569" s="41">
        <f>IF($C2569="","",SUMPRODUCT((O2569:AS2569="P")+(O2569:AS2569="F")+(O2569:AS2569="C")+0.5*(O2569:AS2569="D"),(1-((O2539:AS2539=6)*(EMPLOYES!M42="5j")))))</f>
        <v/>
      </c>
      <c r="O2569" s="46" t="n"/>
      <c r="P2569" s="46" t="n"/>
      <c r="Q2569" s="46" t="n"/>
      <c r="R2569" s="46" t="n"/>
      <c r="S2569" s="46" t="n"/>
      <c r="T2569" s="46" t="n"/>
      <c r="U2569" s="46" t="n"/>
      <c r="V2569" s="46" t="n"/>
      <c r="W2569" s="46" t="n"/>
      <c r="X2569" s="46" t="n"/>
      <c r="Y2569" s="46" t="n"/>
      <c r="Z2569" s="46" t="n"/>
      <c r="AA2569" s="46" t="n"/>
      <c r="AB2569" s="46" t="n"/>
      <c r="AC2569" s="46" t="n"/>
      <c r="AD2569" s="46" t="n"/>
      <c r="AE2569" s="46" t="n"/>
      <c r="AF2569" s="46" t="n"/>
      <c r="AG2569" s="46" t="n"/>
      <c r="AH2569" s="46" t="n"/>
      <c r="AI2569" s="46" t="n"/>
      <c r="AJ2569" s="46" t="n"/>
      <c r="AK2569" s="46" t="n"/>
      <c r="AL2569" s="46" t="n"/>
      <c r="AM2569" s="46" t="n"/>
      <c r="AN2569" s="46" t="n"/>
      <c r="AO2569" s="46" t="n"/>
      <c r="AP2569" s="46" t="n"/>
      <c r="AQ2569" s="46" t="n"/>
      <c r="AR2569" s="46" t="n"/>
      <c r="AS2569" s="46" t="n"/>
      <c r="AV2569" s="36">
        <f>IF($C2569="","",EMPLOYES!M42)</f>
        <v/>
      </c>
      <c r="AW2569" s="36">
        <f>IF($C2569="",0,SUMPRODUCT(--(O2569:AS2569="C")))</f>
        <v/>
      </c>
      <c r="AX2569" s="36">
        <f>IF($C2569="",0,SUMPRODUCT(--(O2569:AS2569="R")))</f>
        <v/>
      </c>
      <c r="AY2569" s="44" t="n"/>
    </row>
    <row r="2570" hidden="1" outlineLevel="1" ht="15" customHeight="1" s="15">
      <c r="B2570" s="41" t="n">
        <v>11</v>
      </c>
      <c r="C2570" s="42">
        <f>IF(EMPLOYES!C43="","",EMPLOYES!C43)</f>
        <v/>
      </c>
      <c r="D2570" s="43">
        <f>IF(EMPLOYES!C43="","",EMPLOYES!D43)</f>
        <v/>
      </c>
      <c r="E2570" s="44" t="n"/>
      <c r="F2570" s="42" t="n"/>
      <c r="G2570" s="41">
        <f>IF($C2570="",0,MAX(0,$M2570-$N2570))</f>
        <v/>
      </c>
      <c r="H2570" s="45" t="n"/>
      <c r="I2570" s="41">
        <f>IF($C2570="","",IF(H2570="","OK",IF(H2570&gt;EMPLOYES!P43,"⚠ Avance &gt; salaire",IF(H2570&gt;EMPLOYES!P43*PARAMETRES!$C$218,"⚠ Avance élevée","OK"))))</f>
        <v/>
      </c>
      <c r="J2570" s="45" t="n"/>
      <c r="K2570" s="46" t="n"/>
      <c r="L2570" s="46" t="n"/>
      <c r="M2570" s="41">
        <f>IF($C2570="","",SUMPRODUCT((PARAMETRES!$B$38:$B$157=PARAMETRES!$C$29)*(PARAMETRES!$C$38:$C$157=11)*(IF(EMPLOYES!M43="5j",PARAMETRES!$I$38:$I$157,PARAMETRES!$H$38:$H$157))))</f>
        <v/>
      </c>
      <c r="N2570" s="41">
        <f>IF($C2570="","",SUMPRODUCT((O2570:AS2570="P")+(O2570:AS2570="F")+(O2570:AS2570="C")+0.5*(O2570:AS2570="D"),(1-((O2539:AS2539=6)*(EMPLOYES!M43="5j")))))</f>
        <v/>
      </c>
      <c r="O2570" s="46" t="n"/>
      <c r="P2570" s="46" t="n"/>
      <c r="Q2570" s="46" t="n"/>
      <c r="R2570" s="46" t="n"/>
      <c r="S2570" s="46" t="n"/>
      <c r="T2570" s="46" t="n"/>
      <c r="U2570" s="46" t="n"/>
      <c r="V2570" s="46" t="n"/>
      <c r="W2570" s="46" t="n"/>
      <c r="X2570" s="46" t="n"/>
      <c r="Y2570" s="46" t="n"/>
      <c r="Z2570" s="46" t="n"/>
      <c r="AA2570" s="46" t="n"/>
      <c r="AB2570" s="46" t="n"/>
      <c r="AC2570" s="46" t="n"/>
      <c r="AD2570" s="46" t="n"/>
      <c r="AE2570" s="46" t="n"/>
      <c r="AF2570" s="46" t="n"/>
      <c r="AG2570" s="46" t="n"/>
      <c r="AH2570" s="46" t="n"/>
      <c r="AI2570" s="46" t="n"/>
      <c r="AJ2570" s="46" t="n"/>
      <c r="AK2570" s="46" t="n"/>
      <c r="AL2570" s="46" t="n"/>
      <c r="AM2570" s="46" t="n"/>
      <c r="AN2570" s="46" t="n"/>
      <c r="AO2570" s="46" t="n"/>
      <c r="AP2570" s="46" t="n"/>
      <c r="AQ2570" s="46" t="n"/>
      <c r="AR2570" s="46" t="n"/>
      <c r="AS2570" s="46" t="n"/>
      <c r="AV2570" s="36">
        <f>IF($C2570="","",EMPLOYES!M43)</f>
        <v/>
      </c>
      <c r="AW2570" s="36">
        <f>IF($C2570="",0,SUMPRODUCT(--(O2570:AS2570="C")))</f>
        <v/>
      </c>
      <c r="AX2570" s="36">
        <f>IF($C2570="",0,SUMPRODUCT(--(O2570:AS2570="R")))</f>
        <v/>
      </c>
      <c r="AY2570" s="44" t="n"/>
    </row>
    <row r="2571" hidden="1" outlineLevel="1" ht="15" customHeight="1" s="15">
      <c r="B2571" s="41" t="n">
        <v>11</v>
      </c>
      <c r="C2571" s="42">
        <f>IF(EMPLOYES!C44="","",EMPLOYES!C44)</f>
        <v/>
      </c>
      <c r="D2571" s="43">
        <f>IF(EMPLOYES!C44="","",EMPLOYES!D44)</f>
        <v/>
      </c>
      <c r="E2571" s="44" t="n"/>
      <c r="F2571" s="42" t="n"/>
      <c r="G2571" s="41">
        <f>IF($C2571="",0,MAX(0,$M2571-$N2571))</f>
        <v/>
      </c>
      <c r="H2571" s="45" t="n"/>
      <c r="I2571" s="41">
        <f>IF($C2571="","",IF(H2571="","OK",IF(H2571&gt;EMPLOYES!P44,"⚠ Avance &gt; salaire",IF(H2571&gt;EMPLOYES!P44*PARAMETRES!$C$218,"⚠ Avance élevée","OK"))))</f>
        <v/>
      </c>
      <c r="J2571" s="45" t="n"/>
      <c r="K2571" s="46" t="n"/>
      <c r="L2571" s="46" t="n"/>
      <c r="M2571" s="41">
        <f>IF($C2571="","",SUMPRODUCT((PARAMETRES!$B$38:$B$157=PARAMETRES!$C$29)*(PARAMETRES!$C$38:$C$157=11)*(IF(EMPLOYES!M44="5j",PARAMETRES!$I$38:$I$157,PARAMETRES!$H$38:$H$157))))</f>
        <v/>
      </c>
      <c r="N2571" s="41">
        <f>IF($C2571="","",SUMPRODUCT((O2571:AS2571="P")+(O2571:AS2571="F")+(O2571:AS2571="C")+0.5*(O2571:AS2571="D"),(1-((O2539:AS2539=6)*(EMPLOYES!M44="5j")))))</f>
        <v/>
      </c>
      <c r="O2571" s="46" t="n"/>
      <c r="P2571" s="46" t="n"/>
      <c r="Q2571" s="46" t="n"/>
      <c r="R2571" s="46" t="n"/>
      <c r="S2571" s="46" t="n"/>
      <c r="T2571" s="46" t="n"/>
      <c r="U2571" s="46" t="n"/>
      <c r="V2571" s="46" t="n"/>
      <c r="W2571" s="46" t="n"/>
      <c r="X2571" s="46" t="n"/>
      <c r="Y2571" s="46" t="n"/>
      <c r="Z2571" s="46" t="n"/>
      <c r="AA2571" s="46" t="n"/>
      <c r="AB2571" s="46" t="n"/>
      <c r="AC2571" s="46" t="n"/>
      <c r="AD2571" s="46" t="n"/>
      <c r="AE2571" s="46" t="n"/>
      <c r="AF2571" s="46" t="n"/>
      <c r="AG2571" s="46" t="n"/>
      <c r="AH2571" s="46" t="n"/>
      <c r="AI2571" s="46" t="n"/>
      <c r="AJ2571" s="46" t="n"/>
      <c r="AK2571" s="46" t="n"/>
      <c r="AL2571" s="46" t="n"/>
      <c r="AM2571" s="46" t="n"/>
      <c r="AN2571" s="46" t="n"/>
      <c r="AO2571" s="46" t="n"/>
      <c r="AP2571" s="46" t="n"/>
      <c r="AQ2571" s="46" t="n"/>
      <c r="AR2571" s="46" t="n"/>
      <c r="AS2571" s="46" t="n"/>
      <c r="AV2571" s="36">
        <f>IF($C2571="","",EMPLOYES!M44)</f>
        <v/>
      </c>
      <c r="AW2571" s="36">
        <f>IF($C2571="",0,SUMPRODUCT(--(O2571:AS2571="C")))</f>
        <v/>
      </c>
      <c r="AX2571" s="36">
        <f>IF($C2571="",0,SUMPRODUCT(--(O2571:AS2571="R")))</f>
        <v/>
      </c>
      <c r="AY2571" s="44" t="n"/>
    </row>
    <row r="2572" hidden="1" outlineLevel="1" ht="15" customHeight="1" s="15">
      <c r="B2572" s="41" t="n">
        <v>11</v>
      </c>
      <c r="C2572" s="42">
        <f>IF(EMPLOYES!C45="","",EMPLOYES!C45)</f>
        <v/>
      </c>
      <c r="D2572" s="43">
        <f>IF(EMPLOYES!C45="","",EMPLOYES!D45)</f>
        <v/>
      </c>
      <c r="E2572" s="44" t="n"/>
      <c r="F2572" s="42" t="n"/>
      <c r="G2572" s="41">
        <f>IF($C2572="",0,MAX(0,$M2572-$N2572))</f>
        <v/>
      </c>
      <c r="H2572" s="45" t="n"/>
      <c r="I2572" s="41">
        <f>IF($C2572="","",IF(H2572="","OK",IF(H2572&gt;EMPLOYES!P45,"⚠ Avance &gt; salaire",IF(H2572&gt;EMPLOYES!P45*PARAMETRES!$C$218,"⚠ Avance élevée","OK"))))</f>
        <v/>
      </c>
      <c r="J2572" s="45" t="n"/>
      <c r="K2572" s="46" t="n"/>
      <c r="L2572" s="46" t="n"/>
      <c r="M2572" s="41">
        <f>IF($C2572="","",SUMPRODUCT((PARAMETRES!$B$38:$B$157=PARAMETRES!$C$29)*(PARAMETRES!$C$38:$C$157=11)*(IF(EMPLOYES!M45="5j",PARAMETRES!$I$38:$I$157,PARAMETRES!$H$38:$H$157))))</f>
        <v/>
      </c>
      <c r="N2572" s="41">
        <f>IF($C2572="","",SUMPRODUCT((O2572:AS2572="P")+(O2572:AS2572="F")+(O2572:AS2572="C")+0.5*(O2572:AS2572="D"),(1-((O2539:AS2539=6)*(EMPLOYES!M45="5j")))))</f>
        <v/>
      </c>
      <c r="O2572" s="46" t="n"/>
      <c r="P2572" s="46" t="n"/>
      <c r="Q2572" s="46" t="n"/>
      <c r="R2572" s="46" t="n"/>
      <c r="S2572" s="46" t="n"/>
      <c r="T2572" s="46" t="n"/>
      <c r="U2572" s="46" t="n"/>
      <c r="V2572" s="46" t="n"/>
      <c r="W2572" s="46" t="n"/>
      <c r="X2572" s="46" t="n"/>
      <c r="Y2572" s="46" t="n"/>
      <c r="Z2572" s="46" t="n"/>
      <c r="AA2572" s="46" t="n"/>
      <c r="AB2572" s="46" t="n"/>
      <c r="AC2572" s="46" t="n"/>
      <c r="AD2572" s="46" t="n"/>
      <c r="AE2572" s="46" t="n"/>
      <c r="AF2572" s="46" t="n"/>
      <c r="AG2572" s="46" t="n"/>
      <c r="AH2572" s="46" t="n"/>
      <c r="AI2572" s="46" t="n"/>
      <c r="AJ2572" s="46" t="n"/>
      <c r="AK2572" s="46" t="n"/>
      <c r="AL2572" s="46" t="n"/>
      <c r="AM2572" s="46" t="n"/>
      <c r="AN2572" s="46" t="n"/>
      <c r="AO2572" s="46" t="n"/>
      <c r="AP2572" s="46" t="n"/>
      <c r="AQ2572" s="46" t="n"/>
      <c r="AR2572" s="46" t="n"/>
      <c r="AS2572" s="46" t="n"/>
      <c r="AV2572" s="36">
        <f>IF($C2572="","",EMPLOYES!M45)</f>
        <v/>
      </c>
      <c r="AW2572" s="36">
        <f>IF($C2572="",0,SUMPRODUCT(--(O2572:AS2572="C")))</f>
        <v/>
      </c>
      <c r="AX2572" s="36">
        <f>IF($C2572="",0,SUMPRODUCT(--(O2572:AS2572="R")))</f>
        <v/>
      </c>
      <c r="AY2572" s="44" t="n"/>
    </row>
    <row r="2573" hidden="1" outlineLevel="1" ht="15" customHeight="1" s="15">
      <c r="B2573" s="41" t="n">
        <v>11</v>
      </c>
      <c r="C2573" s="42">
        <f>IF(EMPLOYES!C46="","",EMPLOYES!C46)</f>
        <v/>
      </c>
      <c r="D2573" s="43">
        <f>IF(EMPLOYES!C46="","",EMPLOYES!D46)</f>
        <v/>
      </c>
      <c r="E2573" s="44" t="n"/>
      <c r="F2573" s="42" t="n"/>
      <c r="G2573" s="41">
        <f>IF($C2573="",0,MAX(0,$M2573-$N2573))</f>
        <v/>
      </c>
      <c r="H2573" s="45" t="n"/>
      <c r="I2573" s="41">
        <f>IF($C2573="","",IF(H2573="","OK",IF(H2573&gt;EMPLOYES!P46,"⚠ Avance &gt; salaire",IF(H2573&gt;EMPLOYES!P46*PARAMETRES!$C$218,"⚠ Avance élevée","OK"))))</f>
        <v/>
      </c>
      <c r="J2573" s="45" t="n"/>
      <c r="K2573" s="46" t="n"/>
      <c r="L2573" s="46" t="n"/>
      <c r="M2573" s="41">
        <f>IF($C2573="","",SUMPRODUCT((PARAMETRES!$B$38:$B$157=PARAMETRES!$C$29)*(PARAMETRES!$C$38:$C$157=11)*(IF(EMPLOYES!M46="5j",PARAMETRES!$I$38:$I$157,PARAMETRES!$H$38:$H$157))))</f>
        <v/>
      </c>
      <c r="N2573" s="41">
        <f>IF($C2573="","",SUMPRODUCT((O2573:AS2573="P")+(O2573:AS2573="F")+(O2573:AS2573="C")+0.5*(O2573:AS2573="D"),(1-((O2539:AS2539=6)*(EMPLOYES!M46="5j")))))</f>
        <v/>
      </c>
      <c r="O2573" s="46" t="n"/>
      <c r="P2573" s="46" t="n"/>
      <c r="Q2573" s="46" t="n"/>
      <c r="R2573" s="46" t="n"/>
      <c r="S2573" s="46" t="n"/>
      <c r="T2573" s="46" t="n"/>
      <c r="U2573" s="46" t="n"/>
      <c r="V2573" s="46" t="n"/>
      <c r="W2573" s="46" t="n"/>
      <c r="X2573" s="46" t="n"/>
      <c r="Y2573" s="46" t="n"/>
      <c r="Z2573" s="46" t="n"/>
      <c r="AA2573" s="46" t="n"/>
      <c r="AB2573" s="46" t="n"/>
      <c r="AC2573" s="46" t="n"/>
      <c r="AD2573" s="46" t="n"/>
      <c r="AE2573" s="46" t="n"/>
      <c r="AF2573" s="46" t="n"/>
      <c r="AG2573" s="46" t="n"/>
      <c r="AH2573" s="46" t="n"/>
      <c r="AI2573" s="46" t="n"/>
      <c r="AJ2573" s="46" t="n"/>
      <c r="AK2573" s="46" t="n"/>
      <c r="AL2573" s="46" t="n"/>
      <c r="AM2573" s="46" t="n"/>
      <c r="AN2573" s="46" t="n"/>
      <c r="AO2573" s="46" t="n"/>
      <c r="AP2573" s="46" t="n"/>
      <c r="AQ2573" s="46" t="n"/>
      <c r="AR2573" s="46" t="n"/>
      <c r="AS2573" s="46" t="n"/>
      <c r="AV2573" s="36">
        <f>IF($C2573="","",EMPLOYES!M46)</f>
        <v/>
      </c>
      <c r="AW2573" s="36">
        <f>IF($C2573="",0,SUMPRODUCT(--(O2573:AS2573="C")))</f>
        <v/>
      </c>
      <c r="AX2573" s="36">
        <f>IF($C2573="",0,SUMPRODUCT(--(O2573:AS2573="R")))</f>
        <v/>
      </c>
      <c r="AY2573" s="44" t="n"/>
    </row>
    <row r="2574" hidden="1" outlineLevel="1" ht="15" customHeight="1" s="15">
      <c r="B2574" s="41" t="n">
        <v>11</v>
      </c>
      <c r="C2574" s="42">
        <f>IF(EMPLOYES!C47="","",EMPLOYES!C47)</f>
        <v/>
      </c>
      <c r="D2574" s="43">
        <f>IF(EMPLOYES!C47="","",EMPLOYES!D47)</f>
        <v/>
      </c>
      <c r="E2574" s="44" t="n"/>
      <c r="F2574" s="42" t="n"/>
      <c r="G2574" s="41">
        <f>IF($C2574="",0,MAX(0,$M2574-$N2574))</f>
        <v/>
      </c>
      <c r="H2574" s="45" t="n"/>
      <c r="I2574" s="41">
        <f>IF($C2574="","",IF(H2574="","OK",IF(H2574&gt;EMPLOYES!P47,"⚠ Avance &gt; salaire",IF(H2574&gt;EMPLOYES!P47*PARAMETRES!$C$218,"⚠ Avance élevée","OK"))))</f>
        <v/>
      </c>
      <c r="J2574" s="45" t="n"/>
      <c r="K2574" s="46" t="n"/>
      <c r="L2574" s="46" t="n"/>
      <c r="M2574" s="41">
        <f>IF($C2574="","",SUMPRODUCT((PARAMETRES!$B$38:$B$157=PARAMETRES!$C$29)*(PARAMETRES!$C$38:$C$157=11)*(IF(EMPLOYES!M47="5j",PARAMETRES!$I$38:$I$157,PARAMETRES!$H$38:$H$157))))</f>
        <v/>
      </c>
      <c r="N2574" s="41">
        <f>IF($C2574="","",SUMPRODUCT((O2574:AS2574="P")+(O2574:AS2574="F")+(O2574:AS2574="C")+0.5*(O2574:AS2574="D"),(1-((O2539:AS2539=6)*(EMPLOYES!M47="5j")))))</f>
        <v/>
      </c>
      <c r="O2574" s="46" t="n"/>
      <c r="P2574" s="46" t="n"/>
      <c r="Q2574" s="46" t="n"/>
      <c r="R2574" s="46" t="n"/>
      <c r="S2574" s="46" t="n"/>
      <c r="T2574" s="46" t="n"/>
      <c r="U2574" s="46" t="n"/>
      <c r="V2574" s="46" t="n"/>
      <c r="W2574" s="46" t="n"/>
      <c r="X2574" s="46" t="n"/>
      <c r="Y2574" s="46" t="n"/>
      <c r="Z2574" s="46" t="n"/>
      <c r="AA2574" s="46" t="n"/>
      <c r="AB2574" s="46" t="n"/>
      <c r="AC2574" s="46" t="n"/>
      <c r="AD2574" s="46" t="n"/>
      <c r="AE2574" s="46" t="n"/>
      <c r="AF2574" s="46" t="n"/>
      <c r="AG2574" s="46" t="n"/>
      <c r="AH2574" s="46" t="n"/>
      <c r="AI2574" s="46" t="n"/>
      <c r="AJ2574" s="46" t="n"/>
      <c r="AK2574" s="46" t="n"/>
      <c r="AL2574" s="46" t="n"/>
      <c r="AM2574" s="46" t="n"/>
      <c r="AN2574" s="46" t="n"/>
      <c r="AO2574" s="46" t="n"/>
      <c r="AP2574" s="46" t="n"/>
      <c r="AQ2574" s="46" t="n"/>
      <c r="AR2574" s="46" t="n"/>
      <c r="AS2574" s="46" t="n"/>
      <c r="AV2574" s="36">
        <f>IF($C2574="","",EMPLOYES!M47)</f>
        <v/>
      </c>
      <c r="AW2574" s="36">
        <f>IF($C2574="",0,SUMPRODUCT(--(O2574:AS2574="C")))</f>
        <v/>
      </c>
      <c r="AX2574" s="36">
        <f>IF($C2574="",0,SUMPRODUCT(--(O2574:AS2574="R")))</f>
        <v/>
      </c>
      <c r="AY2574" s="44" t="n"/>
    </row>
    <row r="2575" hidden="1" outlineLevel="1" ht="15" customHeight="1" s="15">
      <c r="B2575" s="41" t="n">
        <v>11</v>
      </c>
      <c r="C2575" s="42">
        <f>IF(EMPLOYES!C48="","",EMPLOYES!C48)</f>
        <v/>
      </c>
      <c r="D2575" s="43">
        <f>IF(EMPLOYES!C48="","",EMPLOYES!D48)</f>
        <v/>
      </c>
      <c r="E2575" s="44" t="n"/>
      <c r="F2575" s="42" t="n"/>
      <c r="G2575" s="41">
        <f>IF($C2575="",0,MAX(0,$M2575-$N2575))</f>
        <v/>
      </c>
      <c r="H2575" s="45" t="n"/>
      <c r="I2575" s="41">
        <f>IF($C2575="","",IF(H2575="","OK",IF(H2575&gt;EMPLOYES!P48,"⚠ Avance &gt; salaire",IF(H2575&gt;EMPLOYES!P48*PARAMETRES!$C$218,"⚠ Avance élevée","OK"))))</f>
        <v/>
      </c>
      <c r="J2575" s="45" t="n"/>
      <c r="K2575" s="46" t="n"/>
      <c r="L2575" s="46" t="n"/>
      <c r="M2575" s="41">
        <f>IF($C2575="","",SUMPRODUCT((PARAMETRES!$B$38:$B$157=PARAMETRES!$C$29)*(PARAMETRES!$C$38:$C$157=11)*(IF(EMPLOYES!M48="5j",PARAMETRES!$I$38:$I$157,PARAMETRES!$H$38:$H$157))))</f>
        <v/>
      </c>
      <c r="N2575" s="41">
        <f>IF($C2575="","",SUMPRODUCT((O2575:AS2575="P")+(O2575:AS2575="F")+(O2575:AS2575="C")+0.5*(O2575:AS2575="D"),(1-((O2539:AS2539=6)*(EMPLOYES!M48="5j")))))</f>
        <v/>
      </c>
      <c r="O2575" s="46" t="n"/>
      <c r="P2575" s="46" t="n"/>
      <c r="Q2575" s="46" t="n"/>
      <c r="R2575" s="46" t="n"/>
      <c r="S2575" s="46" t="n"/>
      <c r="T2575" s="46" t="n"/>
      <c r="U2575" s="46" t="n"/>
      <c r="V2575" s="46" t="n"/>
      <c r="W2575" s="46" t="n"/>
      <c r="X2575" s="46" t="n"/>
      <c r="Y2575" s="46" t="n"/>
      <c r="Z2575" s="46" t="n"/>
      <c r="AA2575" s="46" t="n"/>
      <c r="AB2575" s="46" t="n"/>
      <c r="AC2575" s="46" t="n"/>
      <c r="AD2575" s="46" t="n"/>
      <c r="AE2575" s="46" t="n"/>
      <c r="AF2575" s="46" t="n"/>
      <c r="AG2575" s="46" t="n"/>
      <c r="AH2575" s="46" t="n"/>
      <c r="AI2575" s="46" t="n"/>
      <c r="AJ2575" s="46" t="n"/>
      <c r="AK2575" s="46" t="n"/>
      <c r="AL2575" s="46" t="n"/>
      <c r="AM2575" s="46" t="n"/>
      <c r="AN2575" s="46" t="n"/>
      <c r="AO2575" s="46" t="n"/>
      <c r="AP2575" s="46" t="n"/>
      <c r="AQ2575" s="46" t="n"/>
      <c r="AR2575" s="46" t="n"/>
      <c r="AS2575" s="46" t="n"/>
      <c r="AV2575" s="36">
        <f>IF($C2575="","",EMPLOYES!M48)</f>
        <v/>
      </c>
      <c r="AW2575" s="36">
        <f>IF($C2575="",0,SUMPRODUCT(--(O2575:AS2575="C")))</f>
        <v/>
      </c>
      <c r="AX2575" s="36">
        <f>IF($C2575="",0,SUMPRODUCT(--(O2575:AS2575="R")))</f>
        <v/>
      </c>
      <c r="AY2575" s="44" t="n"/>
    </row>
    <row r="2576" hidden="1" outlineLevel="1" ht="15" customHeight="1" s="15">
      <c r="B2576" s="41" t="n">
        <v>11</v>
      </c>
      <c r="C2576" s="42">
        <f>IF(EMPLOYES!C49="","",EMPLOYES!C49)</f>
        <v/>
      </c>
      <c r="D2576" s="43">
        <f>IF(EMPLOYES!C49="","",EMPLOYES!D49)</f>
        <v/>
      </c>
      <c r="E2576" s="44" t="n"/>
      <c r="F2576" s="42" t="n"/>
      <c r="G2576" s="41">
        <f>IF($C2576="",0,MAX(0,$M2576-$N2576))</f>
        <v/>
      </c>
      <c r="H2576" s="45" t="n"/>
      <c r="I2576" s="41">
        <f>IF($C2576="","",IF(H2576="","OK",IF(H2576&gt;EMPLOYES!P49,"⚠ Avance &gt; salaire",IF(H2576&gt;EMPLOYES!P49*PARAMETRES!$C$218,"⚠ Avance élevée","OK"))))</f>
        <v/>
      </c>
      <c r="J2576" s="45" t="n"/>
      <c r="K2576" s="46" t="n"/>
      <c r="L2576" s="46" t="n"/>
      <c r="M2576" s="41">
        <f>IF($C2576="","",SUMPRODUCT((PARAMETRES!$B$38:$B$157=PARAMETRES!$C$29)*(PARAMETRES!$C$38:$C$157=11)*(IF(EMPLOYES!M49="5j",PARAMETRES!$I$38:$I$157,PARAMETRES!$H$38:$H$157))))</f>
        <v/>
      </c>
      <c r="N2576" s="41">
        <f>IF($C2576="","",SUMPRODUCT((O2576:AS2576="P")+(O2576:AS2576="F")+(O2576:AS2576="C")+0.5*(O2576:AS2576="D"),(1-((O2539:AS2539=6)*(EMPLOYES!M49="5j")))))</f>
        <v/>
      </c>
      <c r="O2576" s="46" t="n"/>
      <c r="P2576" s="46" t="n"/>
      <c r="Q2576" s="46" t="n"/>
      <c r="R2576" s="46" t="n"/>
      <c r="S2576" s="46" t="n"/>
      <c r="T2576" s="46" t="n"/>
      <c r="U2576" s="46" t="n"/>
      <c r="V2576" s="46" t="n"/>
      <c r="W2576" s="46" t="n"/>
      <c r="X2576" s="46" t="n"/>
      <c r="Y2576" s="46" t="n"/>
      <c r="Z2576" s="46" t="n"/>
      <c r="AA2576" s="46" t="n"/>
      <c r="AB2576" s="46" t="n"/>
      <c r="AC2576" s="46" t="n"/>
      <c r="AD2576" s="46" t="n"/>
      <c r="AE2576" s="46" t="n"/>
      <c r="AF2576" s="46" t="n"/>
      <c r="AG2576" s="46" t="n"/>
      <c r="AH2576" s="46" t="n"/>
      <c r="AI2576" s="46" t="n"/>
      <c r="AJ2576" s="46" t="n"/>
      <c r="AK2576" s="46" t="n"/>
      <c r="AL2576" s="46" t="n"/>
      <c r="AM2576" s="46" t="n"/>
      <c r="AN2576" s="46" t="n"/>
      <c r="AO2576" s="46" t="n"/>
      <c r="AP2576" s="46" t="n"/>
      <c r="AQ2576" s="46" t="n"/>
      <c r="AR2576" s="46" t="n"/>
      <c r="AS2576" s="46" t="n"/>
      <c r="AV2576" s="36">
        <f>IF($C2576="","",EMPLOYES!M49)</f>
        <v/>
      </c>
      <c r="AW2576" s="36">
        <f>IF($C2576="",0,SUMPRODUCT(--(O2576:AS2576="C")))</f>
        <v/>
      </c>
      <c r="AX2576" s="36">
        <f>IF($C2576="",0,SUMPRODUCT(--(O2576:AS2576="R")))</f>
        <v/>
      </c>
      <c r="AY2576" s="44" t="n"/>
    </row>
    <row r="2577" hidden="1" outlineLevel="1" ht="15" customHeight="1" s="15">
      <c r="B2577" s="41" t="n">
        <v>11</v>
      </c>
      <c r="C2577" s="42">
        <f>IF(EMPLOYES!C50="","",EMPLOYES!C50)</f>
        <v/>
      </c>
      <c r="D2577" s="43">
        <f>IF(EMPLOYES!C50="","",EMPLOYES!D50)</f>
        <v/>
      </c>
      <c r="E2577" s="44" t="n"/>
      <c r="F2577" s="42" t="n"/>
      <c r="G2577" s="41">
        <f>IF($C2577="",0,MAX(0,$M2577-$N2577))</f>
        <v/>
      </c>
      <c r="H2577" s="45" t="n"/>
      <c r="I2577" s="41">
        <f>IF($C2577="","",IF(H2577="","OK",IF(H2577&gt;EMPLOYES!P50,"⚠ Avance &gt; salaire",IF(H2577&gt;EMPLOYES!P50*PARAMETRES!$C$218,"⚠ Avance élevée","OK"))))</f>
        <v/>
      </c>
      <c r="J2577" s="45" t="n"/>
      <c r="K2577" s="46" t="n"/>
      <c r="L2577" s="46" t="n"/>
      <c r="M2577" s="41">
        <f>IF($C2577="","",SUMPRODUCT((PARAMETRES!$B$38:$B$157=PARAMETRES!$C$29)*(PARAMETRES!$C$38:$C$157=11)*(IF(EMPLOYES!M50="5j",PARAMETRES!$I$38:$I$157,PARAMETRES!$H$38:$H$157))))</f>
        <v/>
      </c>
      <c r="N2577" s="41">
        <f>IF($C2577="","",SUMPRODUCT((O2577:AS2577="P")+(O2577:AS2577="F")+(O2577:AS2577="C")+0.5*(O2577:AS2577="D"),(1-((O2539:AS2539=6)*(EMPLOYES!M50="5j")))))</f>
        <v/>
      </c>
      <c r="O2577" s="46" t="n"/>
      <c r="P2577" s="46" t="n"/>
      <c r="Q2577" s="46" t="n"/>
      <c r="R2577" s="46" t="n"/>
      <c r="S2577" s="46" t="n"/>
      <c r="T2577" s="46" t="n"/>
      <c r="U2577" s="46" t="n"/>
      <c r="V2577" s="46" t="n"/>
      <c r="W2577" s="46" t="n"/>
      <c r="X2577" s="46" t="n"/>
      <c r="Y2577" s="46" t="n"/>
      <c r="Z2577" s="46" t="n"/>
      <c r="AA2577" s="46" t="n"/>
      <c r="AB2577" s="46" t="n"/>
      <c r="AC2577" s="46" t="n"/>
      <c r="AD2577" s="46" t="n"/>
      <c r="AE2577" s="46" t="n"/>
      <c r="AF2577" s="46" t="n"/>
      <c r="AG2577" s="46" t="n"/>
      <c r="AH2577" s="46" t="n"/>
      <c r="AI2577" s="46" t="n"/>
      <c r="AJ2577" s="46" t="n"/>
      <c r="AK2577" s="46" t="n"/>
      <c r="AL2577" s="46" t="n"/>
      <c r="AM2577" s="46" t="n"/>
      <c r="AN2577" s="46" t="n"/>
      <c r="AO2577" s="46" t="n"/>
      <c r="AP2577" s="46" t="n"/>
      <c r="AQ2577" s="46" t="n"/>
      <c r="AR2577" s="46" t="n"/>
      <c r="AS2577" s="46" t="n"/>
      <c r="AV2577" s="36">
        <f>IF($C2577="","",EMPLOYES!M50)</f>
        <v/>
      </c>
      <c r="AW2577" s="36">
        <f>IF($C2577="",0,SUMPRODUCT(--(O2577:AS2577="C")))</f>
        <v/>
      </c>
      <c r="AX2577" s="36">
        <f>IF($C2577="",0,SUMPRODUCT(--(O2577:AS2577="R")))</f>
        <v/>
      </c>
      <c r="AY2577" s="44" t="n"/>
    </row>
    <row r="2578" hidden="1" outlineLevel="1" ht="15" customHeight="1" s="15">
      <c r="B2578" s="41" t="n">
        <v>11</v>
      </c>
      <c r="C2578" s="42">
        <f>IF(EMPLOYES!C51="","",EMPLOYES!C51)</f>
        <v/>
      </c>
      <c r="D2578" s="43">
        <f>IF(EMPLOYES!C51="","",EMPLOYES!D51)</f>
        <v/>
      </c>
      <c r="E2578" s="44" t="n"/>
      <c r="F2578" s="42" t="n"/>
      <c r="G2578" s="41">
        <f>IF($C2578="",0,MAX(0,$M2578-$N2578))</f>
        <v/>
      </c>
      <c r="H2578" s="45" t="n"/>
      <c r="I2578" s="41">
        <f>IF($C2578="","",IF(H2578="","OK",IF(H2578&gt;EMPLOYES!P51,"⚠ Avance &gt; salaire",IF(H2578&gt;EMPLOYES!P51*PARAMETRES!$C$218,"⚠ Avance élevée","OK"))))</f>
        <v/>
      </c>
      <c r="J2578" s="45" t="n"/>
      <c r="K2578" s="46" t="n"/>
      <c r="L2578" s="46" t="n"/>
      <c r="M2578" s="41">
        <f>IF($C2578="","",SUMPRODUCT((PARAMETRES!$B$38:$B$157=PARAMETRES!$C$29)*(PARAMETRES!$C$38:$C$157=11)*(IF(EMPLOYES!M51="5j",PARAMETRES!$I$38:$I$157,PARAMETRES!$H$38:$H$157))))</f>
        <v/>
      </c>
      <c r="N2578" s="41">
        <f>IF($C2578="","",SUMPRODUCT((O2578:AS2578="P")+(O2578:AS2578="F")+(O2578:AS2578="C")+0.5*(O2578:AS2578="D"),(1-((O2539:AS2539=6)*(EMPLOYES!M51="5j")))))</f>
        <v/>
      </c>
      <c r="O2578" s="46" t="n"/>
      <c r="P2578" s="46" t="n"/>
      <c r="Q2578" s="46" t="n"/>
      <c r="R2578" s="46" t="n"/>
      <c r="S2578" s="46" t="n"/>
      <c r="T2578" s="46" t="n"/>
      <c r="U2578" s="46" t="n"/>
      <c r="V2578" s="46" t="n"/>
      <c r="W2578" s="46" t="n"/>
      <c r="X2578" s="46" t="n"/>
      <c r="Y2578" s="46" t="n"/>
      <c r="Z2578" s="46" t="n"/>
      <c r="AA2578" s="46" t="n"/>
      <c r="AB2578" s="46" t="n"/>
      <c r="AC2578" s="46" t="n"/>
      <c r="AD2578" s="46" t="n"/>
      <c r="AE2578" s="46" t="n"/>
      <c r="AF2578" s="46" t="n"/>
      <c r="AG2578" s="46" t="n"/>
      <c r="AH2578" s="46" t="n"/>
      <c r="AI2578" s="46" t="n"/>
      <c r="AJ2578" s="46" t="n"/>
      <c r="AK2578" s="46" t="n"/>
      <c r="AL2578" s="46" t="n"/>
      <c r="AM2578" s="46" t="n"/>
      <c r="AN2578" s="46" t="n"/>
      <c r="AO2578" s="46" t="n"/>
      <c r="AP2578" s="46" t="n"/>
      <c r="AQ2578" s="46" t="n"/>
      <c r="AR2578" s="46" t="n"/>
      <c r="AS2578" s="46" t="n"/>
      <c r="AV2578" s="36">
        <f>IF($C2578="","",EMPLOYES!M51)</f>
        <v/>
      </c>
      <c r="AW2578" s="36">
        <f>IF($C2578="",0,SUMPRODUCT(--(O2578:AS2578="C")))</f>
        <v/>
      </c>
      <c r="AX2578" s="36">
        <f>IF($C2578="",0,SUMPRODUCT(--(O2578:AS2578="R")))</f>
        <v/>
      </c>
      <c r="AY2578" s="44" t="n"/>
    </row>
    <row r="2579" hidden="1" outlineLevel="1" ht="15" customHeight="1" s="15">
      <c r="B2579" s="41" t="n">
        <v>11</v>
      </c>
      <c r="C2579" s="42">
        <f>IF(EMPLOYES!C52="","",EMPLOYES!C52)</f>
        <v/>
      </c>
      <c r="D2579" s="43">
        <f>IF(EMPLOYES!C52="","",EMPLOYES!D52)</f>
        <v/>
      </c>
      <c r="E2579" s="44" t="n"/>
      <c r="F2579" s="42" t="n"/>
      <c r="G2579" s="41">
        <f>IF($C2579="",0,MAX(0,$M2579-$N2579))</f>
        <v/>
      </c>
      <c r="H2579" s="45" t="n"/>
      <c r="I2579" s="41">
        <f>IF($C2579="","",IF(H2579="","OK",IF(H2579&gt;EMPLOYES!P52,"⚠ Avance &gt; salaire",IF(H2579&gt;EMPLOYES!P52*PARAMETRES!$C$218,"⚠ Avance élevée","OK"))))</f>
        <v/>
      </c>
      <c r="J2579" s="45" t="n"/>
      <c r="K2579" s="46" t="n"/>
      <c r="L2579" s="46" t="n"/>
      <c r="M2579" s="41">
        <f>IF($C2579="","",SUMPRODUCT((PARAMETRES!$B$38:$B$157=PARAMETRES!$C$29)*(PARAMETRES!$C$38:$C$157=11)*(IF(EMPLOYES!M52="5j",PARAMETRES!$I$38:$I$157,PARAMETRES!$H$38:$H$157))))</f>
        <v/>
      </c>
      <c r="N2579" s="41">
        <f>IF($C2579="","",SUMPRODUCT((O2579:AS2579="P")+(O2579:AS2579="F")+(O2579:AS2579="C")+0.5*(O2579:AS2579="D"),(1-((O2539:AS2539=6)*(EMPLOYES!M52="5j")))))</f>
        <v/>
      </c>
      <c r="O2579" s="46" t="n"/>
      <c r="P2579" s="46" t="n"/>
      <c r="Q2579" s="46" t="n"/>
      <c r="R2579" s="46" t="n"/>
      <c r="S2579" s="46" t="n"/>
      <c r="T2579" s="46" t="n"/>
      <c r="U2579" s="46" t="n"/>
      <c r="V2579" s="46" t="n"/>
      <c r="W2579" s="46" t="n"/>
      <c r="X2579" s="46" t="n"/>
      <c r="Y2579" s="46" t="n"/>
      <c r="Z2579" s="46" t="n"/>
      <c r="AA2579" s="46" t="n"/>
      <c r="AB2579" s="46" t="n"/>
      <c r="AC2579" s="46" t="n"/>
      <c r="AD2579" s="46" t="n"/>
      <c r="AE2579" s="46" t="n"/>
      <c r="AF2579" s="46" t="n"/>
      <c r="AG2579" s="46" t="n"/>
      <c r="AH2579" s="46" t="n"/>
      <c r="AI2579" s="46" t="n"/>
      <c r="AJ2579" s="46" t="n"/>
      <c r="AK2579" s="46" t="n"/>
      <c r="AL2579" s="46" t="n"/>
      <c r="AM2579" s="46" t="n"/>
      <c r="AN2579" s="46" t="n"/>
      <c r="AO2579" s="46" t="n"/>
      <c r="AP2579" s="46" t="n"/>
      <c r="AQ2579" s="46" t="n"/>
      <c r="AR2579" s="46" t="n"/>
      <c r="AS2579" s="46" t="n"/>
      <c r="AV2579" s="36">
        <f>IF($C2579="","",EMPLOYES!M52)</f>
        <v/>
      </c>
      <c r="AW2579" s="36">
        <f>IF($C2579="",0,SUMPRODUCT(--(O2579:AS2579="C")))</f>
        <v/>
      </c>
      <c r="AX2579" s="36">
        <f>IF($C2579="",0,SUMPRODUCT(--(O2579:AS2579="R")))</f>
        <v/>
      </c>
      <c r="AY2579" s="44" t="n"/>
    </row>
    <row r="2580" hidden="1" outlineLevel="1" ht="15" customHeight="1" s="15">
      <c r="B2580" s="41" t="n">
        <v>11</v>
      </c>
      <c r="C2580" s="42">
        <f>IF(EMPLOYES!C53="","",EMPLOYES!C53)</f>
        <v/>
      </c>
      <c r="D2580" s="43">
        <f>IF(EMPLOYES!C53="","",EMPLOYES!D53)</f>
        <v/>
      </c>
      <c r="E2580" s="44" t="n"/>
      <c r="F2580" s="42" t="n"/>
      <c r="G2580" s="41">
        <f>IF($C2580="",0,MAX(0,$M2580-$N2580))</f>
        <v/>
      </c>
      <c r="H2580" s="45" t="n"/>
      <c r="I2580" s="41">
        <f>IF($C2580="","",IF(H2580="","OK",IF(H2580&gt;EMPLOYES!P53,"⚠ Avance &gt; salaire",IF(H2580&gt;EMPLOYES!P53*PARAMETRES!$C$218,"⚠ Avance élevée","OK"))))</f>
        <v/>
      </c>
      <c r="J2580" s="45" t="n"/>
      <c r="K2580" s="46" t="n"/>
      <c r="L2580" s="46" t="n"/>
      <c r="M2580" s="41">
        <f>IF($C2580="","",SUMPRODUCT((PARAMETRES!$B$38:$B$157=PARAMETRES!$C$29)*(PARAMETRES!$C$38:$C$157=11)*(IF(EMPLOYES!M53="5j",PARAMETRES!$I$38:$I$157,PARAMETRES!$H$38:$H$157))))</f>
        <v/>
      </c>
      <c r="N2580" s="41">
        <f>IF($C2580="","",SUMPRODUCT((O2580:AS2580="P")+(O2580:AS2580="F")+(O2580:AS2580="C")+0.5*(O2580:AS2580="D"),(1-((O2539:AS2539=6)*(EMPLOYES!M53="5j")))))</f>
        <v/>
      </c>
      <c r="O2580" s="46" t="n"/>
      <c r="P2580" s="46" t="n"/>
      <c r="Q2580" s="46" t="n"/>
      <c r="R2580" s="46" t="n"/>
      <c r="S2580" s="46" t="n"/>
      <c r="T2580" s="46" t="n"/>
      <c r="U2580" s="46" t="n"/>
      <c r="V2580" s="46" t="n"/>
      <c r="W2580" s="46" t="n"/>
      <c r="X2580" s="46" t="n"/>
      <c r="Y2580" s="46" t="n"/>
      <c r="Z2580" s="46" t="n"/>
      <c r="AA2580" s="46" t="n"/>
      <c r="AB2580" s="46" t="n"/>
      <c r="AC2580" s="46" t="n"/>
      <c r="AD2580" s="46" t="n"/>
      <c r="AE2580" s="46" t="n"/>
      <c r="AF2580" s="46" t="n"/>
      <c r="AG2580" s="46" t="n"/>
      <c r="AH2580" s="46" t="n"/>
      <c r="AI2580" s="46" t="n"/>
      <c r="AJ2580" s="46" t="n"/>
      <c r="AK2580" s="46" t="n"/>
      <c r="AL2580" s="46" t="n"/>
      <c r="AM2580" s="46" t="n"/>
      <c r="AN2580" s="46" t="n"/>
      <c r="AO2580" s="46" t="n"/>
      <c r="AP2580" s="46" t="n"/>
      <c r="AQ2580" s="46" t="n"/>
      <c r="AR2580" s="46" t="n"/>
      <c r="AS2580" s="46" t="n"/>
      <c r="AV2580" s="36">
        <f>IF($C2580="","",EMPLOYES!M53)</f>
        <v/>
      </c>
      <c r="AW2580" s="36">
        <f>IF($C2580="",0,SUMPRODUCT(--(O2580:AS2580="C")))</f>
        <v/>
      </c>
      <c r="AX2580" s="36">
        <f>IF($C2580="",0,SUMPRODUCT(--(O2580:AS2580="R")))</f>
        <v/>
      </c>
      <c r="AY2580" s="44" t="n"/>
    </row>
    <row r="2581" hidden="1" outlineLevel="1" ht="15" customHeight="1" s="15">
      <c r="B2581" s="41" t="n">
        <v>11</v>
      </c>
      <c r="C2581" s="42">
        <f>IF(EMPLOYES!C54="","",EMPLOYES!C54)</f>
        <v/>
      </c>
      <c r="D2581" s="43">
        <f>IF(EMPLOYES!C54="","",EMPLOYES!D54)</f>
        <v/>
      </c>
      <c r="E2581" s="44" t="n"/>
      <c r="F2581" s="42" t="n"/>
      <c r="G2581" s="41">
        <f>IF($C2581="",0,MAX(0,$M2581-$N2581))</f>
        <v/>
      </c>
      <c r="H2581" s="45" t="n"/>
      <c r="I2581" s="41">
        <f>IF($C2581="","",IF(H2581="","OK",IF(H2581&gt;EMPLOYES!P54,"⚠ Avance &gt; salaire",IF(H2581&gt;EMPLOYES!P54*PARAMETRES!$C$218,"⚠ Avance élevée","OK"))))</f>
        <v/>
      </c>
      <c r="J2581" s="45" t="n"/>
      <c r="K2581" s="46" t="n"/>
      <c r="L2581" s="46" t="n"/>
      <c r="M2581" s="41">
        <f>IF($C2581="","",SUMPRODUCT((PARAMETRES!$B$38:$B$157=PARAMETRES!$C$29)*(PARAMETRES!$C$38:$C$157=11)*(IF(EMPLOYES!M54="5j",PARAMETRES!$I$38:$I$157,PARAMETRES!$H$38:$H$157))))</f>
        <v/>
      </c>
      <c r="N2581" s="41">
        <f>IF($C2581="","",SUMPRODUCT((O2581:AS2581="P")+(O2581:AS2581="F")+(O2581:AS2581="C")+0.5*(O2581:AS2581="D"),(1-((O2539:AS2539=6)*(EMPLOYES!M54="5j")))))</f>
        <v/>
      </c>
      <c r="O2581" s="46" t="n"/>
      <c r="P2581" s="46" t="n"/>
      <c r="Q2581" s="46" t="n"/>
      <c r="R2581" s="46" t="n"/>
      <c r="S2581" s="46" t="n"/>
      <c r="T2581" s="46" t="n"/>
      <c r="U2581" s="46" t="n"/>
      <c r="V2581" s="46" t="n"/>
      <c r="W2581" s="46" t="n"/>
      <c r="X2581" s="46" t="n"/>
      <c r="Y2581" s="46" t="n"/>
      <c r="Z2581" s="46" t="n"/>
      <c r="AA2581" s="46" t="n"/>
      <c r="AB2581" s="46" t="n"/>
      <c r="AC2581" s="46" t="n"/>
      <c r="AD2581" s="46" t="n"/>
      <c r="AE2581" s="46" t="n"/>
      <c r="AF2581" s="46" t="n"/>
      <c r="AG2581" s="46" t="n"/>
      <c r="AH2581" s="46" t="n"/>
      <c r="AI2581" s="46" t="n"/>
      <c r="AJ2581" s="46" t="n"/>
      <c r="AK2581" s="46" t="n"/>
      <c r="AL2581" s="46" t="n"/>
      <c r="AM2581" s="46" t="n"/>
      <c r="AN2581" s="46" t="n"/>
      <c r="AO2581" s="46" t="n"/>
      <c r="AP2581" s="46" t="n"/>
      <c r="AQ2581" s="46" t="n"/>
      <c r="AR2581" s="46" t="n"/>
      <c r="AS2581" s="46" t="n"/>
      <c r="AV2581" s="36">
        <f>IF($C2581="","",EMPLOYES!M54)</f>
        <v/>
      </c>
      <c r="AW2581" s="36">
        <f>IF($C2581="",0,SUMPRODUCT(--(O2581:AS2581="C")))</f>
        <v/>
      </c>
      <c r="AX2581" s="36">
        <f>IF($C2581="",0,SUMPRODUCT(--(O2581:AS2581="R")))</f>
        <v/>
      </c>
      <c r="AY2581" s="44" t="n"/>
    </row>
    <row r="2582" hidden="1" outlineLevel="1" ht="15" customHeight="1" s="15">
      <c r="B2582" s="41" t="n">
        <v>11</v>
      </c>
      <c r="C2582" s="42">
        <f>IF(EMPLOYES!C55="","",EMPLOYES!C55)</f>
        <v/>
      </c>
      <c r="D2582" s="43">
        <f>IF(EMPLOYES!C55="","",EMPLOYES!D55)</f>
        <v/>
      </c>
      <c r="E2582" s="44" t="n"/>
      <c r="F2582" s="42" t="n"/>
      <c r="G2582" s="41">
        <f>IF($C2582="",0,MAX(0,$M2582-$N2582))</f>
        <v/>
      </c>
      <c r="H2582" s="45" t="n"/>
      <c r="I2582" s="41">
        <f>IF($C2582="","",IF(H2582="","OK",IF(H2582&gt;EMPLOYES!P55,"⚠ Avance &gt; salaire",IF(H2582&gt;EMPLOYES!P55*PARAMETRES!$C$218,"⚠ Avance élevée","OK"))))</f>
        <v/>
      </c>
      <c r="J2582" s="45" t="n"/>
      <c r="K2582" s="46" t="n"/>
      <c r="L2582" s="46" t="n"/>
      <c r="M2582" s="41">
        <f>IF($C2582="","",SUMPRODUCT((PARAMETRES!$B$38:$B$157=PARAMETRES!$C$29)*(PARAMETRES!$C$38:$C$157=11)*(IF(EMPLOYES!M55="5j",PARAMETRES!$I$38:$I$157,PARAMETRES!$H$38:$H$157))))</f>
        <v/>
      </c>
      <c r="N2582" s="41">
        <f>IF($C2582="","",SUMPRODUCT((O2582:AS2582="P")+(O2582:AS2582="F")+(O2582:AS2582="C")+0.5*(O2582:AS2582="D"),(1-((O2539:AS2539=6)*(EMPLOYES!M55="5j")))))</f>
        <v/>
      </c>
      <c r="O2582" s="46" t="n"/>
      <c r="P2582" s="46" t="n"/>
      <c r="Q2582" s="46" t="n"/>
      <c r="R2582" s="46" t="n"/>
      <c r="S2582" s="46" t="n"/>
      <c r="T2582" s="46" t="n"/>
      <c r="U2582" s="46" t="n"/>
      <c r="V2582" s="46" t="n"/>
      <c r="W2582" s="46" t="n"/>
      <c r="X2582" s="46" t="n"/>
      <c r="Y2582" s="46" t="n"/>
      <c r="Z2582" s="46" t="n"/>
      <c r="AA2582" s="46" t="n"/>
      <c r="AB2582" s="46" t="n"/>
      <c r="AC2582" s="46" t="n"/>
      <c r="AD2582" s="46" t="n"/>
      <c r="AE2582" s="46" t="n"/>
      <c r="AF2582" s="46" t="n"/>
      <c r="AG2582" s="46" t="n"/>
      <c r="AH2582" s="46" t="n"/>
      <c r="AI2582" s="46" t="n"/>
      <c r="AJ2582" s="46" t="n"/>
      <c r="AK2582" s="46" t="n"/>
      <c r="AL2582" s="46" t="n"/>
      <c r="AM2582" s="46" t="n"/>
      <c r="AN2582" s="46" t="n"/>
      <c r="AO2582" s="46" t="n"/>
      <c r="AP2582" s="46" t="n"/>
      <c r="AQ2582" s="46" t="n"/>
      <c r="AR2582" s="46" t="n"/>
      <c r="AS2582" s="46" t="n"/>
      <c r="AV2582" s="36">
        <f>IF($C2582="","",EMPLOYES!M55)</f>
        <v/>
      </c>
      <c r="AW2582" s="36">
        <f>IF($C2582="",0,SUMPRODUCT(--(O2582:AS2582="C")))</f>
        <v/>
      </c>
      <c r="AX2582" s="36">
        <f>IF($C2582="",0,SUMPRODUCT(--(O2582:AS2582="R")))</f>
        <v/>
      </c>
      <c r="AY2582" s="44" t="n"/>
    </row>
    <row r="2583" hidden="1" outlineLevel="1" ht="15" customHeight="1" s="15">
      <c r="B2583" s="41" t="n">
        <v>11</v>
      </c>
      <c r="C2583" s="42">
        <f>IF(EMPLOYES!C56="","",EMPLOYES!C56)</f>
        <v/>
      </c>
      <c r="D2583" s="43">
        <f>IF(EMPLOYES!C56="","",EMPLOYES!D56)</f>
        <v/>
      </c>
      <c r="E2583" s="44" t="n"/>
      <c r="F2583" s="42" t="n"/>
      <c r="G2583" s="41">
        <f>IF($C2583="",0,MAX(0,$M2583-$N2583))</f>
        <v/>
      </c>
      <c r="H2583" s="45" t="n"/>
      <c r="I2583" s="41">
        <f>IF($C2583="","",IF(H2583="","OK",IF(H2583&gt;EMPLOYES!P56,"⚠ Avance &gt; salaire",IF(H2583&gt;EMPLOYES!P56*PARAMETRES!$C$218,"⚠ Avance élevée","OK"))))</f>
        <v/>
      </c>
      <c r="J2583" s="45" t="n"/>
      <c r="K2583" s="46" t="n"/>
      <c r="L2583" s="46" t="n"/>
      <c r="M2583" s="41">
        <f>IF($C2583="","",SUMPRODUCT((PARAMETRES!$B$38:$B$157=PARAMETRES!$C$29)*(PARAMETRES!$C$38:$C$157=11)*(IF(EMPLOYES!M56="5j",PARAMETRES!$I$38:$I$157,PARAMETRES!$H$38:$H$157))))</f>
        <v/>
      </c>
      <c r="N2583" s="41">
        <f>IF($C2583="","",SUMPRODUCT((O2583:AS2583="P")+(O2583:AS2583="F")+(O2583:AS2583="C")+0.5*(O2583:AS2583="D"),(1-((O2539:AS2539=6)*(EMPLOYES!M56="5j")))))</f>
        <v/>
      </c>
      <c r="O2583" s="46" t="n"/>
      <c r="P2583" s="46" t="n"/>
      <c r="Q2583" s="46" t="n"/>
      <c r="R2583" s="46" t="n"/>
      <c r="S2583" s="46" t="n"/>
      <c r="T2583" s="46" t="n"/>
      <c r="U2583" s="46" t="n"/>
      <c r="V2583" s="46" t="n"/>
      <c r="W2583" s="46" t="n"/>
      <c r="X2583" s="46" t="n"/>
      <c r="Y2583" s="46" t="n"/>
      <c r="Z2583" s="46" t="n"/>
      <c r="AA2583" s="46" t="n"/>
      <c r="AB2583" s="46" t="n"/>
      <c r="AC2583" s="46" t="n"/>
      <c r="AD2583" s="46" t="n"/>
      <c r="AE2583" s="46" t="n"/>
      <c r="AF2583" s="46" t="n"/>
      <c r="AG2583" s="46" t="n"/>
      <c r="AH2583" s="46" t="n"/>
      <c r="AI2583" s="46" t="n"/>
      <c r="AJ2583" s="46" t="n"/>
      <c r="AK2583" s="46" t="n"/>
      <c r="AL2583" s="46" t="n"/>
      <c r="AM2583" s="46" t="n"/>
      <c r="AN2583" s="46" t="n"/>
      <c r="AO2583" s="46" t="n"/>
      <c r="AP2583" s="46" t="n"/>
      <c r="AQ2583" s="46" t="n"/>
      <c r="AR2583" s="46" t="n"/>
      <c r="AS2583" s="46" t="n"/>
      <c r="AV2583" s="36">
        <f>IF($C2583="","",EMPLOYES!M56)</f>
        <v/>
      </c>
      <c r="AW2583" s="36">
        <f>IF($C2583="",0,SUMPRODUCT(--(O2583:AS2583="C")))</f>
        <v/>
      </c>
      <c r="AX2583" s="36">
        <f>IF($C2583="",0,SUMPRODUCT(--(O2583:AS2583="R")))</f>
        <v/>
      </c>
      <c r="AY2583" s="44" t="n"/>
    </row>
    <row r="2584" hidden="1" outlineLevel="1" ht="15" customHeight="1" s="15">
      <c r="B2584" s="41" t="n">
        <v>11</v>
      </c>
      <c r="C2584" s="42">
        <f>IF(EMPLOYES!C57="","",EMPLOYES!C57)</f>
        <v/>
      </c>
      <c r="D2584" s="43">
        <f>IF(EMPLOYES!C57="","",EMPLOYES!D57)</f>
        <v/>
      </c>
      <c r="E2584" s="44" t="n"/>
      <c r="F2584" s="42" t="n"/>
      <c r="G2584" s="41">
        <f>IF($C2584="",0,MAX(0,$M2584-$N2584))</f>
        <v/>
      </c>
      <c r="H2584" s="45" t="n"/>
      <c r="I2584" s="41">
        <f>IF($C2584="","",IF(H2584="","OK",IF(H2584&gt;EMPLOYES!P57,"⚠ Avance &gt; salaire",IF(H2584&gt;EMPLOYES!P57*PARAMETRES!$C$218,"⚠ Avance élevée","OK"))))</f>
        <v/>
      </c>
      <c r="J2584" s="45" t="n"/>
      <c r="K2584" s="46" t="n"/>
      <c r="L2584" s="46" t="n"/>
      <c r="M2584" s="41">
        <f>IF($C2584="","",SUMPRODUCT((PARAMETRES!$B$38:$B$157=PARAMETRES!$C$29)*(PARAMETRES!$C$38:$C$157=11)*(IF(EMPLOYES!M57="5j",PARAMETRES!$I$38:$I$157,PARAMETRES!$H$38:$H$157))))</f>
        <v/>
      </c>
      <c r="N2584" s="41">
        <f>IF($C2584="","",SUMPRODUCT((O2584:AS2584="P")+(O2584:AS2584="F")+(O2584:AS2584="C")+0.5*(O2584:AS2584="D"),(1-((O2539:AS2539=6)*(EMPLOYES!M57="5j")))))</f>
        <v/>
      </c>
      <c r="O2584" s="46" t="n"/>
      <c r="P2584" s="46" t="n"/>
      <c r="Q2584" s="46" t="n"/>
      <c r="R2584" s="46" t="n"/>
      <c r="S2584" s="46" t="n"/>
      <c r="T2584" s="46" t="n"/>
      <c r="U2584" s="46" t="n"/>
      <c r="V2584" s="46" t="n"/>
      <c r="W2584" s="46" t="n"/>
      <c r="X2584" s="46" t="n"/>
      <c r="Y2584" s="46" t="n"/>
      <c r="Z2584" s="46" t="n"/>
      <c r="AA2584" s="46" t="n"/>
      <c r="AB2584" s="46" t="n"/>
      <c r="AC2584" s="46" t="n"/>
      <c r="AD2584" s="46" t="n"/>
      <c r="AE2584" s="46" t="n"/>
      <c r="AF2584" s="46" t="n"/>
      <c r="AG2584" s="46" t="n"/>
      <c r="AH2584" s="46" t="n"/>
      <c r="AI2584" s="46" t="n"/>
      <c r="AJ2584" s="46" t="n"/>
      <c r="AK2584" s="46" t="n"/>
      <c r="AL2584" s="46" t="n"/>
      <c r="AM2584" s="46" t="n"/>
      <c r="AN2584" s="46" t="n"/>
      <c r="AO2584" s="46" t="n"/>
      <c r="AP2584" s="46" t="n"/>
      <c r="AQ2584" s="46" t="n"/>
      <c r="AR2584" s="46" t="n"/>
      <c r="AS2584" s="46" t="n"/>
      <c r="AV2584" s="36">
        <f>IF($C2584="","",EMPLOYES!M57)</f>
        <v/>
      </c>
      <c r="AW2584" s="36">
        <f>IF($C2584="",0,SUMPRODUCT(--(O2584:AS2584="C")))</f>
        <v/>
      </c>
      <c r="AX2584" s="36">
        <f>IF($C2584="",0,SUMPRODUCT(--(O2584:AS2584="R")))</f>
        <v/>
      </c>
      <c r="AY2584" s="44" t="n"/>
    </row>
    <row r="2585" hidden="1" outlineLevel="1" ht="15" customHeight="1" s="15">
      <c r="B2585" s="41" t="n">
        <v>11</v>
      </c>
      <c r="C2585" s="42">
        <f>IF(EMPLOYES!C58="","",EMPLOYES!C58)</f>
        <v/>
      </c>
      <c r="D2585" s="43">
        <f>IF(EMPLOYES!C58="","",EMPLOYES!D58)</f>
        <v/>
      </c>
      <c r="E2585" s="44" t="n"/>
      <c r="F2585" s="42" t="n"/>
      <c r="G2585" s="41">
        <f>IF($C2585="",0,MAX(0,$M2585-$N2585))</f>
        <v/>
      </c>
      <c r="H2585" s="45" t="n"/>
      <c r="I2585" s="41">
        <f>IF($C2585="","",IF(H2585="","OK",IF(H2585&gt;EMPLOYES!P58,"⚠ Avance &gt; salaire",IF(H2585&gt;EMPLOYES!P58*PARAMETRES!$C$218,"⚠ Avance élevée","OK"))))</f>
        <v/>
      </c>
      <c r="J2585" s="45" t="n"/>
      <c r="K2585" s="46" t="n"/>
      <c r="L2585" s="46" t="n"/>
      <c r="M2585" s="41">
        <f>IF($C2585="","",SUMPRODUCT((PARAMETRES!$B$38:$B$157=PARAMETRES!$C$29)*(PARAMETRES!$C$38:$C$157=11)*(IF(EMPLOYES!M58="5j",PARAMETRES!$I$38:$I$157,PARAMETRES!$H$38:$H$157))))</f>
        <v/>
      </c>
      <c r="N2585" s="41">
        <f>IF($C2585="","",SUMPRODUCT((O2585:AS2585="P")+(O2585:AS2585="F")+(O2585:AS2585="C")+0.5*(O2585:AS2585="D"),(1-((O2539:AS2539=6)*(EMPLOYES!M58="5j")))))</f>
        <v/>
      </c>
      <c r="O2585" s="46" t="n"/>
      <c r="P2585" s="46" t="n"/>
      <c r="Q2585" s="46" t="n"/>
      <c r="R2585" s="46" t="n"/>
      <c r="S2585" s="46" t="n"/>
      <c r="T2585" s="46" t="n"/>
      <c r="U2585" s="46" t="n"/>
      <c r="V2585" s="46" t="n"/>
      <c r="W2585" s="46" t="n"/>
      <c r="X2585" s="46" t="n"/>
      <c r="Y2585" s="46" t="n"/>
      <c r="Z2585" s="46" t="n"/>
      <c r="AA2585" s="46" t="n"/>
      <c r="AB2585" s="46" t="n"/>
      <c r="AC2585" s="46" t="n"/>
      <c r="AD2585" s="46" t="n"/>
      <c r="AE2585" s="46" t="n"/>
      <c r="AF2585" s="46" t="n"/>
      <c r="AG2585" s="46" t="n"/>
      <c r="AH2585" s="46" t="n"/>
      <c r="AI2585" s="46" t="n"/>
      <c r="AJ2585" s="46" t="n"/>
      <c r="AK2585" s="46" t="n"/>
      <c r="AL2585" s="46" t="n"/>
      <c r="AM2585" s="46" t="n"/>
      <c r="AN2585" s="46" t="n"/>
      <c r="AO2585" s="46" t="n"/>
      <c r="AP2585" s="46" t="n"/>
      <c r="AQ2585" s="46" t="n"/>
      <c r="AR2585" s="46" t="n"/>
      <c r="AS2585" s="46" t="n"/>
      <c r="AV2585" s="36">
        <f>IF($C2585="","",EMPLOYES!M58)</f>
        <v/>
      </c>
      <c r="AW2585" s="36">
        <f>IF($C2585="",0,SUMPRODUCT(--(O2585:AS2585="C")))</f>
        <v/>
      </c>
      <c r="AX2585" s="36">
        <f>IF($C2585="",0,SUMPRODUCT(--(O2585:AS2585="R")))</f>
        <v/>
      </c>
      <c r="AY2585" s="44" t="n"/>
    </row>
    <row r="2586" hidden="1" outlineLevel="1" ht="15" customHeight="1" s="15">
      <c r="B2586" s="41" t="n">
        <v>11</v>
      </c>
      <c r="C2586" s="42">
        <f>IF(EMPLOYES!C59="","",EMPLOYES!C59)</f>
        <v/>
      </c>
      <c r="D2586" s="43">
        <f>IF(EMPLOYES!C59="","",EMPLOYES!D59)</f>
        <v/>
      </c>
      <c r="E2586" s="44" t="n"/>
      <c r="F2586" s="42" t="n"/>
      <c r="G2586" s="41">
        <f>IF($C2586="",0,MAX(0,$M2586-$N2586))</f>
        <v/>
      </c>
      <c r="H2586" s="45" t="n"/>
      <c r="I2586" s="41">
        <f>IF($C2586="","",IF(H2586="","OK",IF(H2586&gt;EMPLOYES!P59,"⚠ Avance &gt; salaire",IF(H2586&gt;EMPLOYES!P59*PARAMETRES!$C$218,"⚠ Avance élevée","OK"))))</f>
        <v/>
      </c>
      <c r="J2586" s="45" t="n"/>
      <c r="K2586" s="46" t="n"/>
      <c r="L2586" s="46" t="n"/>
      <c r="M2586" s="41">
        <f>IF($C2586="","",SUMPRODUCT((PARAMETRES!$B$38:$B$157=PARAMETRES!$C$29)*(PARAMETRES!$C$38:$C$157=11)*(IF(EMPLOYES!M59="5j",PARAMETRES!$I$38:$I$157,PARAMETRES!$H$38:$H$157))))</f>
        <v/>
      </c>
      <c r="N2586" s="41">
        <f>IF($C2586="","",SUMPRODUCT((O2586:AS2586="P")+(O2586:AS2586="F")+(O2586:AS2586="C")+0.5*(O2586:AS2586="D"),(1-((O2539:AS2539=6)*(EMPLOYES!M59="5j")))))</f>
        <v/>
      </c>
      <c r="O2586" s="46" t="n"/>
      <c r="P2586" s="46" t="n"/>
      <c r="Q2586" s="46" t="n"/>
      <c r="R2586" s="46" t="n"/>
      <c r="S2586" s="46" t="n"/>
      <c r="T2586" s="46" t="n"/>
      <c r="U2586" s="46" t="n"/>
      <c r="V2586" s="46" t="n"/>
      <c r="W2586" s="46" t="n"/>
      <c r="X2586" s="46" t="n"/>
      <c r="Y2586" s="46" t="n"/>
      <c r="Z2586" s="46" t="n"/>
      <c r="AA2586" s="46" t="n"/>
      <c r="AB2586" s="46" t="n"/>
      <c r="AC2586" s="46" t="n"/>
      <c r="AD2586" s="46" t="n"/>
      <c r="AE2586" s="46" t="n"/>
      <c r="AF2586" s="46" t="n"/>
      <c r="AG2586" s="46" t="n"/>
      <c r="AH2586" s="46" t="n"/>
      <c r="AI2586" s="46" t="n"/>
      <c r="AJ2586" s="46" t="n"/>
      <c r="AK2586" s="46" t="n"/>
      <c r="AL2586" s="46" t="n"/>
      <c r="AM2586" s="46" t="n"/>
      <c r="AN2586" s="46" t="n"/>
      <c r="AO2586" s="46" t="n"/>
      <c r="AP2586" s="46" t="n"/>
      <c r="AQ2586" s="46" t="n"/>
      <c r="AR2586" s="46" t="n"/>
      <c r="AS2586" s="46" t="n"/>
      <c r="AV2586" s="36">
        <f>IF($C2586="","",EMPLOYES!M59)</f>
        <v/>
      </c>
      <c r="AW2586" s="36">
        <f>IF($C2586="",0,SUMPRODUCT(--(O2586:AS2586="C")))</f>
        <v/>
      </c>
      <c r="AX2586" s="36">
        <f>IF($C2586="",0,SUMPRODUCT(--(O2586:AS2586="R")))</f>
        <v/>
      </c>
      <c r="AY2586" s="44" t="n"/>
    </row>
    <row r="2587" hidden="1" outlineLevel="1" ht="15" customHeight="1" s="15">
      <c r="B2587" s="41" t="n">
        <v>11</v>
      </c>
      <c r="C2587" s="42">
        <f>IF(EMPLOYES!C60="","",EMPLOYES!C60)</f>
        <v/>
      </c>
      <c r="D2587" s="43">
        <f>IF(EMPLOYES!C60="","",EMPLOYES!D60)</f>
        <v/>
      </c>
      <c r="E2587" s="44" t="n"/>
      <c r="F2587" s="42" t="n"/>
      <c r="G2587" s="41">
        <f>IF($C2587="",0,MAX(0,$M2587-$N2587))</f>
        <v/>
      </c>
      <c r="H2587" s="45" t="n"/>
      <c r="I2587" s="41">
        <f>IF($C2587="","",IF(H2587="","OK",IF(H2587&gt;EMPLOYES!P60,"⚠ Avance &gt; salaire",IF(H2587&gt;EMPLOYES!P60*PARAMETRES!$C$218,"⚠ Avance élevée","OK"))))</f>
        <v/>
      </c>
      <c r="J2587" s="45" t="n"/>
      <c r="K2587" s="46" t="n"/>
      <c r="L2587" s="46" t="n"/>
      <c r="M2587" s="41">
        <f>IF($C2587="","",SUMPRODUCT((PARAMETRES!$B$38:$B$157=PARAMETRES!$C$29)*(PARAMETRES!$C$38:$C$157=11)*(IF(EMPLOYES!M60="5j",PARAMETRES!$I$38:$I$157,PARAMETRES!$H$38:$H$157))))</f>
        <v/>
      </c>
      <c r="N2587" s="41">
        <f>IF($C2587="","",SUMPRODUCT((O2587:AS2587="P")+(O2587:AS2587="F")+(O2587:AS2587="C")+0.5*(O2587:AS2587="D"),(1-((O2539:AS2539=6)*(EMPLOYES!M60="5j")))))</f>
        <v/>
      </c>
      <c r="O2587" s="46" t="n"/>
      <c r="P2587" s="46" t="n"/>
      <c r="Q2587" s="46" t="n"/>
      <c r="R2587" s="46" t="n"/>
      <c r="S2587" s="46" t="n"/>
      <c r="T2587" s="46" t="n"/>
      <c r="U2587" s="46" t="n"/>
      <c r="V2587" s="46" t="n"/>
      <c r="W2587" s="46" t="n"/>
      <c r="X2587" s="46" t="n"/>
      <c r="Y2587" s="46" t="n"/>
      <c r="Z2587" s="46" t="n"/>
      <c r="AA2587" s="46" t="n"/>
      <c r="AB2587" s="46" t="n"/>
      <c r="AC2587" s="46" t="n"/>
      <c r="AD2587" s="46" t="n"/>
      <c r="AE2587" s="46" t="n"/>
      <c r="AF2587" s="46" t="n"/>
      <c r="AG2587" s="46" t="n"/>
      <c r="AH2587" s="46" t="n"/>
      <c r="AI2587" s="46" t="n"/>
      <c r="AJ2587" s="46" t="n"/>
      <c r="AK2587" s="46" t="n"/>
      <c r="AL2587" s="46" t="n"/>
      <c r="AM2587" s="46" t="n"/>
      <c r="AN2587" s="46" t="n"/>
      <c r="AO2587" s="46" t="n"/>
      <c r="AP2587" s="46" t="n"/>
      <c r="AQ2587" s="46" t="n"/>
      <c r="AR2587" s="46" t="n"/>
      <c r="AS2587" s="46" t="n"/>
      <c r="AV2587" s="36">
        <f>IF($C2587="","",EMPLOYES!M60)</f>
        <v/>
      </c>
      <c r="AW2587" s="36">
        <f>IF($C2587="",0,SUMPRODUCT(--(O2587:AS2587="C")))</f>
        <v/>
      </c>
      <c r="AX2587" s="36">
        <f>IF($C2587="",0,SUMPRODUCT(--(O2587:AS2587="R")))</f>
        <v/>
      </c>
      <c r="AY2587" s="44" t="n"/>
    </row>
    <row r="2588" hidden="1" outlineLevel="1" ht="15" customHeight="1" s="15">
      <c r="B2588" s="41" t="n">
        <v>11</v>
      </c>
      <c r="C2588" s="42">
        <f>IF(EMPLOYES!C61="","",EMPLOYES!C61)</f>
        <v/>
      </c>
      <c r="D2588" s="43">
        <f>IF(EMPLOYES!C61="","",EMPLOYES!D61)</f>
        <v/>
      </c>
      <c r="E2588" s="44" t="n"/>
      <c r="F2588" s="42" t="n"/>
      <c r="G2588" s="41">
        <f>IF($C2588="",0,MAX(0,$M2588-$N2588))</f>
        <v/>
      </c>
      <c r="H2588" s="45" t="n"/>
      <c r="I2588" s="41">
        <f>IF($C2588="","",IF(H2588="","OK",IF(H2588&gt;EMPLOYES!P61,"⚠ Avance &gt; salaire",IF(H2588&gt;EMPLOYES!P61*PARAMETRES!$C$218,"⚠ Avance élevée","OK"))))</f>
        <v/>
      </c>
      <c r="J2588" s="45" t="n"/>
      <c r="K2588" s="46" t="n"/>
      <c r="L2588" s="46" t="n"/>
      <c r="M2588" s="41">
        <f>IF($C2588="","",SUMPRODUCT((PARAMETRES!$B$38:$B$157=PARAMETRES!$C$29)*(PARAMETRES!$C$38:$C$157=11)*(IF(EMPLOYES!M61="5j",PARAMETRES!$I$38:$I$157,PARAMETRES!$H$38:$H$157))))</f>
        <v/>
      </c>
      <c r="N2588" s="41">
        <f>IF($C2588="","",SUMPRODUCT((O2588:AS2588="P")+(O2588:AS2588="F")+(O2588:AS2588="C")+0.5*(O2588:AS2588="D"),(1-((O2539:AS2539=6)*(EMPLOYES!M61="5j")))))</f>
        <v/>
      </c>
      <c r="O2588" s="46" t="n"/>
      <c r="P2588" s="46" t="n"/>
      <c r="Q2588" s="46" t="n"/>
      <c r="R2588" s="46" t="n"/>
      <c r="S2588" s="46" t="n"/>
      <c r="T2588" s="46" t="n"/>
      <c r="U2588" s="46" t="n"/>
      <c r="V2588" s="46" t="n"/>
      <c r="W2588" s="46" t="n"/>
      <c r="X2588" s="46" t="n"/>
      <c r="Y2588" s="46" t="n"/>
      <c r="Z2588" s="46" t="n"/>
      <c r="AA2588" s="46" t="n"/>
      <c r="AB2588" s="46" t="n"/>
      <c r="AC2588" s="46" t="n"/>
      <c r="AD2588" s="46" t="n"/>
      <c r="AE2588" s="46" t="n"/>
      <c r="AF2588" s="46" t="n"/>
      <c r="AG2588" s="46" t="n"/>
      <c r="AH2588" s="46" t="n"/>
      <c r="AI2588" s="46" t="n"/>
      <c r="AJ2588" s="46" t="n"/>
      <c r="AK2588" s="46" t="n"/>
      <c r="AL2588" s="46" t="n"/>
      <c r="AM2588" s="46" t="n"/>
      <c r="AN2588" s="46" t="n"/>
      <c r="AO2588" s="46" t="n"/>
      <c r="AP2588" s="46" t="n"/>
      <c r="AQ2588" s="46" t="n"/>
      <c r="AR2588" s="46" t="n"/>
      <c r="AS2588" s="46" t="n"/>
      <c r="AV2588" s="36">
        <f>IF($C2588="","",EMPLOYES!M61)</f>
        <v/>
      </c>
      <c r="AW2588" s="36">
        <f>IF($C2588="",0,SUMPRODUCT(--(O2588:AS2588="C")))</f>
        <v/>
      </c>
      <c r="AX2588" s="36">
        <f>IF($C2588="",0,SUMPRODUCT(--(O2588:AS2588="R")))</f>
        <v/>
      </c>
      <c r="AY2588" s="44" t="n"/>
    </row>
    <row r="2589" hidden="1" outlineLevel="1" ht="15" customHeight="1" s="15">
      <c r="B2589" s="41" t="n">
        <v>11</v>
      </c>
      <c r="C2589" s="42">
        <f>IF(EMPLOYES!C62="","",EMPLOYES!C62)</f>
        <v/>
      </c>
      <c r="D2589" s="43">
        <f>IF(EMPLOYES!C62="","",EMPLOYES!D62)</f>
        <v/>
      </c>
      <c r="E2589" s="44" t="n"/>
      <c r="F2589" s="42" t="n"/>
      <c r="G2589" s="41">
        <f>IF($C2589="",0,MAX(0,$M2589-$N2589))</f>
        <v/>
      </c>
      <c r="H2589" s="45" t="n"/>
      <c r="I2589" s="41">
        <f>IF($C2589="","",IF(H2589="","OK",IF(H2589&gt;EMPLOYES!P62,"⚠ Avance &gt; salaire",IF(H2589&gt;EMPLOYES!P62*PARAMETRES!$C$218,"⚠ Avance élevée","OK"))))</f>
        <v/>
      </c>
      <c r="J2589" s="45" t="n"/>
      <c r="K2589" s="46" t="n"/>
      <c r="L2589" s="46" t="n"/>
      <c r="M2589" s="41">
        <f>IF($C2589="","",SUMPRODUCT((PARAMETRES!$B$38:$B$157=PARAMETRES!$C$29)*(PARAMETRES!$C$38:$C$157=11)*(IF(EMPLOYES!M62="5j",PARAMETRES!$I$38:$I$157,PARAMETRES!$H$38:$H$157))))</f>
        <v/>
      </c>
      <c r="N2589" s="41">
        <f>IF($C2589="","",SUMPRODUCT((O2589:AS2589="P")+(O2589:AS2589="F")+(O2589:AS2589="C")+0.5*(O2589:AS2589="D"),(1-((O2539:AS2539=6)*(EMPLOYES!M62="5j")))))</f>
        <v/>
      </c>
      <c r="O2589" s="46" t="n"/>
      <c r="P2589" s="46" t="n"/>
      <c r="Q2589" s="46" t="n"/>
      <c r="R2589" s="46" t="n"/>
      <c r="S2589" s="46" t="n"/>
      <c r="T2589" s="46" t="n"/>
      <c r="U2589" s="46" t="n"/>
      <c r="V2589" s="46" t="n"/>
      <c r="W2589" s="46" t="n"/>
      <c r="X2589" s="46" t="n"/>
      <c r="Y2589" s="46" t="n"/>
      <c r="Z2589" s="46" t="n"/>
      <c r="AA2589" s="46" t="n"/>
      <c r="AB2589" s="46" t="n"/>
      <c r="AC2589" s="46" t="n"/>
      <c r="AD2589" s="46" t="n"/>
      <c r="AE2589" s="46" t="n"/>
      <c r="AF2589" s="46" t="n"/>
      <c r="AG2589" s="46" t="n"/>
      <c r="AH2589" s="46" t="n"/>
      <c r="AI2589" s="46" t="n"/>
      <c r="AJ2589" s="46" t="n"/>
      <c r="AK2589" s="46" t="n"/>
      <c r="AL2589" s="46" t="n"/>
      <c r="AM2589" s="46" t="n"/>
      <c r="AN2589" s="46" t="n"/>
      <c r="AO2589" s="46" t="n"/>
      <c r="AP2589" s="46" t="n"/>
      <c r="AQ2589" s="46" t="n"/>
      <c r="AR2589" s="46" t="n"/>
      <c r="AS2589" s="46" t="n"/>
      <c r="AV2589" s="36">
        <f>IF($C2589="","",EMPLOYES!M62)</f>
        <v/>
      </c>
      <c r="AW2589" s="36">
        <f>IF($C2589="",0,SUMPRODUCT(--(O2589:AS2589="C")))</f>
        <v/>
      </c>
      <c r="AX2589" s="36">
        <f>IF($C2589="",0,SUMPRODUCT(--(O2589:AS2589="R")))</f>
        <v/>
      </c>
      <c r="AY2589" s="44" t="n"/>
    </row>
    <row r="2590" hidden="1" outlineLevel="1" ht="15" customHeight="1" s="15">
      <c r="B2590" s="41" t="n">
        <v>11</v>
      </c>
      <c r="C2590" s="42">
        <f>IF(EMPLOYES!C63="","",EMPLOYES!C63)</f>
        <v/>
      </c>
      <c r="D2590" s="43">
        <f>IF(EMPLOYES!C63="","",EMPLOYES!D63)</f>
        <v/>
      </c>
      <c r="E2590" s="44" t="n"/>
      <c r="F2590" s="42" t="n"/>
      <c r="G2590" s="41">
        <f>IF($C2590="",0,MAX(0,$M2590-$N2590))</f>
        <v/>
      </c>
      <c r="H2590" s="45" t="n"/>
      <c r="I2590" s="41">
        <f>IF($C2590="","",IF(H2590="","OK",IF(H2590&gt;EMPLOYES!P63,"⚠ Avance &gt; salaire",IF(H2590&gt;EMPLOYES!P63*PARAMETRES!$C$218,"⚠ Avance élevée","OK"))))</f>
        <v/>
      </c>
      <c r="J2590" s="45" t="n"/>
      <c r="K2590" s="46" t="n"/>
      <c r="L2590" s="46" t="n"/>
      <c r="M2590" s="41">
        <f>IF($C2590="","",SUMPRODUCT((PARAMETRES!$B$38:$B$157=PARAMETRES!$C$29)*(PARAMETRES!$C$38:$C$157=11)*(IF(EMPLOYES!M63="5j",PARAMETRES!$I$38:$I$157,PARAMETRES!$H$38:$H$157))))</f>
        <v/>
      </c>
      <c r="N2590" s="41">
        <f>IF($C2590="","",SUMPRODUCT((O2590:AS2590="P")+(O2590:AS2590="F")+(O2590:AS2590="C")+0.5*(O2590:AS2590="D"),(1-((O2539:AS2539=6)*(EMPLOYES!M63="5j")))))</f>
        <v/>
      </c>
      <c r="O2590" s="46" t="n"/>
      <c r="P2590" s="46" t="n"/>
      <c r="Q2590" s="46" t="n"/>
      <c r="R2590" s="46" t="n"/>
      <c r="S2590" s="46" t="n"/>
      <c r="T2590" s="46" t="n"/>
      <c r="U2590" s="46" t="n"/>
      <c r="V2590" s="46" t="n"/>
      <c r="W2590" s="46" t="n"/>
      <c r="X2590" s="46" t="n"/>
      <c r="Y2590" s="46" t="n"/>
      <c r="Z2590" s="46" t="n"/>
      <c r="AA2590" s="46" t="n"/>
      <c r="AB2590" s="46" t="n"/>
      <c r="AC2590" s="46" t="n"/>
      <c r="AD2590" s="46" t="n"/>
      <c r="AE2590" s="46" t="n"/>
      <c r="AF2590" s="46" t="n"/>
      <c r="AG2590" s="46" t="n"/>
      <c r="AH2590" s="46" t="n"/>
      <c r="AI2590" s="46" t="n"/>
      <c r="AJ2590" s="46" t="n"/>
      <c r="AK2590" s="46" t="n"/>
      <c r="AL2590" s="46" t="n"/>
      <c r="AM2590" s="46" t="n"/>
      <c r="AN2590" s="46" t="n"/>
      <c r="AO2590" s="46" t="n"/>
      <c r="AP2590" s="46" t="n"/>
      <c r="AQ2590" s="46" t="n"/>
      <c r="AR2590" s="46" t="n"/>
      <c r="AS2590" s="46" t="n"/>
      <c r="AV2590" s="36">
        <f>IF($C2590="","",EMPLOYES!M63)</f>
        <v/>
      </c>
      <c r="AW2590" s="36">
        <f>IF($C2590="",0,SUMPRODUCT(--(O2590:AS2590="C")))</f>
        <v/>
      </c>
      <c r="AX2590" s="36">
        <f>IF($C2590="",0,SUMPRODUCT(--(O2590:AS2590="R")))</f>
        <v/>
      </c>
      <c r="AY2590" s="44" t="n"/>
    </row>
    <row r="2591" hidden="1" outlineLevel="1" ht="15" customHeight="1" s="15">
      <c r="B2591" s="41" t="n">
        <v>11</v>
      </c>
      <c r="C2591" s="42">
        <f>IF(EMPLOYES!C64="","",EMPLOYES!C64)</f>
        <v/>
      </c>
      <c r="D2591" s="43">
        <f>IF(EMPLOYES!C64="","",EMPLOYES!D64)</f>
        <v/>
      </c>
      <c r="E2591" s="44" t="n"/>
      <c r="F2591" s="42" t="n"/>
      <c r="G2591" s="41">
        <f>IF($C2591="",0,MAX(0,$M2591-$N2591))</f>
        <v/>
      </c>
      <c r="H2591" s="45" t="n"/>
      <c r="I2591" s="41">
        <f>IF($C2591="","",IF(H2591="","OK",IF(H2591&gt;EMPLOYES!P64,"⚠ Avance &gt; salaire",IF(H2591&gt;EMPLOYES!P64*PARAMETRES!$C$218,"⚠ Avance élevée","OK"))))</f>
        <v/>
      </c>
      <c r="J2591" s="45" t="n"/>
      <c r="K2591" s="46" t="n"/>
      <c r="L2591" s="46" t="n"/>
      <c r="M2591" s="41">
        <f>IF($C2591="","",SUMPRODUCT((PARAMETRES!$B$38:$B$157=PARAMETRES!$C$29)*(PARAMETRES!$C$38:$C$157=11)*(IF(EMPLOYES!M64="5j",PARAMETRES!$I$38:$I$157,PARAMETRES!$H$38:$H$157))))</f>
        <v/>
      </c>
      <c r="N2591" s="41">
        <f>IF($C2591="","",SUMPRODUCT((O2591:AS2591="P")+(O2591:AS2591="F")+(O2591:AS2591="C")+0.5*(O2591:AS2591="D"),(1-((O2539:AS2539=6)*(EMPLOYES!M64="5j")))))</f>
        <v/>
      </c>
      <c r="O2591" s="46" t="n"/>
      <c r="P2591" s="46" t="n"/>
      <c r="Q2591" s="46" t="n"/>
      <c r="R2591" s="46" t="n"/>
      <c r="S2591" s="46" t="n"/>
      <c r="T2591" s="46" t="n"/>
      <c r="U2591" s="46" t="n"/>
      <c r="V2591" s="46" t="n"/>
      <c r="W2591" s="46" t="n"/>
      <c r="X2591" s="46" t="n"/>
      <c r="Y2591" s="46" t="n"/>
      <c r="Z2591" s="46" t="n"/>
      <c r="AA2591" s="46" t="n"/>
      <c r="AB2591" s="46" t="n"/>
      <c r="AC2591" s="46" t="n"/>
      <c r="AD2591" s="46" t="n"/>
      <c r="AE2591" s="46" t="n"/>
      <c r="AF2591" s="46" t="n"/>
      <c r="AG2591" s="46" t="n"/>
      <c r="AH2591" s="46" t="n"/>
      <c r="AI2591" s="46" t="n"/>
      <c r="AJ2591" s="46" t="n"/>
      <c r="AK2591" s="46" t="n"/>
      <c r="AL2591" s="46" t="n"/>
      <c r="AM2591" s="46" t="n"/>
      <c r="AN2591" s="46" t="n"/>
      <c r="AO2591" s="46" t="n"/>
      <c r="AP2591" s="46" t="n"/>
      <c r="AQ2591" s="46" t="n"/>
      <c r="AR2591" s="46" t="n"/>
      <c r="AS2591" s="46" t="n"/>
      <c r="AV2591" s="36">
        <f>IF($C2591="","",EMPLOYES!M64)</f>
        <v/>
      </c>
      <c r="AW2591" s="36">
        <f>IF($C2591="",0,SUMPRODUCT(--(O2591:AS2591="C")))</f>
        <v/>
      </c>
      <c r="AX2591" s="36">
        <f>IF($C2591="",0,SUMPRODUCT(--(O2591:AS2591="R")))</f>
        <v/>
      </c>
      <c r="AY2591" s="44" t="n"/>
    </row>
    <row r="2592" hidden="1" outlineLevel="1" ht="15" customHeight="1" s="15">
      <c r="B2592" s="41" t="n">
        <v>11</v>
      </c>
      <c r="C2592" s="42">
        <f>IF(EMPLOYES!C65="","",EMPLOYES!C65)</f>
        <v/>
      </c>
      <c r="D2592" s="43">
        <f>IF(EMPLOYES!C65="","",EMPLOYES!D65)</f>
        <v/>
      </c>
      <c r="E2592" s="44" t="n"/>
      <c r="F2592" s="42" t="n"/>
      <c r="G2592" s="41">
        <f>IF($C2592="",0,MAX(0,$M2592-$N2592))</f>
        <v/>
      </c>
      <c r="H2592" s="45" t="n"/>
      <c r="I2592" s="41">
        <f>IF($C2592="","",IF(H2592="","OK",IF(H2592&gt;EMPLOYES!P65,"⚠ Avance &gt; salaire",IF(H2592&gt;EMPLOYES!P65*PARAMETRES!$C$218,"⚠ Avance élevée","OK"))))</f>
        <v/>
      </c>
      <c r="J2592" s="45" t="n"/>
      <c r="K2592" s="46" t="n"/>
      <c r="L2592" s="46" t="n"/>
      <c r="M2592" s="41">
        <f>IF($C2592="","",SUMPRODUCT((PARAMETRES!$B$38:$B$157=PARAMETRES!$C$29)*(PARAMETRES!$C$38:$C$157=11)*(IF(EMPLOYES!M65="5j",PARAMETRES!$I$38:$I$157,PARAMETRES!$H$38:$H$157))))</f>
        <v/>
      </c>
      <c r="N2592" s="41">
        <f>IF($C2592="","",SUMPRODUCT((O2592:AS2592="P")+(O2592:AS2592="F")+(O2592:AS2592="C")+0.5*(O2592:AS2592="D"),(1-((O2539:AS2539=6)*(EMPLOYES!M65="5j")))))</f>
        <v/>
      </c>
      <c r="O2592" s="46" t="n"/>
      <c r="P2592" s="46" t="n"/>
      <c r="Q2592" s="46" t="n"/>
      <c r="R2592" s="46" t="n"/>
      <c r="S2592" s="46" t="n"/>
      <c r="T2592" s="46" t="n"/>
      <c r="U2592" s="46" t="n"/>
      <c r="V2592" s="46" t="n"/>
      <c r="W2592" s="46" t="n"/>
      <c r="X2592" s="46" t="n"/>
      <c r="Y2592" s="46" t="n"/>
      <c r="Z2592" s="46" t="n"/>
      <c r="AA2592" s="46" t="n"/>
      <c r="AB2592" s="46" t="n"/>
      <c r="AC2592" s="46" t="n"/>
      <c r="AD2592" s="46" t="n"/>
      <c r="AE2592" s="46" t="n"/>
      <c r="AF2592" s="46" t="n"/>
      <c r="AG2592" s="46" t="n"/>
      <c r="AH2592" s="46" t="n"/>
      <c r="AI2592" s="46" t="n"/>
      <c r="AJ2592" s="46" t="n"/>
      <c r="AK2592" s="46" t="n"/>
      <c r="AL2592" s="46" t="n"/>
      <c r="AM2592" s="46" t="n"/>
      <c r="AN2592" s="46" t="n"/>
      <c r="AO2592" s="46" t="n"/>
      <c r="AP2592" s="46" t="n"/>
      <c r="AQ2592" s="46" t="n"/>
      <c r="AR2592" s="46" t="n"/>
      <c r="AS2592" s="46" t="n"/>
      <c r="AV2592" s="36">
        <f>IF($C2592="","",EMPLOYES!M65)</f>
        <v/>
      </c>
      <c r="AW2592" s="36">
        <f>IF($C2592="",0,SUMPRODUCT(--(O2592:AS2592="C")))</f>
        <v/>
      </c>
      <c r="AX2592" s="36">
        <f>IF($C2592="",0,SUMPRODUCT(--(O2592:AS2592="R")))</f>
        <v/>
      </c>
      <c r="AY2592" s="44" t="n"/>
    </row>
    <row r="2593" hidden="1" outlineLevel="1" ht="15" customHeight="1" s="15">
      <c r="B2593" s="41" t="n">
        <v>11</v>
      </c>
      <c r="C2593" s="42">
        <f>IF(EMPLOYES!C66="","",EMPLOYES!C66)</f>
        <v/>
      </c>
      <c r="D2593" s="43">
        <f>IF(EMPLOYES!C66="","",EMPLOYES!D66)</f>
        <v/>
      </c>
      <c r="E2593" s="44" t="n"/>
      <c r="F2593" s="42" t="n"/>
      <c r="G2593" s="41">
        <f>IF($C2593="",0,MAX(0,$M2593-$N2593))</f>
        <v/>
      </c>
      <c r="H2593" s="45" t="n"/>
      <c r="I2593" s="41">
        <f>IF($C2593="","",IF(H2593="","OK",IF(H2593&gt;EMPLOYES!P66,"⚠ Avance &gt; salaire",IF(H2593&gt;EMPLOYES!P66*PARAMETRES!$C$218,"⚠ Avance élevée","OK"))))</f>
        <v/>
      </c>
      <c r="J2593" s="45" t="n"/>
      <c r="K2593" s="46" t="n"/>
      <c r="L2593" s="46" t="n"/>
      <c r="M2593" s="41">
        <f>IF($C2593="","",SUMPRODUCT((PARAMETRES!$B$38:$B$157=PARAMETRES!$C$29)*(PARAMETRES!$C$38:$C$157=11)*(IF(EMPLOYES!M66="5j",PARAMETRES!$I$38:$I$157,PARAMETRES!$H$38:$H$157))))</f>
        <v/>
      </c>
      <c r="N2593" s="41">
        <f>IF($C2593="","",SUMPRODUCT((O2593:AS2593="P")+(O2593:AS2593="F")+(O2593:AS2593="C")+0.5*(O2593:AS2593="D"),(1-((O2539:AS2539=6)*(EMPLOYES!M66="5j")))))</f>
        <v/>
      </c>
      <c r="O2593" s="46" t="n"/>
      <c r="P2593" s="46" t="n"/>
      <c r="Q2593" s="46" t="n"/>
      <c r="R2593" s="46" t="n"/>
      <c r="S2593" s="46" t="n"/>
      <c r="T2593" s="46" t="n"/>
      <c r="U2593" s="46" t="n"/>
      <c r="V2593" s="46" t="n"/>
      <c r="W2593" s="46" t="n"/>
      <c r="X2593" s="46" t="n"/>
      <c r="Y2593" s="46" t="n"/>
      <c r="Z2593" s="46" t="n"/>
      <c r="AA2593" s="46" t="n"/>
      <c r="AB2593" s="46" t="n"/>
      <c r="AC2593" s="46" t="n"/>
      <c r="AD2593" s="46" t="n"/>
      <c r="AE2593" s="46" t="n"/>
      <c r="AF2593" s="46" t="n"/>
      <c r="AG2593" s="46" t="n"/>
      <c r="AH2593" s="46" t="n"/>
      <c r="AI2593" s="46" t="n"/>
      <c r="AJ2593" s="46" t="n"/>
      <c r="AK2593" s="46" t="n"/>
      <c r="AL2593" s="46" t="n"/>
      <c r="AM2593" s="46" t="n"/>
      <c r="AN2593" s="46" t="n"/>
      <c r="AO2593" s="46" t="n"/>
      <c r="AP2593" s="46" t="n"/>
      <c r="AQ2593" s="46" t="n"/>
      <c r="AR2593" s="46" t="n"/>
      <c r="AS2593" s="46" t="n"/>
      <c r="AV2593" s="36">
        <f>IF($C2593="","",EMPLOYES!M66)</f>
        <v/>
      </c>
      <c r="AW2593" s="36">
        <f>IF($C2593="",0,SUMPRODUCT(--(O2593:AS2593="C")))</f>
        <v/>
      </c>
      <c r="AX2593" s="36">
        <f>IF($C2593="",0,SUMPRODUCT(--(O2593:AS2593="R")))</f>
        <v/>
      </c>
      <c r="AY2593" s="44" t="n"/>
    </row>
    <row r="2594" hidden="1" outlineLevel="1" ht="15" customHeight="1" s="15">
      <c r="B2594" s="41" t="n">
        <v>11</v>
      </c>
      <c r="C2594" s="42">
        <f>IF(EMPLOYES!C67="","",EMPLOYES!C67)</f>
        <v/>
      </c>
      <c r="D2594" s="43">
        <f>IF(EMPLOYES!C67="","",EMPLOYES!D67)</f>
        <v/>
      </c>
      <c r="E2594" s="44" t="n"/>
      <c r="F2594" s="42" t="n"/>
      <c r="G2594" s="41">
        <f>IF($C2594="",0,MAX(0,$M2594-$N2594))</f>
        <v/>
      </c>
      <c r="H2594" s="45" t="n"/>
      <c r="I2594" s="41">
        <f>IF($C2594="","",IF(H2594="","OK",IF(H2594&gt;EMPLOYES!P67,"⚠ Avance &gt; salaire",IF(H2594&gt;EMPLOYES!P67*PARAMETRES!$C$218,"⚠ Avance élevée","OK"))))</f>
        <v/>
      </c>
      <c r="J2594" s="45" t="n"/>
      <c r="K2594" s="46" t="n"/>
      <c r="L2594" s="46" t="n"/>
      <c r="M2594" s="41">
        <f>IF($C2594="","",SUMPRODUCT((PARAMETRES!$B$38:$B$157=PARAMETRES!$C$29)*(PARAMETRES!$C$38:$C$157=11)*(IF(EMPLOYES!M67="5j",PARAMETRES!$I$38:$I$157,PARAMETRES!$H$38:$H$157))))</f>
        <v/>
      </c>
      <c r="N2594" s="41">
        <f>IF($C2594="","",SUMPRODUCT((O2594:AS2594="P")+(O2594:AS2594="F")+(O2594:AS2594="C")+0.5*(O2594:AS2594="D"),(1-((O2539:AS2539=6)*(EMPLOYES!M67="5j")))))</f>
        <v/>
      </c>
      <c r="O2594" s="46" t="n"/>
      <c r="P2594" s="46" t="n"/>
      <c r="Q2594" s="46" t="n"/>
      <c r="R2594" s="46" t="n"/>
      <c r="S2594" s="46" t="n"/>
      <c r="T2594" s="46" t="n"/>
      <c r="U2594" s="46" t="n"/>
      <c r="V2594" s="46" t="n"/>
      <c r="W2594" s="46" t="n"/>
      <c r="X2594" s="46" t="n"/>
      <c r="Y2594" s="46" t="n"/>
      <c r="Z2594" s="46" t="n"/>
      <c r="AA2594" s="46" t="n"/>
      <c r="AB2594" s="46" t="n"/>
      <c r="AC2594" s="46" t="n"/>
      <c r="AD2594" s="46" t="n"/>
      <c r="AE2594" s="46" t="n"/>
      <c r="AF2594" s="46" t="n"/>
      <c r="AG2594" s="46" t="n"/>
      <c r="AH2594" s="46" t="n"/>
      <c r="AI2594" s="46" t="n"/>
      <c r="AJ2594" s="46" t="n"/>
      <c r="AK2594" s="46" t="n"/>
      <c r="AL2594" s="46" t="n"/>
      <c r="AM2594" s="46" t="n"/>
      <c r="AN2594" s="46" t="n"/>
      <c r="AO2594" s="46" t="n"/>
      <c r="AP2594" s="46" t="n"/>
      <c r="AQ2594" s="46" t="n"/>
      <c r="AR2594" s="46" t="n"/>
      <c r="AS2594" s="46" t="n"/>
      <c r="AV2594" s="36">
        <f>IF($C2594="","",EMPLOYES!M67)</f>
        <v/>
      </c>
      <c r="AW2594" s="36">
        <f>IF($C2594="",0,SUMPRODUCT(--(O2594:AS2594="C")))</f>
        <v/>
      </c>
      <c r="AX2594" s="36">
        <f>IF($C2594="",0,SUMPRODUCT(--(O2594:AS2594="R")))</f>
        <v/>
      </c>
      <c r="AY2594" s="44" t="n"/>
    </row>
    <row r="2595" hidden="1" outlineLevel="1" ht="15" customHeight="1" s="15">
      <c r="B2595" s="41" t="n">
        <v>11</v>
      </c>
      <c r="C2595" s="42">
        <f>IF(EMPLOYES!C68="","",EMPLOYES!C68)</f>
        <v/>
      </c>
      <c r="D2595" s="43">
        <f>IF(EMPLOYES!C68="","",EMPLOYES!D68)</f>
        <v/>
      </c>
      <c r="E2595" s="44" t="n"/>
      <c r="F2595" s="42" t="n"/>
      <c r="G2595" s="41">
        <f>IF($C2595="",0,MAX(0,$M2595-$N2595))</f>
        <v/>
      </c>
      <c r="H2595" s="45" t="n"/>
      <c r="I2595" s="41">
        <f>IF($C2595="","",IF(H2595="","OK",IF(H2595&gt;EMPLOYES!P68,"⚠ Avance &gt; salaire",IF(H2595&gt;EMPLOYES!P68*PARAMETRES!$C$218,"⚠ Avance élevée","OK"))))</f>
        <v/>
      </c>
      <c r="J2595" s="45" t="n"/>
      <c r="K2595" s="46" t="n"/>
      <c r="L2595" s="46" t="n"/>
      <c r="M2595" s="41">
        <f>IF($C2595="","",SUMPRODUCT((PARAMETRES!$B$38:$B$157=PARAMETRES!$C$29)*(PARAMETRES!$C$38:$C$157=11)*(IF(EMPLOYES!M68="5j",PARAMETRES!$I$38:$I$157,PARAMETRES!$H$38:$H$157))))</f>
        <v/>
      </c>
      <c r="N2595" s="41">
        <f>IF($C2595="","",SUMPRODUCT((O2595:AS2595="P")+(O2595:AS2595="F")+(O2595:AS2595="C")+0.5*(O2595:AS2595="D"),(1-((O2539:AS2539=6)*(EMPLOYES!M68="5j")))))</f>
        <v/>
      </c>
      <c r="O2595" s="46" t="n"/>
      <c r="P2595" s="46" t="n"/>
      <c r="Q2595" s="46" t="n"/>
      <c r="R2595" s="46" t="n"/>
      <c r="S2595" s="46" t="n"/>
      <c r="T2595" s="46" t="n"/>
      <c r="U2595" s="46" t="n"/>
      <c r="V2595" s="46" t="n"/>
      <c r="W2595" s="46" t="n"/>
      <c r="X2595" s="46" t="n"/>
      <c r="Y2595" s="46" t="n"/>
      <c r="Z2595" s="46" t="n"/>
      <c r="AA2595" s="46" t="n"/>
      <c r="AB2595" s="46" t="n"/>
      <c r="AC2595" s="46" t="n"/>
      <c r="AD2595" s="46" t="n"/>
      <c r="AE2595" s="46" t="n"/>
      <c r="AF2595" s="46" t="n"/>
      <c r="AG2595" s="46" t="n"/>
      <c r="AH2595" s="46" t="n"/>
      <c r="AI2595" s="46" t="n"/>
      <c r="AJ2595" s="46" t="n"/>
      <c r="AK2595" s="46" t="n"/>
      <c r="AL2595" s="46" t="n"/>
      <c r="AM2595" s="46" t="n"/>
      <c r="AN2595" s="46" t="n"/>
      <c r="AO2595" s="46" t="n"/>
      <c r="AP2595" s="46" t="n"/>
      <c r="AQ2595" s="46" t="n"/>
      <c r="AR2595" s="46" t="n"/>
      <c r="AS2595" s="46" t="n"/>
      <c r="AV2595" s="36">
        <f>IF($C2595="","",EMPLOYES!M68)</f>
        <v/>
      </c>
      <c r="AW2595" s="36">
        <f>IF($C2595="",0,SUMPRODUCT(--(O2595:AS2595="C")))</f>
        <v/>
      </c>
      <c r="AX2595" s="36">
        <f>IF($C2595="",0,SUMPRODUCT(--(O2595:AS2595="R")))</f>
        <v/>
      </c>
      <c r="AY2595" s="44" t="n"/>
    </row>
    <row r="2596" hidden="1" outlineLevel="1" ht="15" customHeight="1" s="15">
      <c r="B2596" s="41" t="n">
        <v>11</v>
      </c>
      <c r="C2596" s="42">
        <f>IF(EMPLOYES!C69="","",EMPLOYES!C69)</f>
        <v/>
      </c>
      <c r="D2596" s="43">
        <f>IF(EMPLOYES!C69="","",EMPLOYES!D69)</f>
        <v/>
      </c>
      <c r="E2596" s="44" t="n"/>
      <c r="F2596" s="42" t="n"/>
      <c r="G2596" s="41">
        <f>IF($C2596="",0,MAX(0,$M2596-$N2596))</f>
        <v/>
      </c>
      <c r="H2596" s="45" t="n"/>
      <c r="I2596" s="41">
        <f>IF($C2596="","",IF(H2596="","OK",IF(H2596&gt;EMPLOYES!P69,"⚠ Avance &gt; salaire",IF(H2596&gt;EMPLOYES!P69*PARAMETRES!$C$218,"⚠ Avance élevée","OK"))))</f>
        <v/>
      </c>
      <c r="J2596" s="45" t="n"/>
      <c r="K2596" s="46" t="n"/>
      <c r="L2596" s="46" t="n"/>
      <c r="M2596" s="41">
        <f>IF($C2596="","",SUMPRODUCT((PARAMETRES!$B$38:$B$157=PARAMETRES!$C$29)*(PARAMETRES!$C$38:$C$157=11)*(IF(EMPLOYES!M69="5j",PARAMETRES!$I$38:$I$157,PARAMETRES!$H$38:$H$157))))</f>
        <v/>
      </c>
      <c r="N2596" s="41">
        <f>IF($C2596="","",SUMPRODUCT((O2596:AS2596="P")+(O2596:AS2596="F")+(O2596:AS2596="C")+0.5*(O2596:AS2596="D"),(1-((O2539:AS2539=6)*(EMPLOYES!M69="5j")))))</f>
        <v/>
      </c>
      <c r="O2596" s="46" t="n"/>
      <c r="P2596" s="46" t="n"/>
      <c r="Q2596" s="46" t="n"/>
      <c r="R2596" s="46" t="n"/>
      <c r="S2596" s="46" t="n"/>
      <c r="T2596" s="46" t="n"/>
      <c r="U2596" s="46" t="n"/>
      <c r="V2596" s="46" t="n"/>
      <c r="W2596" s="46" t="n"/>
      <c r="X2596" s="46" t="n"/>
      <c r="Y2596" s="46" t="n"/>
      <c r="Z2596" s="46" t="n"/>
      <c r="AA2596" s="46" t="n"/>
      <c r="AB2596" s="46" t="n"/>
      <c r="AC2596" s="46" t="n"/>
      <c r="AD2596" s="46" t="n"/>
      <c r="AE2596" s="46" t="n"/>
      <c r="AF2596" s="46" t="n"/>
      <c r="AG2596" s="46" t="n"/>
      <c r="AH2596" s="46" t="n"/>
      <c r="AI2596" s="46" t="n"/>
      <c r="AJ2596" s="46" t="n"/>
      <c r="AK2596" s="46" t="n"/>
      <c r="AL2596" s="46" t="n"/>
      <c r="AM2596" s="46" t="n"/>
      <c r="AN2596" s="46" t="n"/>
      <c r="AO2596" s="46" t="n"/>
      <c r="AP2596" s="46" t="n"/>
      <c r="AQ2596" s="46" t="n"/>
      <c r="AR2596" s="46" t="n"/>
      <c r="AS2596" s="46" t="n"/>
      <c r="AV2596" s="36">
        <f>IF($C2596="","",EMPLOYES!M69)</f>
        <v/>
      </c>
      <c r="AW2596" s="36">
        <f>IF($C2596="",0,SUMPRODUCT(--(O2596:AS2596="C")))</f>
        <v/>
      </c>
      <c r="AX2596" s="36">
        <f>IF($C2596="",0,SUMPRODUCT(--(O2596:AS2596="R")))</f>
        <v/>
      </c>
      <c r="AY2596" s="44" t="n"/>
    </row>
    <row r="2597" hidden="1" outlineLevel="1" ht="15" customHeight="1" s="15">
      <c r="B2597" s="41" t="n">
        <v>11</v>
      </c>
      <c r="C2597" s="42">
        <f>IF(EMPLOYES!C70="","",EMPLOYES!C70)</f>
        <v/>
      </c>
      <c r="D2597" s="43">
        <f>IF(EMPLOYES!C70="","",EMPLOYES!D70)</f>
        <v/>
      </c>
      <c r="E2597" s="44" t="n"/>
      <c r="F2597" s="42" t="n"/>
      <c r="G2597" s="41">
        <f>IF($C2597="",0,MAX(0,$M2597-$N2597))</f>
        <v/>
      </c>
      <c r="H2597" s="45" t="n"/>
      <c r="I2597" s="41">
        <f>IF($C2597="","",IF(H2597="","OK",IF(H2597&gt;EMPLOYES!P70,"⚠ Avance &gt; salaire",IF(H2597&gt;EMPLOYES!P70*PARAMETRES!$C$218,"⚠ Avance élevée","OK"))))</f>
        <v/>
      </c>
      <c r="J2597" s="45" t="n"/>
      <c r="K2597" s="46" t="n"/>
      <c r="L2597" s="46" t="n"/>
      <c r="M2597" s="41">
        <f>IF($C2597="","",SUMPRODUCT((PARAMETRES!$B$38:$B$157=PARAMETRES!$C$29)*(PARAMETRES!$C$38:$C$157=11)*(IF(EMPLOYES!M70="5j",PARAMETRES!$I$38:$I$157,PARAMETRES!$H$38:$H$157))))</f>
        <v/>
      </c>
      <c r="N2597" s="41">
        <f>IF($C2597="","",SUMPRODUCT((O2597:AS2597="P")+(O2597:AS2597="F")+(O2597:AS2597="C")+0.5*(O2597:AS2597="D"),(1-((O2539:AS2539=6)*(EMPLOYES!M70="5j")))))</f>
        <v/>
      </c>
      <c r="O2597" s="46" t="n"/>
      <c r="P2597" s="46" t="n"/>
      <c r="Q2597" s="46" t="n"/>
      <c r="R2597" s="46" t="n"/>
      <c r="S2597" s="46" t="n"/>
      <c r="T2597" s="46" t="n"/>
      <c r="U2597" s="46" t="n"/>
      <c r="V2597" s="46" t="n"/>
      <c r="W2597" s="46" t="n"/>
      <c r="X2597" s="46" t="n"/>
      <c r="Y2597" s="46" t="n"/>
      <c r="Z2597" s="46" t="n"/>
      <c r="AA2597" s="46" t="n"/>
      <c r="AB2597" s="46" t="n"/>
      <c r="AC2597" s="46" t="n"/>
      <c r="AD2597" s="46" t="n"/>
      <c r="AE2597" s="46" t="n"/>
      <c r="AF2597" s="46" t="n"/>
      <c r="AG2597" s="46" t="n"/>
      <c r="AH2597" s="46" t="n"/>
      <c r="AI2597" s="46" t="n"/>
      <c r="AJ2597" s="46" t="n"/>
      <c r="AK2597" s="46" t="n"/>
      <c r="AL2597" s="46" t="n"/>
      <c r="AM2597" s="46" t="n"/>
      <c r="AN2597" s="46" t="n"/>
      <c r="AO2597" s="46" t="n"/>
      <c r="AP2597" s="46" t="n"/>
      <c r="AQ2597" s="46" t="n"/>
      <c r="AR2597" s="46" t="n"/>
      <c r="AS2597" s="46" t="n"/>
      <c r="AV2597" s="36">
        <f>IF($C2597="","",EMPLOYES!M70)</f>
        <v/>
      </c>
      <c r="AW2597" s="36">
        <f>IF($C2597="",0,SUMPRODUCT(--(O2597:AS2597="C")))</f>
        <v/>
      </c>
      <c r="AX2597" s="36">
        <f>IF($C2597="",0,SUMPRODUCT(--(O2597:AS2597="R")))</f>
        <v/>
      </c>
      <c r="AY2597" s="44" t="n"/>
    </row>
    <row r="2598" hidden="1" outlineLevel="1" ht="15" customHeight="1" s="15">
      <c r="B2598" s="41" t="n">
        <v>11</v>
      </c>
      <c r="C2598" s="42">
        <f>IF(EMPLOYES!C71="","",EMPLOYES!C71)</f>
        <v/>
      </c>
      <c r="D2598" s="43">
        <f>IF(EMPLOYES!C71="","",EMPLOYES!D71)</f>
        <v/>
      </c>
      <c r="E2598" s="44" t="n"/>
      <c r="F2598" s="42" t="n"/>
      <c r="G2598" s="41">
        <f>IF($C2598="",0,MAX(0,$M2598-$N2598))</f>
        <v/>
      </c>
      <c r="H2598" s="45" t="n"/>
      <c r="I2598" s="41">
        <f>IF($C2598="","",IF(H2598="","OK",IF(H2598&gt;EMPLOYES!P71,"⚠ Avance &gt; salaire",IF(H2598&gt;EMPLOYES!P71*PARAMETRES!$C$218,"⚠ Avance élevée","OK"))))</f>
        <v/>
      </c>
      <c r="J2598" s="45" t="n"/>
      <c r="K2598" s="46" t="n"/>
      <c r="L2598" s="46" t="n"/>
      <c r="M2598" s="41">
        <f>IF($C2598="","",SUMPRODUCT((PARAMETRES!$B$38:$B$157=PARAMETRES!$C$29)*(PARAMETRES!$C$38:$C$157=11)*(IF(EMPLOYES!M71="5j",PARAMETRES!$I$38:$I$157,PARAMETRES!$H$38:$H$157))))</f>
        <v/>
      </c>
      <c r="N2598" s="41">
        <f>IF($C2598="","",SUMPRODUCT((O2598:AS2598="P")+(O2598:AS2598="F")+(O2598:AS2598="C")+0.5*(O2598:AS2598="D"),(1-((O2539:AS2539=6)*(EMPLOYES!M71="5j")))))</f>
        <v/>
      </c>
      <c r="O2598" s="46" t="n"/>
      <c r="P2598" s="46" t="n"/>
      <c r="Q2598" s="46" t="n"/>
      <c r="R2598" s="46" t="n"/>
      <c r="S2598" s="46" t="n"/>
      <c r="T2598" s="46" t="n"/>
      <c r="U2598" s="46" t="n"/>
      <c r="V2598" s="46" t="n"/>
      <c r="W2598" s="46" t="n"/>
      <c r="X2598" s="46" t="n"/>
      <c r="Y2598" s="46" t="n"/>
      <c r="Z2598" s="46" t="n"/>
      <c r="AA2598" s="46" t="n"/>
      <c r="AB2598" s="46" t="n"/>
      <c r="AC2598" s="46" t="n"/>
      <c r="AD2598" s="46" t="n"/>
      <c r="AE2598" s="46" t="n"/>
      <c r="AF2598" s="46" t="n"/>
      <c r="AG2598" s="46" t="n"/>
      <c r="AH2598" s="46" t="n"/>
      <c r="AI2598" s="46" t="n"/>
      <c r="AJ2598" s="46" t="n"/>
      <c r="AK2598" s="46" t="n"/>
      <c r="AL2598" s="46" t="n"/>
      <c r="AM2598" s="46" t="n"/>
      <c r="AN2598" s="46" t="n"/>
      <c r="AO2598" s="46" t="n"/>
      <c r="AP2598" s="46" t="n"/>
      <c r="AQ2598" s="46" t="n"/>
      <c r="AR2598" s="46" t="n"/>
      <c r="AS2598" s="46" t="n"/>
      <c r="AV2598" s="36">
        <f>IF($C2598="","",EMPLOYES!M71)</f>
        <v/>
      </c>
      <c r="AW2598" s="36">
        <f>IF($C2598="",0,SUMPRODUCT(--(O2598:AS2598="C")))</f>
        <v/>
      </c>
      <c r="AX2598" s="36">
        <f>IF($C2598="",0,SUMPRODUCT(--(O2598:AS2598="R")))</f>
        <v/>
      </c>
      <c r="AY2598" s="44" t="n"/>
    </row>
    <row r="2599" hidden="1" outlineLevel="1" ht="15" customHeight="1" s="15">
      <c r="B2599" s="41" t="n">
        <v>11</v>
      </c>
      <c r="C2599" s="42">
        <f>IF(EMPLOYES!C72="","",EMPLOYES!C72)</f>
        <v/>
      </c>
      <c r="D2599" s="43">
        <f>IF(EMPLOYES!C72="","",EMPLOYES!D72)</f>
        <v/>
      </c>
      <c r="E2599" s="44" t="n"/>
      <c r="F2599" s="42" t="n"/>
      <c r="G2599" s="41">
        <f>IF($C2599="",0,MAX(0,$M2599-$N2599))</f>
        <v/>
      </c>
      <c r="H2599" s="45" t="n"/>
      <c r="I2599" s="41">
        <f>IF($C2599="","",IF(H2599="","OK",IF(H2599&gt;EMPLOYES!P72,"⚠ Avance &gt; salaire",IF(H2599&gt;EMPLOYES!P72*PARAMETRES!$C$218,"⚠ Avance élevée","OK"))))</f>
        <v/>
      </c>
      <c r="J2599" s="45" t="n"/>
      <c r="K2599" s="46" t="n"/>
      <c r="L2599" s="46" t="n"/>
      <c r="M2599" s="41">
        <f>IF($C2599="","",SUMPRODUCT((PARAMETRES!$B$38:$B$157=PARAMETRES!$C$29)*(PARAMETRES!$C$38:$C$157=11)*(IF(EMPLOYES!M72="5j",PARAMETRES!$I$38:$I$157,PARAMETRES!$H$38:$H$157))))</f>
        <v/>
      </c>
      <c r="N2599" s="41">
        <f>IF($C2599="","",SUMPRODUCT((O2599:AS2599="P")+(O2599:AS2599="F")+(O2599:AS2599="C")+0.5*(O2599:AS2599="D"),(1-((O2539:AS2539=6)*(EMPLOYES!M72="5j")))))</f>
        <v/>
      </c>
      <c r="O2599" s="46" t="n"/>
      <c r="P2599" s="46" t="n"/>
      <c r="Q2599" s="46" t="n"/>
      <c r="R2599" s="46" t="n"/>
      <c r="S2599" s="46" t="n"/>
      <c r="T2599" s="46" t="n"/>
      <c r="U2599" s="46" t="n"/>
      <c r="V2599" s="46" t="n"/>
      <c r="W2599" s="46" t="n"/>
      <c r="X2599" s="46" t="n"/>
      <c r="Y2599" s="46" t="n"/>
      <c r="Z2599" s="46" t="n"/>
      <c r="AA2599" s="46" t="n"/>
      <c r="AB2599" s="46" t="n"/>
      <c r="AC2599" s="46" t="n"/>
      <c r="AD2599" s="46" t="n"/>
      <c r="AE2599" s="46" t="n"/>
      <c r="AF2599" s="46" t="n"/>
      <c r="AG2599" s="46" t="n"/>
      <c r="AH2599" s="46" t="n"/>
      <c r="AI2599" s="46" t="n"/>
      <c r="AJ2599" s="46" t="n"/>
      <c r="AK2599" s="46" t="n"/>
      <c r="AL2599" s="46" t="n"/>
      <c r="AM2599" s="46" t="n"/>
      <c r="AN2599" s="46" t="n"/>
      <c r="AO2599" s="46" t="n"/>
      <c r="AP2599" s="46" t="n"/>
      <c r="AQ2599" s="46" t="n"/>
      <c r="AR2599" s="46" t="n"/>
      <c r="AS2599" s="46" t="n"/>
      <c r="AV2599" s="36">
        <f>IF($C2599="","",EMPLOYES!M72)</f>
        <v/>
      </c>
      <c r="AW2599" s="36">
        <f>IF($C2599="",0,SUMPRODUCT(--(O2599:AS2599="C")))</f>
        <v/>
      </c>
      <c r="AX2599" s="36">
        <f>IF($C2599="",0,SUMPRODUCT(--(O2599:AS2599="R")))</f>
        <v/>
      </c>
      <c r="AY2599" s="44" t="n"/>
    </row>
    <row r="2600" hidden="1" outlineLevel="1" ht="15" customHeight="1" s="15">
      <c r="B2600" s="41" t="n">
        <v>11</v>
      </c>
      <c r="C2600" s="42">
        <f>IF(EMPLOYES!C73="","",EMPLOYES!C73)</f>
        <v/>
      </c>
      <c r="D2600" s="43">
        <f>IF(EMPLOYES!C73="","",EMPLOYES!D73)</f>
        <v/>
      </c>
      <c r="E2600" s="44" t="n"/>
      <c r="F2600" s="42" t="n"/>
      <c r="G2600" s="41">
        <f>IF($C2600="",0,MAX(0,$M2600-$N2600))</f>
        <v/>
      </c>
      <c r="H2600" s="45" t="n"/>
      <c r="I2600" s="41">
        <f>IF($C2600="","",IF(H2600="","OK",IF(H2600&gt;EMPLOYES!P73,"⚠ Avance &gt; salaire",IF(H2600&gt;EMPLOYES!P73*PARAMETRES!$C$218,"⚠ Avance élevée","OK"))))</f>
        <v/>
      </c>
      <c r="J2600" s="45" t="n"/>
      <c r="K2600" s="46" t="n"/>
      <c r="L2600" s="46" t="n"/>
      <c r="M2600" s="41">
        <f>IF($C2600="","",SUMPRODUCT((PARAMETRES!$B$38:$B$157=PARAMETRES!$C$29)*(PARAMETRES!$C$38:$C$157=11)*(IF(EMPLOYES!M73="5j",PARAMETRES!$I$38:$I$157,PARAMETRES!$H$38:$H$157))))</f>
        <v/>
      </c>
      <c r="N2600" s="41">
        <f>IF($C2600="","",SUMPRODUCT((O2600:AS2600="P")+(O2600:AS2600="F")+(O2600:AS2600="C")+0.5*(O2600:AS2600="D"),(1-((O2539:AS2539=6)*(EMPLOYES!M73="5j")))))</f>
        <v/>
      </c>
      <c r="O2600" s="46" t="n"/>
      <c r="P2600" s="46" t="n"/>
      <c r="Q2600" s="46" t="n"/>
      <c r="R2600" s="46" t="n"/>
      <c r="S2600" s="46" t="n"/>
      <c r="T2600" s="46" t="n"/>
      <c r="U2600" s="46" t="n"/>
      <c r="V2600" s="46" t="n"/>
      <c r="W2600" s="46" t="n"/>
      <c r="X2600" s="46" t="n"/>
      <c r="Y2600" s="46" t="n"/>
      <c r="Z2600" s="46" t="n"/>
      <c r="AA2600" s="46" t="n"/>
      <c r="AB2600" s="46" t="n"/>
      <c r="AC2600" s="46" t="n"/>
      <c r="AD2600" s="46" t="n"/>
      <c r="AE2600" s="46" t="n"/>
      <c r="AF2600" s="46" t="n"/>
      <c r="AG2600" s="46" t="n"/>
      <c r="AH2600" s="46" t="n"/>
      <c r="AI2600" s="46" t="n"/>
      <c r="AJ2600" s="46" t="n"/>
      <c r="AK2600" s="46" t="n"/>
      <c r="AL2600" s="46" t="n"/>
      <c r="AM2600" s="46" t="n"/>
      <c r="AN2600" s="46" t="n"/>
      <c r="AO2600" s="46" t="n"/>
      <c r="AP2600" s="46" t="n"/>
      <c r="AQ2600" s="46" t="n"/>
      <c r="AR2600" s="46" t="n"/>
      <c r="AS2600" s="46" t="n"/>
      <c r="AV2600" s="36">
        <f>IF($C2600="","",EMPLOYES!M73)</f>
        <v/>
      </c>
      <c r="AW2600" s="36">
        <f>IF($C2600="",0,SUMPRODUCT(--(O2600:AS2600="C")))</f>
        <v/>
      </c>
      <c r="AX2600" s="36">
        <f>IF($C2600="",0,SUMPRODUCT(--(O2600:AS2600="R")))</f>
        <v/>
      </c>
      <c r="AY2600" s="44" t="n"/>
    </row>
    <row r="2601" hidden="1" outlineLevel="1" ht="15" customHeight="1" s="15">
      <c r="B2601" s="41" t="n">
        <v>11</v>
      </c>
      <c r="C2601" s="42">
        <f>IF(EMPLOYES!C74="","",EMPLOYES!C74)</f>
        <v/>
      </c>
      <c r="D2601" s="43">
        <f>IF(EMPLOYES!C74="","",EMPLOYES!D74)</f>
        <v/>
      </c>
      <c r="E2601" s="44" t="n"/>
      <c r="F2601" s="42" t="n"/>
      <c r="G2601" s="41">
        <f>IF($C2601="",0,MAX(0,$M2601-$N2601))</f>
        <v/>
      </c>
      <c r="H2601" s="45" t="n"/>
      <c r="I2601" s="41">
        <f>IF($C2601="","",IF(H2601="","OK",IF(H2601&gt;EMPLOYES!P74,"⚠ Avance &gt; salaire",IF(H2601&gt;EMPLOYES!P74*PARAMETRES!$C$218,"⚠ Avance élevée","OK"))))</f>
        <v/>
      </c>
      <c r="J2601" s="45" t="n"/>
      <c r="K2601" s="46" t="n"/>
      <c r="L2601" s="46" t="n"/>
      <c r="M2601" s="41">
        <f>IF($C2601="","",SUMPRODUCT((PARAMETRES!$B$38:$B$157=PARAMETRES!$C$29)*(PARAMETRES!$C$38:$C$157=11)*(IF(EMPLOYES!M74="5j",PARAMETRES!$I$38:$I$157,PARAMETRES!$H$38:$H$157))))</f>
        <v/>
      </c>
      <c r="N2601" s="41">
        <f>IF($C2601="","",SUMPRODUCT((O2601:AS2601="P")+(O2601:AS2601="F")+(O2601:AS2601="C")+0.5*(O2601:AS2601="D"),(1-((O2539:AS2539=6)*(EMPLOYES!M74="5j")))))</f>
        <v/>
      </c>
      <c r="O2601" s="46" t="n"/>
      <c r="P2601" s="46" t="n"/>
      <c r="Q2601" s="46" t="n"/>
      <c r="R2601" s="46" t="n"/>
      <c r="S2601" s="46" t="n"/>
      <c r="T2601" s="46" t="n"/>
      <c r="U2601" s="46" t="n"/>
      <c r="V2601" s="46" t="n"/>
      <c r="W2601" s="46" t="n"/>
      <c r="X2601" s="46" t="n"/>
      <c r="Y2601" s="46" t="n"/>
      <c r="Z2601" s="46" t="n"/>
      <c r="AA2601" s="46" t="n"/>
      <c r="AB2601" s="46" t="n"/>
      <c r="AC2601" s="46" t="n"/>
      <c r="AD2601" s="46" t="n"/>
      <c r="AE2601" s="46" t="n"/>
      <c r="AF2601" s="46" t="n"/>
      <c r="AG2601" s="46" t="n"/>
      <c r="AH2601" s="46" t="n"/>
      <c r="AI2601" s="46" t="n"/>
      <c r="AJ2601" s="46" t="n"/>
      <c r="AK2601" s="46" t="n"/>
      <c r="AL2601" s="46" t="n"/>
      <c r="AM2601" s="46" t="n"/>
      <c r="AN2601" s="46" t="n"/>
      <c r="AO2601" s="46" t="n"/>
      <c r="AP2601" s="46" t="n"/>
      <c r="AQ2601" s="46" t="n"/>
      <c r="AR2601" s="46" t="n"/>
      <c r="AS2601" s="46" t="n"/>
      <c r="AV2601" s="36">
        <f>IF($C2601="","",EMPLOYES!M74)</f>
        <v/>
      </c>
      <c r="AW2601" s="36">
        <f>IF($C2601="",0,SUMPRODUCT(--(O2601:AS2601="C")))</f>
        <v/>
      </c>
      <c r="AX2601" s="36">
        <f>IF($C2601="",0,SUMPRODUCT(--(O2601:AS2601="R")))</f>
        <v/>
      </c>
      <c r="AY2601" s="44" t="n"/>
    </row>
    <row r="2602" hidden="1" ht="15" customHeight="1" s="15">
      <c r="B2602" s="36" t="inlineStr">
        <is>
          <t>Jour sem. (réf. grisage)</t>
        </is>
      </c>
      <c r="O2602" s="37">
        <f>IF(1&gt;DAY(EOMONTH(DATE(PARAMETRES!$C$29,11,1),0)),"",WEEKDAY(DATE(PARAMETRES!$C$29,11,1),2))</f>
        <v/>
      </c>
      <c r="P2602" s="37">
        <f>IF(2&gt;DAY(EOMONTH(DATE(PARAMETRES!$C$29,11,1),0)),"",WEEKDAY(DATE(PARAMETRES!$C$29,11,2),2))</f>
        <v/>
      </c>
      <c r="Q2602" s="37">
        <f>IF(3&gt;DAY(EOMONTH(DATE(PARAMETRES!$C$29,11,1),0)),"",WEEKDAY(DATE(PARAMETRES!$C$29,11,3),2))</f>
        <v/>
      </c>
      <c r="R2602" s="37">
        <f>IF(4&gt;DAY(EOMONTH(DATE(PARAMETRES!$C$29,11,1),0)),"",WEEKDAY(DATE(PARAMETRES!$C$29,11,4),2))</f>
        <v/>
      </c>
      <c r="S2602" s="37">
        <f>IF(5&gt;DAY(EOMONTH(DATE(PARAMETRES!$C$29,11,1),0)),"",WEEKDAY(DATE(PARAMETRES!$C$29,11,5),2))</f>
        <v/>
      </c>
      <c r="T2602" s="37">
        <f>IF(6&gt;DAY(EOMONTH(DATE(PARAMETRES!$C$29,11,1),0)),"",WEEKDAY(DATE(PARAMETRES!$C$29,11,6),2))</f>
        <v/>
      </c>
      <c r="U2602" s="37">
        <f>IF(7&gt;DAY(EOMONTH(DATE(PARAMETRES!$C$29,11,1),0)),"",WEEKDAY(DATE(PARAMETRES!$C$29,11,7),2))</f>
        <v/>
      </c>
      <c r="V2602" s="37">
        <f>IF(8&gt;DAY(EOMONTH(DATE(PARAMETRES!$C$29,11,1),0)),"",WEEKDAY(DATE(PARAMETRES!$C$29,11,8),2))</f>
        <v/>
      </c>
      <c r="W2602" s="37">
        <f>IF(9&gt;DAY(EOMONTH(DATE(PARAMETRES!$C$29,11,1),0)),"",WEEKDAY(DATE(PARAMETRES!$C$29,11,9),2))</f>
        <v/>
      </c>
      <c r="X2602" s="37">
        <f>IF(10&gt;DAY(EOMONTH(DATE(PARAMETRES!$C$29,11,1),0)),"",WEEKDAY(DATE(PARAMETRES!$C$29,11,10),2))</f>
        <v/>
      </c>
      <c r="Y2602" s="37">
        <f>IF(11&gt;DAY(EOMONTH(DATE(PARAMETRES!$C$29,11,1),0)),"",WEEKDAY(DATE(PARAMETRES!$C$29,11,11),2))</f>
        <v/>
      </c>
      <c r="Z2602" s="37">
        <f>IF(12&gt;DAY(EOMONTH(DATE(PARAMETRES!$C$29,11,1),0)),"",WEEKDAY(DATE(PARAMETRES!$C$29,11,12),2))</f>
        <v/>
      </c>
      <c r="AA2602" s="37">
        <f>IF(13&gt;DAY(EOMONTH(DATE(PARAMETRES!$C$29,11,1),0)),"",WEEKDAY(DATE(PARAMETRES!$C$29,11,13),2))</f>
        <v/>
      </c>
      <c r="AB2602" s="37">
        <f>IF(14&gt;DAY(EOMONTH(DATE(PARAMETRES!$C$29,11,1),0)),"",WEEKDAY(DATE(PARAMETRES!$C$29,11,14),2))</f>
        <v/>
      </c>
      <c r="AC2602" s="37">
        <f>IF(15&gt;DAY(EOMONTH(DATE(PARAMETRES!$C$29,11,1),0)),"",WEEKDAY(DATE(PARAMETRES!$C$29,11,15),2))</f>
        <v/>
      </c>
      <c r="AD2602" s="37">
        <f>IF(16&gt;DAY(EOMONTH(DATE(PARAMETRES!$C$29,11,1),0)),"",WEEKDAY(DATE(PARAMETRES!$C$29,11,16),2))</f>
        <v/>
      </c>
      <c r="AE2602" s="37">
        <f>IF(17&gt;DAY(EOMONTH(DATE(PARAMETRES!$C$29,11,1),0)),"",WEEKDAY(DATE(PARAMETRES!$C$29,11,17),2))</f>
        <v/>
      </c>
      <c r="AF2602" s="37">
        <f>IF(18&gt;DAY(EOMONTH(DATE(PARAMETRES!$C$29,11,1),0)),"",WEEKDAY(DATE(PARAMETRES!$C$29,11,18),2))</f>
        <v/>
      </c>
      <c r="AG2602" s="37">
        <f>IF(19&gt;DAY(EOMONTH(DATE(PARAMETRES!$C$29,11,1),0)),"",WEEKDAY(DATE(PARAMETRES!$C$29,11,19),2))</f>
        <v/>
      </c>
      <c r="AH2602" s="37">
        <f>IF(20&gt;DAY(EOMONTH(DATE(PARAMETRES!$C$29,11,1),0)),"",WEEKDAY(DATE(PARAMETRES!$C$29,11,20),2))</f>
        <v/>
      </c>
      <c r="AI2602" s="37">
        <f>IF(21&gt;DAY(EOMONTH(DATE(PARAMETRES!$C$29,11,1),0)),"",WEEKDAY(DATE(PARAMETRES!$C$29,11,21),2))</f>
        <v/>
      </c>
      <c r="AJ2602" s="37">
        <f>IF(22&gt;DAY(EOMONTH(DATE(PARAMETRES!$C$29,11,1),0)),"",WEEKDAY(DATE(PARAMETRES!$C$29,11,22),2))</f>
        <v/>
      </c>
      <c r="AK2602" s="37">
        <f>IF(23&gt;DAY(EOMONTH(DATE(PARAMETRES!$C$29,11,1),0)),"",WEEKDAY(DATE(PARAMETRES!$C$29,11,23),2))</f>
        <v/>
      </c>
      <c r="AL2602" s="37">
        <f>IF(24&gt;DAY(EOMONTH(DATE(PARAMETRES!$C$29,11,1),0)),"",WEEKDAY(DATE(PARAMETRES!$C$29,11,24),2))</f>
        <v/>
      </c>
      <c r="AM2602" s="37">
        <f>IF(25&gt;DAY(EOMONTH(DATE(PARAMETRES!$C$29,11,1),0)),"",WEEKDAY(DATE(PARAMETRES!$C$29,11,25),2))</f>
        <v/>
      </c>
      <c r="AN2602" s="37">
        <f>IF(26&gt;DAY(EOMONTH(DATE(PARAMETRES!$C$29,11,1),0)),"",WEEKDAY(DATE(PARAMETRES!$C$29,11,26),2))</f>
        <v/>
      </c>
      <c r="AO2602" s="37">
        <f>IF(27&gt;DAY(EOMONTH(DATE(PARAMETRES!$C$29,11,1),0)),"",WEEKDAY(DATE(PARAMETRES!$C$29,11,27),2))</f>
        <v/>
      </c>
      <c r="AP2602" s="37">
        <f>IF(28&gt;DAY(EOMONTH(DATE(PARAMETRES!$C$29,11,1),0)),"",WEEKDAY(DATE(PARAMETRES!$C$29,11,28),2))</f>
        <v/>
      </c>
      <c r="AQ2602" s="37">
        <f>IF(29&gt;DAY(EOMONTH(DATE(PARAMETRES!$C$29,11,1),0)),"",WEEKDAY(DATE(PARAMETRES!$C$29,11,29),2))</f>
        <v/>
      </c>
      <c r="AR2602" s="37">
        <f>IF(30&gt;DAY(EOMONTH(DATE(PARAMETRES!$C$29,11,1),0)),"",WEEKDAY(DATE(PARAMETRES!$C$29,11,30),2))</f>
        <v/>
      </c>
      <c r="AS2602" s="37">
        <f>IF(31&gt;DAY(EOMONTH(DATE(PARAMETRES!$C$29,11,1),0)),"",WEEKDAY(DATE(PARAMETRES!$C$29,11,31),2))</f>
        <v/>
      </c>
    </row>
    <row r="2603" hidden="1" outlineLevel="1" ht="15" customHeight="1" s="15">
      <c r="AT2603" s="36">
        <f>IF(OR(O2539="",O2539=7),"","P")</f>
        <v/>
      </c>
      <c r="AU2603" s="36">
        <f>IF(OR(O2539="",O2539&gt;=6),"","P")</f>
        <v/>
      </c>
    </row>
    <row r="2604" hidden="1" outlineLevel="1" ht="15" customHeight="1" s="15">
      <c r="AT2604" s="36">
        <f>IF(OR(O2539="",O2539=7),"","D")</f>
        <v/>
      </c>
      <c r="AU2604" s="36">
        <f>IF(OR(O2539="",O2539&gt;=6),"","D")</f>
        <v/>
      </c>
    </row>
    <row r="2605" hidden="1" outlineLevel="1" ht="15" customHeight="1" s="15">
      <c r="AT2605" s="36">
        <f>IF(OR(O2539="",O2539=7),"","A")</f>
        <v/>
      </c>
      <c r="AU2605" s="36">
        <f>IF(OR(O2539="",O2539&gt;=6),"","A")</f>
        <v/>
      </c>
    </row>
    <row r="2606" hidden="1" outlineLevel="1" ht="15" customHeight="1" s="15">
      <c r="AT2606" s="36">
        <f>IF(OR(O2539="",O2539=7),"","F")</f>
        <v/>
      </c>
      <c r="AU2606" s="36">
        <f>IF(OR(O2539="",O2539&gt;=6),"","F")</f>
        <v/>
      </c>
    </row>
    <row r="2607" hidden="1" outlineLevel="1" ht="15" customHeight="1" s="15">
      <c r="AT2607" s="36">
        <f>IF(OR(O2539="",O2539=7),"","C")</f>
        <v/>
      </c>
      <c r="AU2607" s="36">
        <f>IF(OR(O2539="",O2539&gt;=6),"","C")</f>
        <v/>
      </c>
    </row>
    <row r="2608" hidden="1" outlineLevel="1" ht="15" customHeight="1" s="15">
      <c r="AT2608" s="36">
        <f>IF(AND(O2539&lt;&gt;"",O2539=7),"R","")</f>
        <v/>
      </c>
      <c r="AU2608" s="36">
        <f>IF(AND(O2539&lt;&gt;"",O2539&gt;=6),"R","")</f>
        <v/>
      </c>
    </row>
    <row r="2609" hidden="1" outlineLevel="1" ht="15" customHeight="1" s="15">
      <c r="AT2609" s="36">
        <f>IF(OR(P2539="",P2539=7),"","P")</f>
        <v/>
      </c>
      <c r="AU2609" s="36">
        <f>IF(OR(P2539="",P2539&gt;=6),"","P")</f>
        <v/>
      </c>
    </row>
    <row r="2610" hidden="1" outlineLevel="1" ht="15" customHeight="1" s="15">
      <c r="AT2610" s="36">
        <f>IF(OR(P2539="",P2539=7),"","D")</f>
        <v/>
      </c>
      <c r="AU2610" s="36">
        <f>IF(OR(P2539="",P2539&gt;=6),"","D")</f>
        <v/>
      </c>
    </row>
    <row r="2611" hidden="1" outlineLevel="1" ht="15" customHeight="1" s="15">
      <c r="AT2611" s="36">
        <f>IF(OR(P2539="",P2539=7),"","A")</f>
        <v/>
      </c>
      <c r="AU2611" s="36">
        <f>IF(OR(P2539="",P2539&gt;=6),"","A")</f>
        <v/>
      </c>
    </row>
    <row r="2612" hidden="1" outlineLevel="1" ht="15" customHeight="1" s="15">
      <c r="AT2612" s="36">
        <f>IF(OR(P2539="",P2539=7),"","F")</f>
        <v/>
      </c>
      <c r="AU2612" s="36">
        <f>IF(OR(P2539="",P2539&gt;=6),"","F")</f>
        <v/>
      </c>
    </row>
    <row r="2613" hidden="1" outlineLevel="1" ht="15" customHeight="1" s="15">
      <c r="AT2613" s="36">
        <f>IF(OR(P2539="",P2539=7),"","C")</f>
        <v/>
      </c>
      <c r="AU2613" s="36">
        <f>IF(OR(P2539="",P2539&gt;=6),"","C")</f>
        <v/>
      </c>
    </row>
    <row r="2614" hidden="1" outlineLevel="1" ht="15" customHeight="1" s="15">
      <c r="AT2614" s="36">
        <f>IF(AND(P2539&lt;&gt;"",P2539=7),"R","")</f>
        <v/>
      </c>
      <c r="AU2614" s="36">
        <f>IF(AND(P2539&lt;&gt;"",P2539&gt;=6),"R","")</f>
        <v/>
      </c>
    </row>
    <row r="2615" hidden="1" outlineLevel="1" ht="15" customHeight="1" s="15">
      <c r="AT2615" s="36">
        <f>IF(OR(Q2539="",Q2539=7),"","P")</f>
        <v/>
      </c>
      <c r="AU2615" s="36">
        <f>IF(OR(Q2539="",Q2539&gt;=6),"","P")</f>
        <v/>
      </c>
    </row>
    <row r="2616" hidden="1" outlineLevel="1" ht="15" customHeight="1" s="15">
      <c r="AT2616" s="36">
        <f>IF(OR(Q2539="",Q2539=7),"","D")</f>
        <v/>
      </c>
      <c r="AU2616" s="36">
        <f>IF(OR(Q2539="",Q2539&gt;=6),"","D")</f>
        <v/>
      </c>
    </row>
    <row r="2617" hidden="1" outlineLevel="1" ht="15" customHeight="1" s="15">
      <c r="AT2617" s="36">
        <f>IF(OR(Q2539="",Q2539=7),"","A")</f>
        <v/>
      </c>
      <c r="AU2617" s="36">
        <f>IF(OR(Q2539="",Q2539&gt;=6),"","A")</f>
        <v/>
      </c>
    </row>
    <row r="2618" hidden="1" outlineLevel="1" ht="15" customHeight="1" s="15">
      <c r="AT2618" s="36">
        <f>IF(OR(Q2539="",Q2539=7),"","F")</f>
        <v/>
      </c>
      <c r="AU2618" s="36">
        <f>IF(OR(Q2539="",Q2539&gt;=6),"","F")</f>
        <v/>
      </c>
    </row>
    <row r="2619" hidden="1" outlineLevel="1" ht="15" customHeight="1" s="15">
      <c r="AT2619" s="36">
        <f>IF(OR(Q2539="",Q2539=7),"","C")</f>
        <v/>
      </c>
      <c r="AU2619" s="36">
        <f>IF(OR(Q2539="",Q2539&gt;=6),"","C")</f>
        <v/>
      </c>
    </row>
    <row r="2620" hidden="1" outlineLevel="1" ht="15" customHeight="1" s="15">
      <c r="AT2620" s="36">
        <f>IF(AND(Q2539&lt;&gt;"",Q2539=7),"R","")</f>
        <v/>
      </c>
      <c r="AU2620" s="36">
        <f>IF(AND(Q2539&lt;&gt;"",Q2539&gt;=6),"R","")</f>
        <v/>
      </c>
    </row>
    <row r="2621" hidden="1" outlineLevel="1" ht="15" customHeight="1" s="15">
      <c r="AT2621" s="36">
        <f>IF(OR(R2539="",R2539=7),"","P")</f>
        <v/>
      </c>
      <c r="AU2621" s="36">
        <f>IF(OR(R2539="",R2539&gt;=6),"","P")</f>
        <v/>
      </c>
    </row>
    <row r="2622" hidden="1" outlineLevel="1" ht="15" customHeight="1" s="15">
      <c r="AT2622" s="36">
        <f>IF(OR(R2539="",R2539=7),"","D")</f>
        <v/>
      </c>
      <c r="AU2622" s="36">
        <f>IF(OR(R2539="",R2539&gt;=6),"","D")</f>
        <v/>
      </c>
    </row>
    <row r="2623" hidden="1" outlineLevel="1" ht="15" customHeight="1" s="15">
      <c r="AT2623" s="36">
        <f>IF(OR(R2539="",R2539=7),"","A")</f>
        <v/>
      </c>
      <c r="AU2623" s="36">
        <f>IF(OR(R2539="",R2539&gt;=6),"","A")</f>
        <v/>
      </c>
    </row>
    <row r="2624" hidden="1" outlineLevel="1" ht="15" customHeight="1" s="15">
      <c r="AT2624" s="36">
        <f>IF(OR(R2539="",R2539=7),"","F")</f>
        <v/>
      </c>
      <c r="AU2624" s="36">
        <f>IF(OR(R2539="",R2539&gt;=6),"","F")</f>
        <v/>
      </c>
    </row>
    <row r="2625" hidden="1" outlineLevel="1" ht="15" customHeight="1" s="15">
      <c r="AT2625" s="36">
        <f>IF(OR(R2539="",R2539=7),"","C")</f>
        <v/>
      </c>
      <c r="AU2625" s="36">
        <f>IF(OR(R2539="",R2539&gt;=6),"","C")</f>
        <v/>
      </c>
    </row>
    <row r="2626" hidden="1" outlineLevel="1" ht="15" customHeight="1" s="15">
      <c r="AT2626" s="36">
        <f>IF(AND(R2539&lt;&gt;"",R2539=7),"R","")</f>
        <v/>
      </c>
      <c r="AU2626" s="36">
        <f>IF(AND(R2539&lt;&gt;"",R2539&gt;=6),"R","")</f>
        <v/>
      </c>
    </row>
    <row r="2627" hidden="1" outlineLevel="1" ht="15" customHeight="1" s="15">
      <c r="AT2627" s="36">
        <f>IF(OR(S2539="",S2539=7),"","P")</f>
        <v/>
      </c>
      <c r="AU2627" s="36">
        <f>IF(OR(S2539="",S2539&gt;=6),"","P")</f>
        <v/>
      </c>
    </row>
    <row r="2628" hidden="1" outlineLevel="1" ht="15" customHeight="1" s="15">
      <c r="AT2628" s="36">
        <f>IF(OR(S2539="",S2539=7),"","D")</f>
        <v/>
      </c>
      <c r="AU2628" s="36">
        <f>IF(OR(S2539="",S2539&gt;=6),"","D")</f>
        <v/>
      </c>
    </row>
    <row r="2629" hidden="1" outlineLevel="1" ht="15" customHeight="1" s="15">
      <c r="AT2629" s="36">
        <f>IF(OR(S2539="",S2539=7),"","A")</f>
        <v/>
      </c>
      <c r="AU2629" s="36">
        <f>IF(OR(S2539="",S2539&gt;=6),"","A")</f>
        <v/>
      </c>
    </row>
    <row r="2630" hidden="1" outlineLevel="1" ht="15" customHeight="1" s="15">
      <c r="AT2630" s="36">
        <f>IF(OR(S2539="",S2539=7),"","F")</f>
        <v/>
      </c>
      <c r="AU2630" s="36">
        <f>IF(OR(S2539="",S2539&gt;=6),"","F")</f>
        <v/>
      </c>
    </row>
    <row r="2631" hidden="1" outlineLevel="1" ht="15" customHeight="1" s="15">
      <c r="AT2631" s="36">
        <f>IF(OR(S2539="",S2539=7),"","C")</f>
        <v/>
      </c>
      <c r="AU2631" s="36">
        <f>IF(OR(S2539="",S2539&gt;=6),"","C")</f>
        <v/>
      </c>
    </row>
    <row r="2632" hidden="1" outlineLevel="1" ht="15" customHeight="1" s="15">
      <c r="AT2632" s="36">
        <f>IF(AND(S2539&lt;&gt;"",S2539=7),"R","")</f>
        <v/>
      </c>
      <c r="AU2632" s="36">
        <f>IF(AND(S2539&lt;&gt;"",S2539&gt;=6),"R","")</f>
        <v/>
      </c>
    </row>
    <row r="2633" hidden="1" outlineLevel="1" ht="15" customHeight="1" s="15">
      <c r="AT2633" s="36">
        <f>IF(OR(T2539="",T2539=7),"","P")</f>
        <v/>
      </c>
      <c r="AU2633" s="36">
        <f>IF(OR(T2539="",T2539&gt;=6),"","P")</f>
        <v/>
      </c>
    </row>
    <row r="2634" hidden="1" outlineLevel="1" ht="15" customHeight="1" s="15">
      <c r="AT2634" s="36">
        <f>IF(OR(T2539="",T2539=7),"","D")</f>
        <v/>
      </c>
      <c r="AU2634" s="36">
        <f>IF(OR(T2539="",T2539&gt;=6),"","D")</f>
        <v/>
      </c>
    </row>
    <row r="2635" hidden="1" outlineLevel="1" ht="15" customHeight="1" s="15">
      <c r="AT2635" s="36">
        <f>IF(OR(T2539="",T2539=7),"","A")</f>
        <v/>
      </c>
      <c r="AU2635" s="36">
        <f>IF(OR(T2539="",T2539&gt;=6),"","A")</f>
        <v/>
      </c>
    </row>
    <row r="2636" hidden="1" outlineLevel="1" ht="15" customHeight="1" s="15">
      <c r="AT2636" s="36">
        <f>IF(OR(T2539="",T2539=7),"","F")</f>
        <v/>
      </c>
      <c r="AU2636" s="36">
        <f>IF(OR(T2539="",T2539&gt;=6),"","F")</f>
        <v/>
      </c>
    </row>
    <row r="2637" hidden="1" outlineLevel="1" ht="15" customHeight="1" s="15">
      <c r="AT2637" s="36">
        <f>IF(OR(T2539="",T2539=7),"","C")</f>
        <v/>
      </c>
      <c r="AU2637" s="36">
        <f>IF(OR(T2539="",T2539&gt;=6),"","C")</f>
        <v/>
      </c>
    </row>
    <row r="2638" hidden="1" outlineLevel="1" ht="15" customHeight="1" s="15">
      <c r="AT2638" s="36">
        <f>IF(AND(T2539&lt;&gt;"",T2539=7),"R","")</f>
        <v/>
      </c>
      <c r="AU2638" s="36">
        <f>IF(AND(T2539&lt;&gt;"",T2539&gt;=6),"R","")</f>
        <v/>
      </c>
    </row>
    <row r="2639" hidden="1" outlineLevel="1" ht="15" customHeight="1" s="15">
      <c r="AT2639" s="36">
        <f>IF(OR(U2539="",U2539=7),"","P")</f>
        <v/>
      </c>
      <c r="AU2639" s="36">
        <f>IF(OR(U2539="",U2539&gt;=6),"","P")</f>
        <v/>
      </c>
    </row>
    <row r="2640" hidden="1" outlineLevel="1" ht="15" customHeight="1" s="15">
      <c r="AT2640" s="36">
        <f>IF(OR(U2539="",U2539=7),"","D")</f>
        <v/>
      </c>
      <c r="AU2640" s="36">
        <f>IF(OR(U2539="",U2539&gt;=6),"","D")</f>
        <v/>
      </c>
    </row>
    <row r="2641" hidden="1" outlineLevel="1" ht="15" customHeight="1" s="15">
      <c r="AT2641" s="36">
        <f>IF(OR(U2539="",U2539=7),"","A")</f>
        <v/>
      </c>
      <c r="AU2641" s="36">
        <f>IF(OR(U2539="",U2539&gt;=6),"","A")</f>
        <v/>
      </c>
    </row>
    <row r="2642" hidden="1" outlineLevel="1" ht="15" customHeight="1" s="15">
      <c r="AT2642" s="36">
        <f>IF(OR(U2539="",U2539=7),"","F")</f>
        <v/>
      </c>
      <c r="AU2642" s="36">
        <f>IF(OR(U2539="",U2539&gt;=6),"","F")</f>
        <v/>
      </c>
    </row>
    <row r="2643" hidden="1" outlineLevel="1" ht="15" customHeight="1" s="15">
      <c r="AT2643" s="36">
        <f>IF(OR(U2539="",U2539=7),"","C")</f>
        <v/>
      </c>
      <c r="AU2643" s="36">
        <f>IF(OR(U2539="",U2539&gt;=6),"","C")</f>
        <v/>
      </c>
    </row>
    <row r="2644" hidden="1" outlineLevel="1" ht="15" customHeight="1" s="15">
      <c r="AT2644" s="36">
        <f>IF(AND(U2539&lt;&gt;"",U2539=7),"R","")</f>
        <v/>
      </c>
      <c r="AU2644" s="36">
        <f>IF(AND(U2539&lt;&gt;"",U2539&gt;=6),"R","")</f>
        <v/>
      </c>
    </row>
    <row r="2645" hidden="1" outlineLevel="1" ht="15" customHeight="1" s="15">
      <c r="AT2645" s="36">
        <f>IF(OR(V2539="",V2539=7),"","P")</f>
        <v/>
      </c>
      <c r="AU2645" s="36">
        <f>IF(OR(V2539="",V2539&gt;=6),"","P")</f>
        <v/>
      </c>
    </row>
    <row r="2646" hidden="1" outlineLevel="1" ht="15" customHeight="1" s="15">
      <c r="AT2646" s="36">
        <f>IF(OR(V2539="",V2539=7),"","D")</f>
        <v/>
      </c>
      <c r="AU2646" s="36">
        <f>IF(OR(V2539="",V2539&gt;=6),"","D")</f>
        <v/>
      </c>
    </row>
    <row r="2647" hidden="1" outlineLevel="1" ht="15" customHeight="1" s="15">
      <c r="AT2647" s="36">
        <f>IF(OR(V2539="",V2539=7),"","A")</f>
        <v/>
      </c>
      <c r="AU2647" s="36">
        <f>IF(OR(V2539="",V2539&gt;=6),"","A")</f>
        <v/>
      </c>
    </row>
    <row r="2648" hidden="1" outlineLevel="1" ht="15" customHeight="1" s="15">
      <c r="AT2648" s="36">
        <f>IF(OR(V2539="",V2539=7),"","F")</f>
        <v/>
      </c>
      <c r="AU2648" s="36">
        <f>IF(OR(V2539="",V2539&gt;=6),"","F")</f>
        <v/>
      </c>
    </row>
    <row r="2649" hidden="1" outlineLevel="1" ht="15" customHeight="1" s="15">
      <c r="AT2649" s="36">
        <f>IF(OR(V2539="",V2539=7),"","C")</f>
        <v/>
      </c>
      <c r="AU2649" s="36">
        <f>IF(OR(V2539="",V2539&gt;=6),"","C")</f>
        <v/>
      </c>
    </row>
    <row r="2650" hidden="1" outlineLevel="1" ht="15" customHeight="1" s="15">
      <c r="AT2650" s="36">
        <f>IF(AND(V2539&lt;&gt;"",V2539=7),"R","")</f>
        <v/>
      </c>
      <c r="AU2650" s="36">
        <f>IF(AND(V2539&lt;&gt;"",V2539&gt;=6),"R","")</f>
        <v/>
      </c>
    </row>
    <row r="2651" hidden="1" outlineLevel="1" ht="15" customHeight="1" s="15">
      <c r="AT2651" s="36">
        <f>IF(OR(W2539="",W2539=7),"","P")</f>
        <v/>
      </c>
      <c r="AU2651" s="36">
        <f>IF(OR(W2539="",W2539&gt;=6),"","P")</f>
        <v/>
      </c>
    </row>
    <row r="2652" hidden="1" outlineLevel="1" ht="15" customHeight="1" s="15">
      <c r="AT2652" s="36">
        <f>IF(OR(W2539="",W2539=7),"","D")</f>
        <v/>
      </c>
      <c r="AU2652" s="36">
        <f>IF(OR(W2539="",W2539&gt;=6),"","D")</f>
        <v/>
      </c>
    </row>
    <row r="2653" hidden="1" outlineLevel="1" ht="15" customHeight="1" s="15">
      <c r="AT2653" s="36">
        <f>IF(OR(W2539="",W2539=7),"","A")</f>
        <v/>
      </c>
      <c r="AU2653" s="36">
        <f>IF(OR(W2539="",W2539&gt;=6),"","A")</f>
        <v/>
      </c>
    </row>
    <row r="2654" hidden="1" outlineLevel="1" ht="15" customHeight="1" s="15">
      <c r="AT2654" s="36">
        <f>IF(OR(W2539="",W2539=7),"","F")</f>
        <v/>
      </c>
      <c r="AU2654" s="36">
        <f>IF(OR(W2539="",W2539&gt;=6),"","F")</f>
        <v/>
      </c>
    </row>
    <row r="2655" hidden="1" outlineLevel="1" ht="15" customHeight="1" s="15">
      <c r="AT2655" s="36">
        <f>IF(OR(W2539="",W2539=7),"","C")</f>
        <v/>
      </c>
      <c r="AU2655" s="36">
        <f>IF(OR(W2539="",W2539&gt;=6),"","C")</f>
        <v/>
      </c>
    </row>
    <row r="2656" hidden="1" outlineLevel="1" ht="15" customHeight="1" s="15">
      <c r="AT2656" s="36">
        <f>IF(AND(W2539&lt;&gt;"",W2539=7),"R","")</f>
        <v/>
      </c>
      <c r="AU2656" s="36">
        <f>IF(AND(W2539&lt;&gt;"",W2539&gt;=6),"R","")</f>
        <v/>
      </c>
    </row>
    <row r="2657" hidden="1" outlineLevel="1" ht="15" customHeight="1" s="15">
      <c r="AT2657" s="36">
        <f>IF(OR(X2539="",X2539=7),"","P")</f>
        <v/>
      </c>
      <c r="AU2657" s="36">
        <f>IF(OR(X2539="",X2539&gt;=6),"","P")</f>
        <v/>
      </c>
    </row>
    <row r="2658" hidden="1" outlineLevel="1" ht="15" customHeight="1" s="15">
      <c r="AT2658" s="36">
        <f>IF(OR(X2539="",X2539=7),"","D")</f>
        <v/>
      </c>
      <c r="AU2658" s="36">
        <f>IF(OR(X2539="",X2539&gt;=6),"","D")</f>
        <v/>
      </c>
    </row>
    <row r="2659" hidden="1" outlineLevel="1" ht="15" customHeight="1" s="15">
      <c r="AT2659" s="36">
        <f>IF(OR(X2539="",X2539=7),"","A")</f>
        <v/>
      </c>
      <c r="AU2659" s="36">
        <f>IF(OR(X2539="",X2539&gt;=6),"","A")</f>
        <v/>
      </c>
    </row>
    <row r="2660" hidden="1" outlineLevel="1" ht="15" customHeight="1" s="15">
      <c r="AT2660" s="36">
        <f>IF(OR(X2539="",X2539=7),"","F")</f>
        <v/>
      </c>
      <c r="AU2660" s="36">
        <f>IF(OR(X2539="",X2539&gt;=6),"","F")</f>
        <v/>
      </c>
    </row>
    <row r="2661" hidden="1" outlineLevel="1" ht="15" customHeight="1" s="15">
      <c r="AT2661" s="36">
        <f>IF(OR(X2539="",X2539=7),"","C")</f>
        <v/>
      </c>
      <c r="AU2661" s="36">
        <f>IF(OR(X2539="",X2539&gt;=6),"","C")</f>
        <v/>
      </c>
    </row>
    <row r="2662" hidden="1" outlineLevel="1" ht="15" customHeight="1" s="15">
      <c r="AT2662" s="36">
        <f>IF(AND(X2539&lt;&gt;"",X2539=7),"R","")</f>
        <v/>
      </c>
      <c r="AU2662" s="36">
        <f>IF(AND(X2539&lt;&gt;"",X2539&gt;=6),"R","")</f>
        <v/>
      </c>
    </row>
    <row r="2663" hidden="1" outlineLevel="1" ht="15" customHeight="1" s="15">
      <c r="AT2663" s="36">
        <f>IF(OR(Y2539="",Y2539=7),"","P")</f>
        <v/>
      </c>
      <c r="AU2663" s="36">
        <f>IF(OR(Y2539="",Y2539&gt;=6),"","P")</f>
        <v/>
      </c>
    </row>
    <row r="2664" hidden="1" outlineLevel="1" ht="15" customHeight="1" s="15">
      <c r="AT2664" s="36">
        <f>IF(OR(Y2539="",Y2539=7),"","D")</f>
        <v/>
      </c>
      <c r="AU2664" s="36">
        <f>IF(OR(Y2539="",Y2539&gt;=6),"","D")</f>
        <v/>
      </c>
    </row>
    <row r="2665" hidden="1" outlineLevel="1" ht="15" customHeight="1" s="15">
      <c r="AT2665" s="36">
        <f>IF(OR(Y2539="",Y2539=7),"","A")</f>
        <v/>
      </c>
      <c r="AU2665" s="36">
        <f>IF(OR(Y2539="",Y2539&gt;=6),"","A")</f>
        <v/>
      </c>
    </row>
    <row r="2666" hidden="1" outlineLevel="1" ht="15" customHeight="1" s="15">
      <c r="AT2666" s="36">
        <f>IF(OR(Y2539="",Y2539=7),"","F")</f>
        <v/>
      </c>
      <c r="AU2666" s="36">
        <f>IF(OR(Y2539="",Y2539&gt;=6),"","F")</f>
        <v/>
      </c>
    </row>
    <row r="2667" hidden="1" outlineLevel="1" ht="15" customHeight="1" s="15">
      <c r="AT2667" s="36">
        <f>IF(OR(Y2539="",Y2539=7),"","C")</f>
        <v/>
      </c>
      <c r="AU2667" s="36">
        <f>IF(OR(Y2539="",Y2539&gt;=6),"","C")</f>
        <v/>
      </c>
    </row>
    <row r="2668" hidden="1" outlineLevel="1" ht="15" customHeight="1" s="15">
      <c r="AT2668" s="36">
        <f>IF(AND(Y2539&lt;&gt;"",Y2539=7),"R","")</f>
        <v/>
      </c>
      <c r="AU2668" s="36">
        <f>IF(AND(Y2539&lt;&gt;"",Y2539&gt;=6),"R","")</f>
        <v/>
      </c>
    </row>
    <row r="2669" hidden="1" outlineLevel="1" ht="15" customHeight="1" s="15">
      <c r="AT2669" s="36">
        <f>IF(OR(Z2539="",Z2539=7),"","P")</f>
        <v/>
      </c>
      <c r="AU2669" s="36">
        <f>IF(OR(Z2539="",Z2539&gt;=6),"","P")</f>
        <v/>
      </c>
    </row>
    <row r="2670" hidden="1" outlineLevel="1" ht="15" customHeight="1" s="15">
      <c r="AT2670" s="36">
        <f>IF(OR(Z2539="",Z2539=7),"","D")</f>
        <v/>
      </c>
      <c r="AU2670" s="36">
        <f>IF(OR(Z2539="",Z2539&gt;=6),"","D")</f>
        <v/>
      </c>
    </row>
    <row r="2671" hidden="1" outlineLevel="1" ht="15" customHeight="1" s="15">
      <c r="AT2671" s="36">
        <f>IF(OR(Z2539="",Z2539=7),"","A")</f>
        <v/>
      </c>
      <c r="AU2671" s="36">
        <f>IF(OR(Z2539="",Z2539&gt;=6),"","A")</f>
        <v/>
      </c>
    </row>
    <row r="2672" hidden="1" outlineLevel="1" ht="15" customHeight="1" s="15">
      <c r="AT2672" s="36">
        <f>IF(OR(Z2539="",Z2539=7),"","F")</f>
        <v/>
      </c>
      <c r="AU2672" s="36">
        <f>IF(OR(Z2539="",Z2539&gt;=6),"","F")</f>
        <v/>
      </c>
    </row>
    <row r="2673" hidden="1" outlineLevel="1" ht="15" customHeight="1" s="15">
      <c r="AT2673" s="36">
        <f>IF(OR(Z2539="",Z2539=7),"","C")</f>
        <v/>
      </c>
      <c r="AU2673" s="36">
        <f>IF(OR(Z2539="",Z2539&gt;=6),"","C")</f>
        <v/>
      </c>
    </row>
    <row r="2674" hidden="1" outlineLevel="1" ht="15" customHeight="1" s="15">
      <c r="AT2674" s="36">
        <f>IF(AND(Z2539&lt;&gt;"",Z2539=7),"R","")</f>
        <v/>
      </c>
      <c r="AU2674" s="36">
        <f>IF(AND(Z2539&lt;&gt;"",Z2539&gt;=6),"R","")</f>
        <v/>
      </c>
    </row>
    <row r="2675" hidden="1" outlineLevel="1" ht="15" customHeight="1" s="15">
      <c r="AT2675" s="36">
        <f>IF(OR(AA2539="",AA2539=7),"","P")</f>
        <v/>
      </c>
      <c r="AU2675" s="36">
        <f>IF(OR(AA2539="",AA2539&gt;=6),"","P")</f>
        <v/>
      </c>
    </row>
    <row r="2676" hidden="1" outlineLevel="1" ht="15" customHeight="1" s="15">
      <c r="AT2676" s="36">
        <f>IF(OR(AA2539="",AA2539=7),"","D")</f>
        <v/>
      </c>
      <c r="AU2676" s="36">
        <f>IF(OR(AA2539="",AA2539&gt;=6),"","D")</f>
        <v/>
      </c>
    </row>
    <row r="2677" hidden="1" outlineLevel="1" ht="15" customHeight="1" s="15">
      <c r="AT2677" s="36">
        <f>IF(OR(AA2539="",AA2539=7),"","A")</f>
        <v/>
      </c>
      <c r="AU2677" s="36">
        <f>IF(OR(AA2539="",AA2539&gt;=6),"","A")</f>
        <v/>
      </c>
    </row>
    <row r="2678" hidden="1" outlineLevel="1" ht="15" customHeight="1" s="15">
      <c r="AT2678" s="36">
        <f>IF(OR(AA2539="",AA2539=7),"","F")</f>
        <v/>
      </c>
      <c r="AU2678" s="36">
        <f>IF(OR(AA2539="",AA2539&gt;=6),"","F")</f>
        <v/>
      </c>
    </row>
    <row r="2679" hidden="1" outlineLevel="1" ht="15" customHeight="1" s="15">
      <c r="AT2679" s="36">
        <f>IF(OR(AA2539="",AA2539=7),"","C")</f>
        <v/>
      </c>
      <c r="AU2679" s="36">
        <f>IF(OR(AA2539="",AA2539&gt;=6),"","C")</f>
        <v/>
      </c>
    </row>
    <row r="2680" hidden="1" outlineLevel="1" ht="15" customHeight="1" s="15">
      <c r="AT2680" s="36">
        <f>IF(AND(AA2539&lt;&gt;"",AA2539=7),"R","")</f>
        <v/>
      </c>
      <c r="AU2680" s="36">
        <f>IF(AND(AA2539&lt;&gt;"",AA2539&gt;=6),"R","")</f>
        <v/>
      </c>
    </row>
    <row r="2681" hidden="1" outlineLevel="1" ht="15" customHeight="1" s="15">
      <c r="AT2681" s="36">
        <f>IF(OR(AB2539="",AB2539=7),"","P")</f>
        <v/>
      </c>
      <c r="AU2681" s="36">
        <f>IF(OR(AB2539="",AB2539&gt;=6),"","P")</f>
        <v/>
      </c>
    </row>
    <row r="2682" hidden="1" outlineLevel="1" ht="15" customHeight="1" s="15">
      <c r="AT2682" s="36">
        <f>IF(OR(AB2539="",AB2539=7),"","D")</f>
        <v/>
      </c>
      <c r="AU2682" s="36">
        <f>IF(OR(AB2539="",AB2539&gt;=6),"","D")</f>
        <v/>
      </c>
    </row>
    <row r="2683" hidden="1" outlineLevel="1" ht="15" customHeight="1" s="15">
      <c r="AT2683" s="36">
        <f>IF(OR(AB2539="",AB2539=7),"","A")</f>
        <v/>
      </c>
      <c r="AU2683" s="36">
        <f>IF(OR(AB2539="",AB2539&gt;=6),"","A")</f>
        <v/>
      </c>
    </row>
    <row r="2684" hidden="1" outlineLevel="1" ht="15" customHeight="1" s="15">
      <c r="AT2684" s="36">
        <f>IF(OR(AB2539="",AB2539=7),"","F")</f>
        <v/>
      </c>
      <c r="AU2684" s="36">
        <f>IF(OR(AB2539="",AB2539&gt;=6),"","F")</f>
        <v/>
      </c>
    </row>
    <row r="2685" hidden="1" outlineLevel="1" ht="15" customHeight="1" s="15">
      <c r="AT2685" s="36">
        <f>IF(OR(AB2539="",AB2539=7),"","C")</f>
        <v/>
      </c>
      <c r="AU2685" s="36">
        <f>IF(OR(AB2539="",AB2539&gt;=6),"","C")</f>
        <v/>
      </c>
    </row>
    <row r="2686" hidden="1" outlineLevel="1" ht="15" customHeight="1" s="15">
      <c r="AT2686" s="36">
        <f>IF(AND(AB2539&lt;&gt;"",AB2539=7),"R","")</f>
        <v/>
      </c>
      <c r="AU2686" s="36">
        <f>IF(AND(AB2539&lt;&gt;"",AB2539&gt;=6),"R","")</f>
        <v/>
      </c>
    </row>
    <row r="2687" hidden="1" outlineLevel="1" ht="15" customHeight="1" s="15">
      <c r="AT2687" s="36">
        <f>IF(OR(AC2539="",AC2539=7),"","P")</f>
        <v/>
      </c>
      <c r="AU2687" s="36">
        <f>IF(OR(AC2539="",AC2539&gt;=6),"","P")</f>
        <v/>
      </c>
    </row>
    <row r="2688" hidden="1" outlineLevel="1" ht="15" customHeight="1" s="15">
      <c r="AT2688" s="36">
        <f>IF(OR(AC2539="",AC2539=7),"","D")</f>
        <v/>
      </c>
      <c r="AU2688" s="36">
        <f>IF(OR(AC2539="",AC2539&gt;=6),"","D")</f>
        <v/>
      </c>
    </row>
    <row r="2689" hidden="1" outlineLevel="1" ht="15" customHeight="1" s="15">
      <c r="AT2689" s="36">
        <f>IF(OR(AC2539="",AC2539=7),"","A")</f>
        <v/>
      </c>
      <c r="AU2689" s="36">
        <f>IF(OR(AC2539="",AC2539&gt;=6),"","A")</f>
        <v/>
      </c>
    </row>
    <row r="2690" hidden="1" outlineLevel="1" ht="15" customHeight="1" s="15">
      <c r="AT2690" s="36">
        <f>IF(OR(AC2539="",AC2539=7),"","F")</f>
        <v/>
      </c>
      <c r="AU2690" s="36">
        <f>IF(OR(AC2539="",AC2539&gt;=6),"","F")</f>
        <v/>
      </c>
    </row>
    <row r="2691" hidden="1" outlineLevel="1" ht="15" customHeight="1" s="15">
      <c r="AT2691" s="36">
        <f>IF(OR(AC2539="",AC2539=7),"","C")</f>
        <v/>
      </c>
      <c r="AU2691" s="36">
        <f>IF(OR(AC2539="",AC2539&gt;=6),"","C")</f>
        <v/>
      </c>
    </row>
    <row r="2692" hidden="1" outlineLevel="1" ht="15" customHeight="1" s="15">
      <c r="AT2692" s="36">
        <f>IF(AND(AC2539&lt;&gt;"",AC2539=7),"R","")</f>
        <v/>
      </c>
      <c r="AU2692" s="36">
        <f>IF(AND(AC2539&lt;&gt;"",AC2539&gt;=6),"R","")</f>
        <v/>
      </c>
    </row>
    <row r="2693" hidden="1" outlineLevel="1" ht="15" customHeight="1" s="15">
      <c r="AT2693" s="36">
        <f>IF(OR(AD2539="",AD2539=7),"","P")</f>
        <v/>
      </c>
      <c r="AU2693" s="36">
        <f>IF(OR(AD2539="",AD2539&gt;=6),"","P")</f>
        <v/>
      </c>
    </row>
    <row r="2694" hidden="1" outlineLevel="1" ht="15" customHeight="1" s="15">
      <c r="AT2694" s="36">
        <f>IF(OR(AD2539="",AD2539=7),"","D")</f>
        <v/>
      </c>
      <c r="AU2694" s="36">
        <f>IF(OR(AD2539="",AD2539&gt;=6),"","D")</f>
        <v/>
      </c>
    </row>
    <row r="2695" hidden="1" outlineLevel="1" ht="15" customHeight="1" s="15">
      <c r="AT2695" s="36">
        <f>IF(OR(AD2539="",AD2539=7),"","A")</f>
        <v/>
      </c>
      <c r="AU2695" s="36">
        <f>IF(OR(AD2539="",AD2539&gt;=6),"","A")</f>
        <v/>
      </c>
    </row>
    <row r="2696" hidden="1" outlineLevel="1" ht="15" customHeight="1" s="15">
      <c r="AT2696" s="36">
        <f>IF(OR(AD2539="",AD2539=7),"","F")</f>
        <v/>
      </c>
      <c r="AU2696" s="36">
        <f>IF(OR(AD2539="",AD2539&gt;=6),"","F")</f>
        <v/>
      </c>
    </row>
    <row r="2697" hidden="1" outlineLevel="1" ht="15" customHeight="1" s="15">
      <c r="AT2697" s="36">
        <f>IF(OR(AD2539="",AD2539=7),"","C")</f>
        <v/>
      </c>
      <c r="AU2697" s="36">
        <f>IF(OR(AD2539="",AD2539&gt;=6),"","C")</f>
        <v/>
      </c>
    </row>
    <row r="2698" hidden="1" outlineLevel="1" ht="15" customHeight="1" s="15">
      <c r="AT2698" s="36">
        <f>IF(AND(AD2539&lt;&gt;"",AD2539=7),"R","")</f>
        <v/>
      </c>
      <c r="AU2698" s="36">
        <f>IF(AND(AD2539&lt;&gt;"",AD2539&gt;=6),"R","")</f>
        <v/>
      </c>
    </row>
    <row r="2699" hidden="1" outlineLevel="1" ht="15" customHeight="1" s="15">
      <c r="AT2699" s="36">
        <f>IF(OR(AE2539="",AE2539=7),"","P")</f>
        <v/>
      </c>
      <c r="AU2699" s="36">
        <f>IF(OR(AE2539="",AE2539&gt;=6),"","P")</f>
        <v/>
      </c>
    </row>
    <row r="2700" hidden="1" outlineLevel="1" ht="15" customHeight="1" s="15">
      <c r="AT2700" s="36">
        <f>IF(OR(AE2539="",AE2539=7),"","D")</f>
        <v/>
      </c>
      <c r="AU2700" s="36">
        <f>IF(OR(AE2539="",AE2539&gt;=6),"","D")</f>
        <v/>
      </c>
    </row>
    <row r="2701" hidden="1" outlineLevel="1" ht="15" customHeight="1" s="15">
      <c r="AT2701" s="36">
        <f>IF(OR(AE2539="",AE2539=7),"","A")</f>
        <v/>
      </c>
      <c r="AU2701" s="36">
        <f>IF(OR(AE2539="",AE2539&gt;=6),"","A")</f>
        <v/>
      </c>
    </row>
    <row r="2702" hidden="1" outlineLevel="1" ht="15" customHeight="1" s="15">
      <c r="AT2702" s="36">
        <f>IF(OR(AE2539="",AE2539=7),"","F")</f>
        <v/>
      </c>
      <c r="AU2702" s="36">
        <f>IF(OR(AE2539="",AE2539&gt;=6),"","F")</f>
        <v/>
      </c>
    </row>
    <row r="2703" hidden="1" outlineLevel="1" ht="15" customHeight="1" s="15">
      <c r="AT2703" s="36">
        <f>IF(OR(AE2539="",AE2539=7),"","C")</f>
        <v/>
      </c>
      <c r="AU2703" s="36">
        <f>IF(OR(AE2539="",AE2539&gt;=6),"","C")</f>
        <v/>
      </c>
    </row>
    <row r="2704" hidden="1" outlineLevel="1" ht="15" customHeight="1" s="15">
      <c r="AT2704" s="36">
        <f>IF(AND(AE2539&lt;&gt;"",AE2539=7),"R","")</f>
        <v/>
      </c>
      <c r="AU2704" s="36">
        <f>IF(AND(AE2539&lt;&gt;"",AE2539&gt;=6),"R","")</f>
        <v/>
      </c>
    </row>
    <row r="2705" hidden="1" outlineLevel="1" ht="15" customHeight="1" s="15">
      <c r="AT2705" s="36">
        <f>IF(OR(AF2539="",AF2539=7),"","P")</f>
        <v/>
      </c>
      <c r="AU2705" s="36">
        <f>IF(OR(AF2539="",AF2539&gt;=6),"","P")</f>
        <v/>
      </c>
    </row>
    <row r="2706" hidden="1" outlineLevel="1" ht="15" customHeight="1" s="15">
      <c r="AT2706" s="36">
        <f>IF(OR(AF2539="",AF2539=7),"","D")</f>
        <v/>
      </c>
      <c r="AU2706" s="36">
        <f>IF(OR(AF2539="",AF2539&gt;=6),"","D")</f>
        <v/>
      </c>
    </row>
    <row r="2707" hidden="1" outlineLevel="1" ht="15" customHeight="1" s="15">
      <c r="AT2707" s="36">
        <f>IF(OR(AF2539="",AF2539=7),"","A")</f>
        <v/>
      </c>
      <c r="AU2707" s="36">
        <f>IF(OR(AF2539="",AF2539&gt;=6),"","A")</f>
        <v/>
      </c>
    </row>
    <row r="2708" hidden="1" outlineLevel="1" ht="15" customHeight="1" s="15">
      <c r="AT2708" s="36">
        <f>IF(OR(AF2539="",AF2539=7),"","F")</f>
        <v/>
      </c>
      <c r="AU2708" s="36">
        <f>IF(OR(AF2539="",AF2539&gt;=6),"","F")</f>
        <v/>
      </c>
    </row>
    <row r="2709" hidden="1" outlineLevel="1" ht="15" customHeight="1" s="15">
      <c r="AT2709" s="36">
        <f>IF(OR(AF2539="",AF2539=7),"","C")</f>
        <v/>
      </c>
      <c r="AU2709" s="36">
        <f>IF(OR(AF2539="",AF2539&gt;=6),"","C")</f>
        <v/>
      </c>
    </row>
    <row r="2710" hidden="1" outlineLevel="1" ht="15" customHeight="1" s="15">
      <c r="AT2710" s="36">
        <f>IF(AND(AF2539&lt;&gt;"",AF2539=7),"R","")</f>
        <v/>
      </c>
      <c r="AU2710" s="36">
        <f>IF(AND(AF2539&lt;&gt;"",AF2539&gt;=6),"R","")</f>
        <v/>
      </c>
    </row>
    <row r="2711" hidden="1" outlineLevel="1" ht="15" customHeight="1" s="15">
      <c r="AT2711" s="36">
        <f>IF(OR(AG2539="",AG2539=7),"","P")</f>
        <v/>
      </c>
      <c r="AU2711" s="36">
        <f>IF(OR(AG2539="",AG2539&gt;=6),"","P")</f>
        <v/>
      </c>
    </row>
    <row r="2712" hidden="1" outlineLevel="1" ht="15" customHeight="1" s="15">
      <c r="AT2712" s="36">
        <f>IF(OR(AG2539="",AG2539=7),"","D")</f>
        <v/>
      </c>
      <c r="AU2712" s="36">
        <f>IF(OR(AG2539="",AG2539&gt;=6),"","D")</f>
        <v/>
      </c>
    </row>
    <row r="2713" hidden="1" outlineLevel="1" ht="15" customHeight="1" s="15">
      <c r="AT2713" s="36">
        <f>IF(OR(AG2539="",AG2539=7),"","A")</f>
        <v/>
      </c>
      <c r="AU2713" s="36">
        <f>IF(OR(AG2539="",AG2539&gt;=6),"","A")</f>
        <v/>
      </c>
    </row>
    <row r="2714" hidden="1" outlineLevel="1" ht="15" customHeight="1" s="15">
      <c r="AT2714" s="36">
        <f>IF(OR(AG2539="",AG2539=7),"","F")</f>
        <v/>
      </c>
      <c r="AU2714" s="36">
        <f>IF(OR(AG2539="",AG2539&gt;=6),"","F")</f>
        <v/>
      </c>
    </row>
    <row r="2715" hidden="1" outlineLevel="1" ht="15" customHeight="1" s="15">
      <c r="AT2715" s="36">
        <f>IF(OR(AG2539="",AG2539=7),"","C")</f>
        <v/>
      </c>
      <c r="AU2715" s="36">
        <f>IF(OR(AG2539="",AG2539&gt;=6),"","C")</f>
        <v/>
      </c>
    </row>
    <row r="2716" hidden="1" outlineLevel="1" ht="15" customHeight="1" s="15">
      <c r="AT2716" s="36">
        <f>IF(AND(AG2539&lt;&gt;"",AG2539=7),"R","")</f>
        <v/>
      </c>
      <c r="AU2716" s="36">
        <f>IF(AND(AG2539&lt;&gt;"",AG2539&gt;=6),"R","")</f>
        <v/>
      </c>
    </row>
    <row r="2717" hidden="1" outlineLevel="1" ht="15" customHeight="1" s="15">
      <c r="AT2717" s="36">
        <f>IF(OR(AH2539="",AH2539=7),"","P")</f>
        <v/>
      </c>
      <c r="AU2717" s="36">
        <f>IF(OR(AH2539="",AH2539&gt;=6),"","P")</f>
        <v/>
      </c>
    </row>
    <row r="2718" hidden="1" outlineLevel="1" ht="15" customHeight="1" s="15">
      <c r="AT2718" s="36">
        <f>IF(OR(AH2539="",AH2539=7),"","D")</f>
        <v/>
      </c>
      <c r="AU2718" s="36">
        <f>IF(OR(AH2539="",AH2539&gt;=6),"","D")</f>
        <v/>
      </c>
    </row>
    <row r="2719" hidden="1" outlineLevel="1" ht="15" customHeight="1" s="15">
      <c r="AT2719" s="36">
        <f>IF(OR(AH2539="",AH2539=7),"","A")</f>
        <v/>
      </c>
      <c r="AU2719" s="36">
        <f>IF(OR(AH2539="",AH2539&gt;=6),"","A")</f>
        <v/>
      </c>
    </row>
    <row r="2720" hidden="1" outlineLevel="1" ht="15" customHeight="1" s="15">
      <c r="AT2720" s="36">
        <f>IF(OR(AH2539="",AH2539=7),"","F")</f>
        <v/>
      </c>
      <c r="AU2720" s="36">
        <f>IF(OR(AH2539="",AH2539&gt;=6),"","F")</f>
        <v/>
      </c>
    </row>
    <row r="2721" hidden="1" outlineLevel="1" ht="15" customHeight="1" s="15">
      <c r="AT2721" s="36">
        <f>IF(OR(AH2539="",AH2539=7),"","C")</f>
        <v/>
      </c>
      <c r="AU2721" s="36">
        <f>IF(OR(AH2539="",AH2539&gt;=6),"","C")</f>
        <v/>
      </c>
    </row>
    <row r="2722" hidden="1" outlineLevel="1" ht="15" customHeight="1" s="15">
      <c r="AT2722" s="36">
        <f>IF(AND(AH2539&lt;&gt;"",AH2539=7),"R","")</f>
        <v/>
      </c>
      <c r="AU2722" s="36">
        <f>IF(AND(AH2539&lt;&gt;"",AH2539&gt;=6),"R","")</f>
        <v/>
      </c>
    </row>
    <row r="2723" hidden="1" outlineLevel="1" ht="15" customHeight="1" s="15">
      <c r="AT2723" s="36">
        <f>IF(OR(AI2539="",AI2539=7),"","P")</f>
        <v/>
      </c>
      <c r="AU2723" s="36">
        <f>IF(OR(AI2539="",AI2539&gt;=6),"","P")</f>
        <v/>
      </c>
    </row>
    <row r="2724" hidden="1" outlineLevel="1" ht="15" customHeight="1" s="15">
      <c r="AT2724" s="36">
        <f>IF(OR(AI2539="",AI2539=7),"","D")</f>
        <v/>
      </c>
      <c r="AU2724" s="36">
        <f>IF(OR(AI2539="",AI2539&gt;=6),"","D")</f>
        <v/>
      </c>
    </row>
    <row r="2725" hidden="1" outlineLevel="1" ht="15" customHeight="1" s="15">
      <c r="AT2725" s="36">
        <f>IF(OR(AI2539="",AI2539=7),"","A")</f>
        <v/>
      </c>
      <c r="AU2725" s="36">
        <f>IF(OR(AI2539="",AI2539&gt;=6),"","A")</f>
        <v/>
      </c>
    </row>
    <row r="2726" hidden="1" outlineLevel="1" ht="15" customHeight="1" s="15">
      <c r="AT2726" s="36">
        <f>IF(OR(AI2539="",AI2539=7),"","F")</f>
        <v/>
      </c>
      <c r="AU2726" s="36">
        <f>IF(OR(AI2539="",AI2539&gt;=6),"","F")</f>
        <v/>
      </c>
    </row>
    <row r="2727" hidden="1" outlineLevel="1" ht="15" customHeight="1" s="15">
      <c r="AT2727" s="36">
        <f>IF(OR(AI2539="",AI2539=7),"","C")</f>
        <v/>
      </c>
      <c r="AU2727" s="36">
        <f>IF(OR(AI2539="",AI2539&gt;=6),"","C")</f>
        <v/>
      </c>
    </row>
    <row r="2728" hidden="1" outlineLevel="1" ht="15" customHeight="1" s="15">
      <c r="AT2728" s="36">
        <f>IF(AND(AI2539&lt;&gt;"",AI2539=7),"R","")</f>
        <v/>
      </c>
      <c r="AU2728" s="36">
        <f>IF(AND(AI2539&lt;&gt;"",AI2539&gt;=6),"R","")</f>
        <v/>
      </c>
    </row>
    <row r="2729" hidden="1" outlineLevel="1" ht="15" customHeight="1" s="15">
      <c r="AT2729" s="36">
        <f>IF(OR(AJ2539="",AJ2539=7),"","P")</f>
        <v/>
      </c>
      <c r="AU2729" s="36">
        <f>IF(OR(AJ2539="",AJ2539&gt;=6),"","P")</f>
        <v/>
      </c>
    </row>
    <row r="2730" hidden="1" outlineLevel="1" ht="15" customHeight="1" s="15">
      <c r="AT2730" s="36">
        <f>IF(OR(AJ2539="",AJ2539=7),"","D")</f>
        <v/>
      </c>
      <c r="AU2730" s="36">
        <f>IF(OR(AJ2539="",AJ2539&gt;=6),"","D")</f>
        <v/>
      </c>
    </row>
    <row r="2731" hidden="1" outlineLevel="1" ht="15" customHeight="1" s="15">
      <c r="AT2731" s="36">
        <f>IF(OR(AJ2539="",AJ2539=7),"","A")</f>
        <v/>
      </c>
      <c r="AU2731" s="36">
        <f>IF(OR(AJ2539="",AJ2539&gt;=6),"","A")</f>
        <v/>
      </c>
    </row>
    <row r="2732" hidden="1" outlineLevel="1" ht="15" customHeight="1" s="15">
      <c r="AT2732" s="36">
        <f>IF(OR(AJ2539="",AJ2539=7),"","F")</f>
        <v/>
      </c>
      <c r="AU2732" s="36">
        <f>IF(OR(AJ2539="",AJ2539&gt;=6),"","F")</f>
        <v/>
      </c>
    </row>
    <row r="2733" hidden="1" outlineLevel="1" ht="15" customHeight="1" s="15">
      <c r="AT2733" s="36">
        <f>IF(OR(AJ2539="",AJ2539=7),"","C")</f>
        <v/>
      </c>
      <c r="AU2733" s="36">
        <f>IF(OR(AJ2539="",AJ2539&gt;=6),"","C")</f>
        <v/>
      </c>
    </row>
    <row r="2734" hidden="1" outlineLevel="1" ht="15" customHeight="1" s="15">
      <c r="AT2734" s="36">
        <f>IF(AND(AJ2539&lt;&gt;"",AJ2539=7),"R","")</f>
        <v/>
      </c>
      <c r="AU2734" s="36">
        <f>IF(AND(AJ2539&lt;&gt;"",AJ2539&gt;=6),"R","")</f>
        <v/>
      </c>
    </row>
    <row r="2735" hidden="1" outlineLevel="1" ht="15" customHeight="1" s="15">
      <c r="AT2735" s="36">
        <f>IF(OR(AK2539="",AK2539=7),"","P")</f>
        <v/>
      </c>
      <c r="AU2735" s="36">
        <f>IF(OR(AK2539="",AK2539&gt;=6),"","P")</f>
        <v/>
      </c>
    </row>
    <row r="2736" hidden="1" outlineLevel="1" ht="15" customHeight="1" s="15">
      <c r="AT2736" s="36">
        <f>IF(OR(AK2539="",AK2539=7),"","D")</f>
        <v/>
      </c>
      <c r="AU2736" s="36">
        <f>IF(OR(AK2539="",AK2539&gt;=6),"","D")</f>
        <v/>
      </c>
    </row>
    <row r="2737" hidden="1" outlineLevel="1" ht="15" customHeight="1" s="15">
      <c r="AT2737" s="36">
        <f>IF(OR(AK2539="",AK2539=7),"","A")</f>
        <v/>
      </c>
      <c r="AU2737" s="36">
        <f>IF(OR(AK2539="",AK2539&gt;=6),"","A")</f>
        <v/>
      </c>
    </row>
    <row r="2738" hidden="1" outlineLevel="1" ht="15" customHeight="1" s="15">
      <c r="AT2738" s="36">
        <f>IF(OR(AK2539="",AK2539=7),"","F")</f>
        <v/>
      </c>
      <c r="AU2738" s="36">
        <f>IF(OR(AK2539="",AK2539&gt;=6),"","F")</f>
        <v/>
      </c>
    </row>
    <row r="2739" hidden="1" outlineLevel="1" ht="15" customHeight="1" s="15">
      <c r="AT2739" s="36">
        <f>IF(OR(AK2539="",AK2539=7),"","C")</f>
        <v/>
      </c>
      <c r="AU2739" s="36">
        <f>IF(OR(AK2539="",AK2539&gt;=6),"","C")</f>
        <v/>
      </c>
    </row>
    <row r="2740" hidden="1" outlineLevel="1" ht="15" customHeight="1" s="15">
      <c r="AT2740" s="36">
        <f>IF(AND(AK2539&lt;&gt;"",AK2539=7),"R","")</f>
        <v/>
      </c>
      <c r="AU2740" s="36">
        <f>IF(AND(AK2539&lt;&gt;"",AK2539&gt;=6),"R","")</f>
        <v/>
      </c>
    </row>
    <row r="2741" hidden="1" outlineLevel="1" ht="15" customHeight="1" s="15">
      <c r="AT2741" s="36">
        <f>IF(OR(AL2539="",AL2539=7),"","P")</f>
        <v/>
      </c>
      <c r="AU2741" s="36">
        <f>IF(OR(AL2539="",AL2539&gt;=6),"","P")</f>
        <v/>
      </c>
    </row>
    <row r="2742" hidden="1" outlineLevel="1" ht="15" customHeight="1" s="15">
      <c r="AT2742" s="36">
        <f>IF(OR(AL2539="",AL2539=7),"","D")</f>
        <v/>
      </c>
      <c r="AU2742" s="36">
        <f>IF(OR(AL2539="",AL2539&gt;=6),"","D")</f>
        <v/>
      </c>
    </row>
    <row r="2743" hidden="1" outlineLevel="1" ht="15" customHeight="1" s="15">
      <c r="AT2743" s="36">
        <f>IF(OR(AL2539="",AL2539=7),"","A")</f>
        <v/>
      </c>
      <c r="AU2743" s="36">
        <f>IF(OR(AL2539="",AL2539&gt;=6),"","A")</f>
        <v/>
      </c>
    </row>
    <row r="2744" hidden="1" outlineLevel="1" ht="15" customHeight="1" s="15">
      <c r="AT2744" s="36">
        <f>IF(OR(AL2539="",AL2539=7),"","F")</f>
        <v/>
      </c>
      <c r="AU2744" s="36">
        <f>IF(OR(AL2539="",AL2539&gt;=6),"","F")</f>
        <v/>
      </c>
    </row>
    <row r="2745" hidden="1" outlineLevel="1" ht="15" customHeight="1" s="15">
      <c r="AT2745" s="36">
        <f>IF(OR(AL2539="",AL2539=7),"","C")</f>
        <v/>
      </c>
      <c r="AU2745" s="36">
        <f>IF(OR(AL2539="",AL2539&gt;=6),"","C")</f>
        <v/>
      </c>
    </row>
    <row r="2746" hidden="1" outlineLevel="1" ht="15" customHeight="1" s="15">
      <c r="AT2746" s="36">
        <f>IF(AND(AL2539&lt;&gt;"",AL2539=7),"R","")</f>
        <v/>
      </c>
      <c r="AU2746" s="36">
        <f>IF(AND(AL2539&lt;&gt;"",AL2539&gt;=6),"R","")</f>
        <v/>
      </c>
    </row>
    <row r="2747" hidden="1" outlineLevel="1" ht="15" customHeight="1" s="15">
      <c r="AT2747" s="36">
        <f>IF(OR(AM2539="",AM2539=7),"","P")</f>
        <v/>
      </c>
      <c r="AU2747" s="36">
        <f>IF(OR(AM2539="",AM2539&gt;=6),"","P")</f>
        <v/>
      </c>
    </row>
    <row r="2748" hidden="1" outlineLevel="1" ht="15" customHeight="1" s="15">
      <c r="AT2748" s="36">
        <f>IF(OR(AM2539="",AM2539=7),"","D")</f>
        <v/>
      </c>
      <c r="AU2748" s="36">
        <f>IF(OR(AM2539="",AM2539&gt;=6),"","D")</f>
        <v/>
      </c>
    </row>
    <row r="2749" hidden="1" outlineLevel="1" ht="15" customHeight="1" s="15">
      <c r="AT2749" s="36">
        <f>IF(OR(AM2539="",AM2539=7),"","A")</f>
        <v/>
      </c>
      <c r="AU2749" s="36">
        <f>IF(OR(AM2539="",AM2539&gt;=6),"","A")</f>
        <v/>
      </c>
    </row>
    <row r="2750" hidden="1" outlineLevel="1" ht="15" customHeight="1" s="15">
      <c r="AT2750" s="36">
        <f>IF(OR(AM2539="",AM2539=7),"","F")</f>
        <v/>
      </c>
      <c r="AU2750" s="36">
        <f>IF(OR(AM2539="",AM2539&gt;=6),"","F")</f>
        <v/>
      </c>
    </row>
    <row r="2751" hidden="1" outlineLevel="1" ht="15" customHeight="1" s="15">
      <c r="AT2751" s="36">
        <f>IF(OR(AM2539="",AM2539=7),"","C")</f>
        <v/>
      </c>
      <c r="AU2751" s="36">
        <f>IF(OR(AM2539="",AM2539&gt;=6),"","C")</f>
        <v/>
      </c>
    </row>
    <row r="2752" hidden="1" outlineLevel="1" ht="15" customHeight="1" s="15">
      <c r="AT2752" s="36">
        <f>IF(AND(AM2539&lt;&gt;"",AM2539=7),"R","")</f>
        <v/>
      </c>
      <c r="AU2752" s="36">
        <f>IF(AND(AM2539&lt;&gt;"",AM2539&gt;=6),"R","")</f>
        <v/>
      </c>
    </row>
    <row r="2753" hidden="1" outlineLevel="1" ht="15" customHeight="1" s="15">
      <c r="AT2753" s="36">
        <f>IF(OR(AN2539="",AN2539=7),"","P")</f>
        <v/>
      </c>
      <c r="AU2753" s="36">
        <f>IF(OR(AN2539="",AN2539&gt;=6),"","P")</f>
        <v/>
      </c>
    </row>
    <row r="2754" hidden="1" outlineLevel="1" ht="15" customHeight="1" s="15">
      <c r="AT2754" s="36">
        <f>IF(OR(AN2539="",AN2539=7),"","D")</f>
        <v/>
      </c>
      <c r="AU2754" s="36">
        <f>IF(OR(AN2539="",AN2539&gt;=6),"","D")</f>
        <v/>
      </c>
    </row>
    <row r="2755" hidden="1" outlineLevel="1" ht="15" customHeight="1" s="15">
      <c r="AT2755" s="36">
        <f>IF(OR(AN2539="",AN2539=7),"","A")</f>
        <v/>
      </c>
      <c r="AU2755" s="36">
        <f>IF(OR(AN2539="",AN2539&gt;=6),"","A")</f>
        <v/>
      </c>
    </row>
    <row r="2756" hidden="1" outlineLevel="1" ht="15" customHeight="1" s="15">
      <c r="AT2756" s="36">
        <f>IF(OR(AN2539="",AN2539=7),"","F")</f>
        <v/>
      </c>
      <c r="AU2756" s="36">
        <f>IF(OR(AN2539="",AN2539&gt;=6),"","F")</f>
        <v/>
      </c>
    </row>
    <row r="2757" hidden="1" outlineLevel="1" ht="15" customHeight="1" s="15">
      <c r="AT2757" s="36">
        <f>IF(OR(AN2539="",AN2539=7),"","C")</f>
        <v/>
      </c>
      <c r="AU2757" s="36">
        <f>IF(OR(AN2539="",AN2539&gt;=6),"","C")</f>
        <v/>
      </c>
    </row>
    <row r="2758" hidden="1" outlineLevel="1" ht="15" customHeight="1" s="15">
      <c r="AT2758" s="36">
        <f>IF(AND(AN2539&lt;&gt;"",AN2539=7),"R","")</f>
        <v/>
      </c>
      <c r="AU2758" s="36">
        <f>IF(AND(AN2539&lt;&gt;"",AN2539&gt;=6),"R","")</f>
        <v/>
      </c>
    </row>
    <row r="2759" hidden="1" outlineLevel="1" ht="15" customHeight="1" s="15">
      <c r="AT2759" s="36">
        <f>IF(OR(AO2539="",AO2539=7),"","P")</f>
        <v/>
      </c>
      <c r="AU2759" s="36">
        <f>IF(OR(AO2539="",AO2539&gt;=6),"","P")</f>
        <v/>
      </c>
    </row>
    <row r="2760" hidden="1" outlineLevel="1" ht="15" customHeight="1" s="15">
      <c r="AT2760" s="36">
        <f>IF(OR(AO2539="",AO2539=7),"","D")</f>
        <v/>
      </c>
      <c r="AU2760" s="36">
        <f>IF(OR(AO2539="",AO2539&gt;=6),"","D")</f>
        <v/>
      </c>
    </row>
    <row r="2761" hidden="1" outlineLevel="1" ht="15" customHeight="1" s="15">
      <c r="AT2761" s="36">
        <f>IF(OR(AO2539="",AO2539=7),"","A")</f>
        <v/>
      </c>
      <c r="AU2761" s="36">
        <f>IF(OR(AO2539="",AO2539&gt;=6),"","A")</f>
        <v/>
      </c>
    </row>
    <row r="2762" hidden="1" outlineLevel="1" ht="15" customHeight="1" s="15">
      <c r="AT2762" s="36">
        <f>IF(OR(AO2539="",AO2539=7),"","F")</f>
        <v/>
      </c>
      <c r="AU2762" s="36">
        <f>IF(OR(AO2539="",AO2539&gt;=6),"","F")</f>
        <v/>
      </c>
    </row>
    <row r="2763" hidden="1" outlineLevel="1" ht="15" customHeight="1" s="15">
      <c r="AT2763" s="36">
        <f>IF(OR(AO2539="",AO2539=7),"","C")</f>
        <v/>
      </c>
      <c r="AU2763" s="36">
        <f>IF(OR(AO2539="",AO2539&gt;=6),"","C")</f>
        <v/>
      </c>
    </row>
    <row r="2764" hidden="1" outlineLevel="1" ht="15" customHeight="1" s="15">
      <c r="AT2764" s="36">
        <f>IF(AND(AO2539&lt;&gt;"",AO2539=7),"R","")</f>
        <v/>
      </c>
      <c r="AU2764" s="36">
        <f>IF(AND(AO2539&lt;&gt;"",AO2539&gt;=6),"R","")</f>
        <v/>
      </c>
    </row>
    <row r="2765" hidden="1" outlineLevel="1" ht="15" customHeight="1" s="15">
      <c r="AT2765" s="36">
        <f>IF(OR(AP2539="",AP2539=7),"","P")</f>
        <v/>
      </c>
      <c r="AU2765" s="36">
        <f>IF(OR(AP2539="",AP2539&gt;=6),"","P")</f>
        <v/>
      </c>
    </row>
    <row r="2766" hidden="1" outlineLevel="1" ht="15" customHeight="1" s="15">
      <c r="AT2766" s="36">
        <f>IF(OR(AP2539="",AP2539=7),"","D")</f>
        <v/>
      </c>
      <c r="AU2766" s="36">
        <f>IF(OR(AP2539="",AP2539&gt;=6),"","D")</f>
        <v/>
      </c>
    </row>
    <row r="2767" hidden="1" outlineLevel="1" ht="15" customHeight="1" s="15">
      <c r="AT2767" s="36">
        <f>IF(OR(AP2539="",AP2539=7),"","A")</f>
        <v/>
      </c>
      <c r="AU2767" s="36">
        <f>IF(OR(AP2539="",AP2539&gt;=6),"","A")</f>
        <v/>
      </c>
    </row>
    <row r="2768" hidden="1" outlineLevel="1" ht="15" customHeight="1" s="15">
      <c r="AT2768" s="36">
        <f>IF(OR(AP2539="",AP2539=7),"","F")</f>
        <v/>
      </c>
      <c r="AU2768" s="36">
        <f>IF(OR(AP2539="",AP2539&gt;=6),"","F")</f>
        <v/>
      </c>
    </row>
    <row r="2769" hidden="1" outlineLevel="1" ht="15" customHeight="1" s="15">
      <c r="AT2769" s="36">
        <f>IF(OR(AP2539="",AP2539=7),"","C")</f>
        <v/>
      </c>
      <c r="AU2769" s="36">
        <f>IF(OR(AP2539="",AP2539&gt;=6),"","C")</f>
        <v/>
      </c>
    </row>
    <row r="2770" hidden="1" outlineLevel="1" ht="15" customHeight="1" s="15">
      <c r="AT2770" s="36">
        <f>IF(AND(AP2539&lt;&gt;"",AP2539=7),"R","")</f>
        <v/>
      </c>
      <c r="AU2770" s="36">
        <f>IF(AND(AP2539&lt;&gt;"",AP2539&gt;=6),"R","")</f>
        <v/>
      </c>
    </row>
    <row r="2771" hidden="1" outlineLevel="1" ht="15" customHeight="1" s="15">
      <c r="AT2771" s="36">
        <f>IF(OR(AQ2539="",AQ2539=7),"","P")</f>
        <v/>
      </c>
      <c r="AU2771" s="36">
        <f>IF(OR(AQ2539="",AQ2539&gt;=6),"","P")</f>
        <v/>
      </c>
    </row>
    <row r="2772" hidden="1" outlineLevel="1" ht="15" customHeight="1" s="15">
      <c r="AT2772" s="36">
        <f>IF(OR(AQ2539="",AQ2539=7),"","D")</f>
        <v/>
      </c>
      <c r="AU2772" s="36">
        <f>IF(OR(AQ2539="",AQ2539&gt;=6),"","D")</f>
        <v/>
      </c>
    </row>
    <row r="2773" hidden="1" outlineLevel="1" ht="15" customHeight="1" s="15">
      <c r="AT2773" s="36">
        <f>IF(OR(AQ2539="",AQ2539=7),"","A")</f>
        <v/>
      </c>
      <c r="AU2773" s="36">
        <f>IF(OR(AQ2539="",AQ2539&gt;=6),"","A")</f>
        <v/>
      </c>
    </row>
    <row r="2774" hidden="1" outlineLevel="1" ht="15" customHeight="1" s="15">
      <c r="AT2774" s="36">
        <f>IF(OR(AQ2539="",AQ2539=7),"","F")</f>
        <v/>
      </c>
      <c r="AU2774" s="36">
        <f>IF(OR(AQ2539="",AQ2539&gt;=6),"","F")</f>
        <v/>
      </c>
    </row>
    <row r="2775" hidden="1" outlineLevel="1" ht="15" customHeight="1" s="15">
      <c r="AT2775" s="36">
        <f>IF(OR(AQ2539="",AQ2539=7),"","C")</f>
        <v/>
      </c>
      <c r="AU2775" s="36">
        <f>IF(OR(AQ2539="",AQ2539&gt;=6),"","C")</f>
        <v/>
      </c>
    </row>
    <row r="2776" hidden="1" outlineLevel="1" ht="15" customHeight="1" s="15">
      <c r="AT2776" s="36">
        <f>IF(AND(AQ2539&lt;&gt;"",AQ2539=7),"R","")</f>
        <v/>
      </c>
      <c r="AU2776" s="36">
        <f>IF(AND(AQ2539&lt;&gt;"",AQ2539&gt;=6),"R","")</f>
        <v/>
      </c>
    </row>
    <row r="2777" hidden="1" outlineLevel="1" ht="15" customHeight="1" s="15">
      <c r="AT2777" s="36">
        <f>IF(OR(AR2539="",AR2539=7),"","P")</f>
        <v/>
      </c>
      <c r="AU2777" s="36">
        <f>IF(OR(AR2539="",AR2539&gt;=6),"","P")</f>
        <v/>
      </c>
    </row>
    <row r="2778" hidden="1" outlineLevel="1" ht="15" customHeight="1" s="15">
      <c r="AT2778" s="36">
        <f>IF(OR(AR2539="",AR2539=7),"","D")</f>
        <v/>
      </c>
      <c r="AU2778" s="36">
        <f>IF(OR(AR2539="",AR2539&gt;=6),"","D")</f>
        <v/>
      </c>
    </row>
    <row r="2779" hidden="1" outlineLevel="1" ht="15" customHeight="1" s="15">
      <c r="AT2779" s="36">
        <f>IF(OR(AR2539="",AR2539=7),"","A")</f>
        <v/>
      </c>
      <c r="AU2779" s="36">
        <f>IF(OR(AR2539="",AR2539&gt;=6),"","A")</f>
        <v/>
      </c>
    </row>
    <row r="2780" hidden="1" outlineLevel="1" ht="15" customHeight="1" s="15">
      <c r="AT2780" s="36">
        <f>IF(OR(AR2539="",AR2539=7),"","F")</f>
        <v/>
      </c>
      <c r="AU2780" s="36">
        <f>IF(OR(AR2539="",AR2539&gt;=6),"","F")</f>
        <v/>
      </c>
    </row>
    <row r="2781" hidden="1" outlineLevel="1" ht="15" customHeight="1" s="15">
      <c r="AT2781" s="36">
        <f>IF(OR(AR2539="",AR2539=7),"","C")</f>
        <v/>
      </c>
      <c r="AU2781" s="36">
        <f>IF(OR(AR2539="",AR2539&gt;=6),"","C")</f>
        <v/>
      </c>
    </row>
    <row r="2782" hidden="1" outlineLevel="1" ht="15" customHeight="1" s="15">
      <c r="AT2782" s="36">
        <f>IF(AND(AR2539&lt;&gt;"",AR2539=7),"R","")</f>
        <v/>
      </c>
      <c r="AU2782" s="36">
        <f>IF(AND(AR2539&lt;&gt;"",AR2539&gt;=6),"R","")</f>
        <v/>
      </c>
    </row>
    <row r="2783" hidden="1" outlineLevel="1" ht="15" customHeight="1" s="15">
      <c r="AT2783" s="36">
        <f>IF(OR(AS2539="",AS2539=7),"","P")</f>
        <v/>
      </c>
      <c r="AU2783" s="36">
        <f>IF(OR(AS2539="",AS2539&gt;=6),"","P")</f>
        <v/>
      </c>
    </row>
    <row r="2784" hidden="1" outlineLevel="1" ht="15" customHeight="1" s="15">
      <c r="AT2784" s="36">
        <f>IF(OR(AS2539="",AS2539=7),"","D")</f>
        <v/>
      </c>
      <c r="AU2784" s="36">
        <f>IF(OR(AS2539="",AS2539&gt;=6),"","D")</f>
        <v/>
      </c>
    </row>
    <row r="2785" hidden="1" outlineLevel="1" ht="15" customHeight="1" s="15">
      <c r="AT2785" s="36">
        <f>IF(OR(AS2539="",AS2539=7),"","A")</f>
        <v/>
      </c>
      <c r="AU2785" s="36">
        <f>IF(OR(AS2539="",AS2539&gt;=6),"","A")</f>
        <v/>
      </c>
    </row>
    <row r="2786" hidden="1" outlineLevel="1" ht="15" customHeight="1" s="15">
      <c r="AT2786" s="36">
        <f>IF(OR(AS2539="",AS2539=7),"","F")</f>
        <v/>
      </c>
      <c r="AU2786" s="36">
        <f>IF(OR(AS2539="",AS2539&gt;=6),"","F")</f>
        <v/>
      </c>
    </row>
    <row r="2787" hidden="1" outlineLevel="1" ht="15" customHeight="1" s="15">
      <c r="AT2787" s="36">
        <f>IF(OR(AS2539="",AS2539=7),"","C")</f>
        <v/>
      </c>
      <c r="AU2787" s="36">
        <f>IF(OR(AS2539="",AS2539&gt;=6),"","C")</f>
        <v/>
      </c>
    </row>
    <row r="2788" hidden="1" outlineLevel="1" ht="15" customHeight="1" s="15">
      <c r="AT2788" s="36">
        <f>IF(AND(AS2539&lt;&gt;"",AS2539=7),"R","")</f>
        <v/>
      </c>
      <c r="AU2788" s="36">
        <f>IF(AND(AS2539&lt;&gt;"",AS2539&gt;=6),"R","")</f>
        <v/>
      </c>
    </row>
    <row r="2789" ht="21.75" customHeight="1" s="15">
      <c r="B2789" s="6" t="inlineStr">
        <is>
          <t>ℹ  Grille de pointage Novembre — P/D/A/F/C/R, jours prévus/réels/absence calculés (jours ouvrables réels, WEEKDAY). R ne se propose que le jour de repos (repos exceptionnellement travaillé, +majoration). Listes techniques et ligne de calendrier repliées par défaut.</t>
        </is>
      </c>
    </row>
    <row r="2791" ht="19.5" customHeight="1" s="15">
      <c r="B2791" s="71">
        <f>"  DÉCEMBRE " &amp; PARAMETRES!$C$29</f>
        <v/>
      </c>
    </row>
    <row r="2792" hidden="1" ht="15" customHeight="1" s="15">
      <c r="B2792" s="36" t="inlineStr">
        <is>
          <t>Jour sem. (technique)</t>
        </is>
      </c>
      <c r="O2792" s="37">
        <f>IF(1&gt;DAY(EOMONTH(DATE(PARAMETRES!$C$29,12,1),0)),"",WEEKDAY(DATE(PARAMETRES!$C$29,12,1),2))</f>
        <v/>
      </c>
      <c r="P2792" s="37">
        <f>IF(2&gt;DAY(EOMONTH(DATE(PARAMETRES!$C$29,12,1),0)),"",WEEKDAY(DATE(PARAMETRES!$C$29,12,2),2))</f>
        <v/>
      </c>
      <c r="Q2792" s="37">
        <f>IF(3&gt;DAY(EOMONTH(DATE(PARAMETRES!$C$29,12,1),0)),"",WEEKDAY(DATE(PARAMETRES!$C$29,12,3),2))</f>
        <v/>
      </c>
      <c r="R2792" s="37">
        <f>IF(4&gt;DAY(EOMONTH(DATE(PARAMETRES!$C$29,12,1),0)),"",WEEKDAY(DATE(PARAMETRES!$C$29,12,4),2))</f>
        <v/>
      </c>
      <c r="S2792" s="37">
        <f>IF(5&gt;DAY(EOMONTH(DATE(PARAMETRES!$C$29,12,1),0)),"",WEEKDAY(DATE(PARAMETRES!$C$29,12,5),2))</f>
        <v/>
      </c>
      <c r="T2792" s="37">
        <f>IF(6&gt;DAY(EOMONTH(DATE(PARAMETRES!$C$29,12,1),0)),"",WEEKDAY(DATE(PARAMETRES!$C$29,12,6),2))</f>
        <v/>
      </c>
      <c r="U2792" s="37">
        <f>IF(7&gt;DAY(EOMONTH(DATE(PARAMETRES!$C$29,12,1),0)),"",WEEKDAY(DATE(PARAMETRES!$C$29,12,7),2))</f>
        <v/>
      </c>
      <c r="V2792" s="37">
        <f>IF(8&gt;DAY(EOMONTH(DATE(PARAMETRES!$C$29,12,1),0)),"",WEEKDAY(DATE(PARAMETRES!$C$29,12,8),2))</f>
        <v/>
      </c>
      <c r="W2792" s="37">
        <f>IF(9&gt;DAY(EOMONTH(DATE(PARAMETRES!$C$29,12,1),0)),"",WEEKDAY(DATE(PARAMETRES!$C$29,12,9),2))</f>
        <v/>
      </c>
      <c r="X2792" s="37">
        <f>IF(10&gt;DAY(EOMONTH(DATE(PARAMETRES!$C$29,12,1),0)),"",WEEKDAY(DATE(PARAMETRES!$C$29,12,10),2))</f>
        <v/>
      </c>
      <c r="Y2792" s="37">
        <f>IF(11&gt;DAY(EOMONTH(DATE(PARAMETRES!$C$29,12,1),0)),"",WEEKDAY(DATE(PARAMETRES!$C$29,12,11),2))</f>
        <v/>
      </c>
      <c r="Z2792" s="37">
        <f>IF(12&gt;DAY(EOMONTH(DATE(PARAMETRES!$C$29,12,1),0)),"",WEEKDAY(DATE(PARAMETRES!$C$29,12,12),2))</f>
        <v/>
      </c>
      <c r="AA2792" s="37">
        <f>IF(13&gt;DAY(EOMONTH(DATE(PARAMETRES!$C$29,12,1),0)),"",WEEKDAY(DATE(PARAMETRES!$C$29,12,13),2))</f>
        <v/>
      </c>
      <c r="AB2792" s="37">
        <f>IF(14&gt;DAY(EOMONTH(DATE(PARAMETRES!$C$29,12,1),0)),"",WEEKDAY(DATE(PARAMETRES!$C$29,12,14),2))</f>
        <v/>
      </c>
      <c r="AC2792" s="37">
        <f>IF(15&gt;DAY(EOMONTH(DATE(PARAMETRES!$C$29,12,1),0)),"",WEEKDAY(DATE(PARAMETRES!$C$29,12,15),2))</f>
        <v/>
      </c>
      <c r="AD2792" s="37">
        <f>IF(16&gt;DAY(EOMONTH(DATE(PARAMETRES!$C$29,12,1),0)),"",WEEKDAY(DATE(PARAMETRES!$C$29,12,16),2))</f>
        <v/>
      </c>
      <c r="AE2792" s="37">
        <f>IF(17&gt;DAY(EOMONTH(DATE(PARAMETRES!$C$29,12,1),0)),"",WEEKDAY(DATE(PARAMETRES!$C$29,12,17),2))</f>
        <v/>
      </c>
      <c r="AF2792" s="37">
        <f>IF(18&gt;DAY(EOMONTH(DATE(PARAMETRES!$C$29,12,1),0)),"",WEEKDAY(DATE(PARAMETRES!$C$29,12,18),2))</f>
        <v/>
      </c>
      <c r="AG2792" s="37">
        <f>IF(19&gt;DAY(EOMONTH(DATE(PARAMETRES!$C$29,12,1),0)),"",WEEKDAY(DATE(PARAMETRES!$C$29,12,19),2))</f>
        <v/>
      </c>
      <c r="AH2792" s="37">
        <f>IF(20&gt;DAY(EOMONTH(DATE(PARAMETRES!$C$29,12,1),0)),"",WEEKDAY(DATE(PARAMETRES!$C$29,12,20),2))</f>
        <v/>
      </c>
      <c r="AI2792" s="37">
        <f>IF(21&gt;DAY(EOMONTH(DATE(PARAMETRES!$C$29,12,1),0)),"",WEEKDAY(DATE(PARAMETRES!$C$29,12,21),2))</f>
        <v/>
      </c>
      <c r="AJ2792" s="37">
        <f>IF(22&gt;DAY(EOMONTH(DATE(PARAMETRES!$C$29,12,1),0)),"",WEEKDAY(DATE(PARAMETRES!$C$29,12,22),2))</f>
        <v/>
      </c>
      <c r="AK2792" s="37">
        <f>IF(23&gt;DAY(EOMONTH(DATE(PARAMETRES!$C$29,12,1),0)),"",WEEKDAY(DATE(PARAMETRES!$C$29,12,23),2))</f>
        <v/>
      </c>
      <c r="AL2792" s="37">
        <f>IF(24&gt;DAY(EOMONTH(DATE(PARAMETRES!$C$29,12,1),0)),"",WEEKDAY(DATE(PARAMETRES!$C$29,12,24),2))</f>
        <v/>
      </c>
      <c r="AM2792" s="37">
        <f>IF(25&gt;DAY(EOMONTH(DATE(PARAMETRES!$C$29,12,1),0)),"",WEEKDAY(DATE(PARAMETRES!$C$29,12,25),2))</f>
        <v/>
      </c>
      <c r="AN2792" s="37">
        <f>IF(26&gt;DAY(EOMONTH(DATE(PARAMETRES!$C$29,12,1),0)),"",WEEKDAY(DATE(PARAMETRES!$C$29,12,26),2))</f>
        <v/>
      </c>
      <c r="AO2792" s="37">
        <f>IF(27&gt;DAY(EOMONTH(DATE(PARAMETRES!$C$29,12,1),0)),"",WEEKDAY(DATE(PARAMETRES!$C$29,12,27),2))</f>
        <v/>
      </c>
      <c r="AP2792" s="37">
        <f>IF(28&gt;DAY(EOMONTH(DATE(PARAMETRES!$C$29,12,1),0)),"",WEEKDAY(DATE(PARAMETRES!$C$29,12,28),2))</f>
        <v/>
      </c>
      <c r="AQ2792" s="37">
        <f>IF(29&gt;DAY(EOMONTH(DATE(PARAMETRES!$C$29,12,1),0)),"",WEEKDAY(DATE(PARAMETRES!$C$29,12,29),2))</f>
        <v/>
      </c>
      <c r="AR2792" s="37">
        <f>IF(30&gt;DAY(EOMONTH(DATE(PARAMETRES!$C$29,12,1),0)),"",WEEKDAY(DATE(PARAMETRES!$C$29,12,30),2))</f>
        <v/>
      </c>
      <c r="AS2792" s="37">
        <f>IF(31&gt;DAY(EOMONTH(DATE(PARAMETRES!$C$29,12,1),0)),"",WEEKDAY(DATE(PARAMETRES!$C$29,12,31),2))</f>
        <v/>
      </c>
    </row>
    <row r="2793" ht="15" customHeight="1" s="15">
      <c r="B2793" s="38" t="inlineStr">
        <is>
          <t>Jour</t>
        </is>
      </c>
      <c r="O2793" s="39">
        <f>IF(O2792="","",CHOOSE(O2792,"L","M","M","J","V","S","D"))</f>
        <v/>
      </c>
      <c r="P2793" s="39">
        <f>IF(P2792="","",CHOOSE(P2792,"L","M","M","J","V","S","D"))</f>
        <v/>
      </c>
      <c r="Q2793" s="39">
        <f>IF(Q2792="","",CHOOSE(Q2792,"L","M","M","J","V","S","D"))</f>
        <v/>
      </c>
      <c r="R2793" s="39">
        <f>IF(R2792="","",CHOOSE(R2792,"L","M","M","J","V","S","D"))</f>
        <v/>
      </c>
      <c r="S2793" s="39">
        <f>IF(S2792="","",CHOOSE(S2792,"L","M","M","J","V","S","D"))</f>
        <v/>
      </c>
      <c r="T2793" s="39">
        <f>IF(T2792="","",CHOOSE(T2792,"L","M","M","J","V","S","D"))</f>
        <v/>
      </c>
      <c r="U2793" s="39">
        <f>IF(U2792="","",CHOOSE(U2792,"L","M","M","J","V","S","D"))</f>
        <v/>
      </c>
      <c r="V2793" s="39">
        <f>IF(V2792="","",CHOOSE(V2792,"L","M","M","J","V","S","D"))</f>
        <v/>
      </c>
      <c r="W2793" s="39">
        <f>IF(W2792="","",CHOOSE(W2792,"L","M","M","J","V","S","D"))</f>
        <v/>
      </c>
      <c r="X2793" s="39">
        <f>IF(X2792="","",CHOOSE(X2792,"L","M","M","J","V","S","D"))</f>
        <v/>
      </c>
      <c r="Y2793" s="39">
        <f>IF(Y2792="","",CHOOSE(Y2792,"L","M","M","J","V","S","D"))</f>
        <v/>
      </c>
      <c r="Z2793" s="39">
        <f>IF(Z2792="","",CHOOSE(Z2792,"L","M","M","J","V","S","D"))</f>
        <v/>
      </c>
      <c r="AA2793" s="39">
        <f>IF(AA2792="","",CHOOSE(AA2792,"L","M","M","J","V","S","D"))</f>
        <v/>
      </c>
      <c r="AB2793" s="39">
        <f>IF(AB2792="","",CHOOSE(AB2792,"L","M","M","J","V","S","D"))</f>
        <v/>
      </c>
      <c r="AC2793" s="39">
        <f>IF(AC2792="","",CHOOSE(AC2792,"L","M","M","J","V","S","D"))</f>
        <v/>
      </c>
      <c r="AD2793" s="39">
        <f>IF(AD2792="","",CHOOSE(AD2792,"L","M","M","J","V","S","D"))</f>
        <v/>
      </c>
      <c r="AE2793" s="39">
        <f>IF(AE2792="","",CHOOSE(AE2792,"L","M","M","J","V","S","D"))</f>
        <v/>
      </c>
      <c r="AF2793" s="39">
        <f>IF(AF2792="","",CHOOSE(AF2792,"L","M","M","J","V","S","D"))</f>
        <v/>
      </c>
      <c r="AG2793" s="39">
        <f>IF(AG2792="","",CHOOSE(AG2792,"L","M","M","J","V","S","D"))</f>
        <v/>
      </c>
      <c r="AH2793" s="39">
        <f>IF(AH2792="","",CHOOSE(AH2792,"L","M","M","J","V","S","D"))</f>
        <v/>
      </c>
      <c r="AI2793" s="39">
        <f>IF(AI2792="","",CHOOSE(AI2792,"L","M","M","J","V","S","D"))</f>
        <v/>
      </c>
      <c r="AJ2793" s="39">
        <f>IF(AJ2792="","",CHOOSE(AJ2792,"L","M","M","J","V","S","D"))</f>
        <v/>
      </c>
      <c r="AK2793" s="39">
        <f>IF(AK2792="","",CHOOSE(AK2792,"L","M","M","J","V","S","D"))</f>
        <v/>
      </c>
      <c r="AL2793" s="39">
        <f>IF(AL2792="","",CHOOSE(AL2792,"L","M","M","J","V","S","D"))</f>
        <v/>
      </c>
      <c r="AM2793" s="39">
        <f>IF(AM2792="","",CHOOSE(AM2792,"L","M","M","J","V","S","D"))</f>
        <v/>
      </c>
      <c r="AN2793" s="39">
        <f>IF(AN2792="","",CHOOSE(AN2792,"L","M","M","J","V","S","D"))</f>
        <v/>
      </c>
      <c r="AO2793" s="39">
        <f>IF(AO2792="","",CHOOSE(AO2792,"L","M","M","J","V","S","D"))</f>
        <v/>
      </c>
      <c r="AP2793" s="39">
        <f>IF(AP2792="","",CHOOSE(AP2792,"L","M","M","J","V","S","D"))</f>
        <v/>
      </c>
      <c r="AQ2793" s="39">
        <f>IF(AQ2792="","",CHOOSE(AQ2792,"L","M","M","J","V","S","D"))</f>
        <v/>
      </c>
      <c r="AR2793" s="39">
        <f>IF(AR2792="","",CHOOSE(AR2792,"L","M","M","J","V","S","D"))</f>
        <v/>
      </c>
      <c r="AS2793" s="39">
        <f>IF(AS2792="","",CHOOSE(AS2792,"L","M","M","J","V","S","D"))</f>
        <v/>
      </c>
    </row>
    <row r="2794" ht="24" customHeight="1" s="15">
      <c r="B2794" s="40" t="inlineStr">
        <is>
          <t>Mois</t>
        </is>
      </c>
      <c r="C2794" s="40" t="inlineStr">
        <is>
          <t>Matricule</t>
        </is>
      </c>
      <c r="D2794" s="40" t="inlineStr">
        <is>
          <t>Nom complet</t>
        </is>
      </c>
      <c r="E2794" s="40" t="inlineStr">
        <is>
          <t>Heures
sup.</t>
        </is>
      </c>
      <c r="F2794" s="40" t="inlineStr">
        <is>
          <t>Primes
(CDF)</t>
        </is>
      </c>
      <c r="G2794" s="40" t="inlineStr">
        <is>
          <t>Jours
abs.</t>
        </is>
      </c>
      <c r="H2794" s="40" t="inlineStr">
        <is>
          <t>Avance
(CDF)</t>
        </is>
      </c>
      <c r="I2794" s="40" t="inlineStr">
        <is>
          <t>Contrôle
auto.</t>
        </is>
      </c>
      <c r="J2794" s="40" t="inlineStr">
        <is>
          <t>Retenues
(CDF)</t>
        </is>
      </c>
      <c r="K2794" s="40" t="inlineStr">
        <is>
          <t>Motif</t>
        </is>
      </c>
      <c r="L2794" s="40" t="inlineStr">
        <is>
          <t>Observ.</t>
        </is>
      </c>
      <c r="M2794" s="40" t="inlineStr">
        <is>
          <t>Jours
prévus</t>
        </is>
      </c>
      <c r="N2794" s="40" t="inlineStr">
        <is>
          <t>Jours
réels</t>
        </is>
      </c>
      <c r="O2794" s="40" t="n">
        <v>1</v>
      </c>
      <c r="P2794" s="40" t="n">
        <v>2</v>
      </c>
      <c r="Q2794" s="40" t="n">
        <v>3</v>
      </c>
      <c r="R2794" s="40" t="n">
        <v>4</v>
      </c>
      <c r="S2794" s="40" t="n">
        <v>5</v>
      </c>
      <c r="T2794" s="40" t="n">
        <v>6</v>
      </c>
      <c r="U2794" s="40" t="n">
        <v>7</v>
      </c>
      <c r="V2794" s="40" t="n">
        <v>8</v>
      </c>
      <c r="W2794" s="40" t="n">
        <v>9</v>
      </c>
      <c r="X2794" s="40" t="n">
        <v>10</v>
      </c>
      <c r="Y2794" s="40" t="n">
        <v>11</v>
      </c>
      <c r="Z2794" s="40" t="n">
        <v>12</v>
      </c>
      <c r="AA2794" s="40" t="n">
        <v>13</v>
      </c>
      <c r="AB2794" s="40" t="n">
        <v>14</v>
      </c>
      <c r="AC2794" s="40" t="n">
        <v>15</v>
      </c>
      <c r="AD2794" s="40" t="n">
        <v>16</v>
      </c>
      <c r="AE2794" s="40" t="n">
        <v>17</v>
      </c>
      <c r="AF2794" s="40" t="n">
        <v>18</v>
      </c>
      <c r="AG2794" s="40" t="n">
        <v>19</v>
      </c>
      <c r="AH2794" s="40" t="n">
        <v>20</v>
      </c>
      <c r="AI2794" s="40" t="n">
        <v>21</v>
      </c>
      <c r="AJ2794" s="40" t="n">
        <v>22</v>
      </c>
      <c r="AK2794" s="40" t="n">
        <v>23</v>
      </c>
      <c r="AL2794" s="40" t="n">
        <v>24</v>
      </c>
      <c r="AM2794" s="40" t="n">
        <v>25</v>
      </c>
      <c r="AN2794" s="40" t="n">
        <v>26</v>
      </c>
      <c r="AO2794" s="40" t="n">
        <v>27</v>
      </c>
      <c r="AP2794" s="40" t="n">
        <v>28</v>
      </c>
      <c r="AQ2794" s="40" t="n">
        <v>29</v>
      </c>
      <c r="AR2794" s="40" t="n">
        <v>30</v>
      </c>
      <c r="AS2794" s="40" t="n">
        <v>31</v>
      </c>
      <c r="AY2794" s="40" t="inlineStr">
        <is>
          <t>Heures
nuit</t>
        </is>
      </c>
    </row>
    <row r="2795" hidden="1" outlineLevel="1" ht="15" customHeight="1" s="15">
      <c r="B2795" s="41" t="n">
        <v>12</v>
      </c>
      <c r="C2795" s="42">
        <f>IF(EMPLOYES!C15="","",EMPLOYES!C15)</f>
        <v/>
      </c>
      <c r="D2795" s="43">
        <f>IF(EMPLOYES!C15="","",EMPLOYES!D15)</f>
        <v/>
      </c>
      <c r="E2795" s="44" t="n"/>
      <c r="F2795" s="42" t="n"/>
      <c r="G2795" s="41">
        <f>IF($C2795="",0,MAX(0,$M2795-$N2795))</f>
        <v/>
      </c>
      <c r="H2795" s="45" t="n"/>
      <c r="I2795" s="41">
        <f>IF($C2795="","",IF(H2795="","OK",IF(H2795&gt;EMPLOYES!P15,"⚠ Avance &gt; salaire",IF(H2795&gt;EMPLOYES!P15*PARAMETRES!$C$218,"⚠ Avance élevée","OK"))))</f>
        <v/>
      </c>
      <c r="J2795" s="45" t="n"/>
      <c r="K2795" s="46" t="n"/>
      <c r="L2795" s="46" t="n"/>
      <c r="M2795" s="41">
        <f>IF($C2795="","",SUMPRODUCT((PARAMETRES!$B$38:$B$157=PARAMETRES!$C$29)*(PARAMETRES!$C$38:$C$157=12)*(IF(EMPLOYES!M15="5j",PARAMETRES!$I$38:$I$157,PARAMETRES!$H$38:$H$157))))</f>
        <v/>
      </c>
      <c r="N2795" s="41">
        <f>IF($C2795="","",SUMPRODUCT((O2795:AS2795="P")+(O2795:AS2795="F")+(O2795:AS2795="C")+0.5*(O2795:AS2795="D"),(1-((O2792:AS2792=6)*(EMPLOYES!M15="5j")))))</f>
        <v/>
      </c>
      <c r="O2795" s="46" t="n"/>
      <c r="P2795" s="46" t="n"/>
      <c r="Q2795" s="46" t="n"/>
      <c r="R2795" s="46" t="n"/>
      <c r="S2795" s="46" t="n"/>
      <c r="T2795" s="46" t="n"/>
      <c r="U2795" s="46" t="n"/>
      <c r="V2795" s="46" t="n"/>
      <c r="W2795" s="46" t="n"/>
      <c r="X2795" s="46" t="n"/>
      <c r="Y2795" s="46" t="n"/>
      <c r="Z2795" s="46" t="n"/>
      <c r="AA2795" s="46" t="n"/>
      <c r="AB2795" s="46" t="n"/>
      <c r="AC2795" s="46" t="n"/>
      <c r="AD2795" s="46" t="n"/>
      <c r="AE2795" s="46" t="n"/>
      <c r="AF2795" s="46" t="n"/>
      <c r="AG2795" s="46" t="n"/>
      <c r="AH2795" s="46" t="n"/>
      <c r="AI2795" s="46" t="n"/>
      <c r="AJ2795" s="46" t="n"/>
      <c r="AK2795" s="46" t="n"/>
      <c r="AL2795" s="46" t="n"/>
      <c r="AM2795" s="46" t="n"/>
      <c r="AN2795" s="46" t="n"/>
      <c r="AO2795" s="46" t="n"/>
      <c r="AP2795" s="46" t="n"/>
      <c r="AQ2795" s="46" t="n"/>
      <c r="AR2795" s="46" t="n"/>
      <c r="AS2795" s="46" t="n"/>
      <c r="AV2795" s="36">
        <f>IF($C2795="","",EMPLOYES!M15)</f>
        <v/>
      </c>
      <c r="AW2795" s="36">
        <f>IF($C2795="",0,SUMPRODUCT(--(O2795:AS2795="C")))</f>
        <v/>
      </c>
      <c r="AX2795" s="36">
        <f>IF($C2795="",0,SUMPRODUCT(--(O2795:AS2795="R")))</f>
        <v/>
      </c>
      <c r="AY2795" s="44" t="n"/>
    </row>
    <row r="2796" hidden="1" outlineLevel="1" ht="15" customHeight="1" s="15">
      <c r="B2796" s="41" t="n">
        <v>12</v>
      </c>
      <c r="C2796" s="42">
        <f>IF(EMPLOYES!C16="","",EMPLOYES!C16)</f>
        <v/>
      </c>
      <c r="D2796" s="43">
        <f>IF(EMPLOYES!C16="","",EMPLOYES!D16)</f>
        <v/>
      </c>
      <c r="E2796" s="44" t="n"/>
      <c r="F2796" s="42" t="n"/>
      <c r="G2796" s="41">
        <f>IF($C2796="",0,MAX(0,$M2796-$N2796))</f>
        <v/>
      </c>
      <c r="H2796" s="45" t="n"/>
      <c r="I2796" s="41">
        <f>IF($C2796="","",IF(H2796="","OK",IF(H2796&gt;EMPLOYES!P16,"⚠ Avance &gt; salaire",IF(H2796&gt;EMPLOYES!P16*PARAMETRES!$C$218,"⚠ Avance élevée","OK"))))</f>
        <v/>
      </c>
      <c r="J2796" s="45" t="n"/>
      <c r="K2796" s="46" t="n"/>
      <c r="L2796" s="46" t="n"/>
      <c r="M2796" s="41">
        <f>IF($C2796="","",SUMPRODUCT((PARAMETRES!$B$38:$B$157=PARAMETRES!$C$29)*(PARAMETRES!$C$38:$C$157=12)*(IF(EMPLOYES!M16="5j",PARAMETRES!$I$38:$I$157,PARAMETRES!$H$38:$H$157))))</f>
        <v/>
      </c>
      <c r="N2796" s="41">
        <f>IF($C2796="","",SUMPRODUCT((O2796:AS2796="P")+(O2796:AS2796="F")+(O2796:AS2796="C")+0.5*(O2796:AS2796="D"),(1-((O2792:AS2792=6)*(EMPLOYES!M16="5j")))))</f>
        <v/>
      </c>
      <c r="O2796" s="46" t="n"/>
      <c r="P2796" s="46" t="n"/>
      <c r="Q2796" s="46" t="n"/>
      <c r="R2796" s="46" t="n"/>
      <c r="S2796" s="46" t="n"/>
      <c r="T2796" s="46" t="n"/>
      <c r="U2796" s="46" t="n"/>
      <c r="V2796" s="46" t="n"/>
      <c r="W2796" s="46" t="n"/>
      <c r="X2796" s="46" t="n"/>
      <c r="Y2796" s="46" t="n"/>
      <c r="Z2796" s="46" t="n"/>
      <c r="AA2796" s="46" t="n"/>
      <c r="AB2796" s="46" t="n"/>
      <c r="AC2796" s="46" t="n"/>
      <c r="AD2796" s="46" t="n"/>
      <c r="AE2796" s="46" t="n"/>
      <c r="AF2796" s="46" t="n"/>
      <c r="AG2796" s="46" t="n"/>
      <c r="AH2796" s="46" t="n"/>
      <c r="AI2796" s="46" t="n"/>
      <c r="AJ2796" s="46" t="n"/>
      <c r="AK2796" s="46" t="n"/>
      <c r="AL2796" s="46" t="n"/>
      <c r="AM2796" s="46" t="n"/>
      <c r="AN2796" s="46" t="n"/>
      <c r="AO2796" s="46" t="n"/>
      <c r="AP2796" s="46" t="n"/>
      <c r="AQ2796" s="46" t="n"/>
      <c r="AR2796" s="46" t="n"/>
      <c r="AS2796" s="46" t="n"/>
      <c r="AV2796" s="36">
        <f>IF($C2796="","",EMPLOYES!M16)</f>
        <v/>
      </c>
      <c r="AW2796" s="36">
        <f>IF($C2796="",0,SUMPRODUCT(--(O2796:AS2796="C")))</f>
        <v/>
      </c>
      <c r="AX2796" s="36">
        <f>IF($C2796="",0,SUMPRODUCT(--(O2796:AS2796="R")))</f>
        <v/>
      </c>
      <c r="AY2796" s="44" t="n"/>
    </row>
    <row r="2797" hidden="1" outlineLevel="1" ht="15" customHeight="1" s="15">
      <c r="B2797" s="41" t="n">
        <v>12</v>
      </c>
      <c r="C2797" s="42">
        <f>IF(EMPLOYES!C17="","",EMPLOYES!C17)</f>
        <v/>
      </c>
      <c r="D2797" s="43">
        <f>IF(EMPLOYES!C17="","",EMPLOYES!D17)</f>
        <v/>
      </c>
      <c r="E2797" s="44" t="n"/>
      <c r="F2797" s="42" t="n"/>
      <c r="G2797" s="41">
        <f>IF($C2797="",0,MAX(0,$M2797-$N2797))</f>
        <v/>
      </c>
      <c r="H2797" s="45" t="n"/>
      <c r="I2797" s="41">
        <f>IF($C2797="","",IF(H2797="","OK",IF(H2797&gt;EMPLOYES!P17,"⚠ Avance &gt; salaire",IF(H2797&gt;EMPLOYES!P17*PARAMETRES!$C$218,"⚠ Avance élevée","OK"))))</f>
        <v/>
      </c>
      <c r="J2797" s="45" t="n"/>
      <c r="K2797" s="46" t="n"/>
      <c r="L2797" s="46" t="n"/>
      <c r="M2797" s="41">
        <f>IF($C2797="","",SUMPRODUCT((PARAMETRES!$B$38:$B$157=PARAMETRES!$C$29)*(PARAMETRES!$C$38:$C$157=12)*(IF(EMPLOYES!M17="5j",PARAMETRES!$I$38:$I$157,PARAMETRES!$H$38:$H$157))))</f>
        <v/>
      </c>
      <c r="N2797" s="41">
        <f>IF($C2797="","",SUMPRODUCT((O2797:AS2797="P")+(O2797:AS2797="F")+(O2797:AS2797="C")+0.5*(O2797:AS2797="D"),(1-((O2792:AS2792=6)*(EMPLOYES!M17="5j")))))</f>
        <v/>
      </c>
      <c r="O2797" s="46" t="n"/>
      <c r="P2797" s="46" t="n"/>
      <c r="Q2797" s="46" t="n"/>
      <c r="R2797" s="46" t="n"/>
      <c r="S2797" s="46" t="n"/>
      <c r="T2797" s="46" t="n"/>
      <c r="U2797" s="46" t="n"/>
      <c r="V2797" s="46" t="n"/>
      <c r="W2797" s="46" t="n"/>
      <c r="X2797" s="46" t="n"/>
      <c r="Y2797" s="46" t="n"/>
      <c r="Z2797" s="46" t="n"/>
      <c r="AA2797" s="46" t="n"/>
      <c r="AB2797" s="46" t="n"/>
      <c r="AC2797" s="46" t="n"/>
      <c r="AD2797" s="46" t="n"/>
      <c r="AE2797" s="46" t="n"/>
      <c r="AF2797" s="46" t="n"/>
      <c r="AG2797" s="46" t="n"/>
      <c r="AH2797" s="46" t="n"/>
      <c r="AI2797" s="46" t="n"/>
      <c r="AJ2797" s="46" t="n"/>
      <c r="AK2797" s="46" t="n"/>
      <c r="AL2797" s="46" t="n"/>
      <c r="AM2797" s="46" t="n"/>
      <c r="AN2797" s="46" t="n"/>
      <c r="AO2797" s="46" t="n"/>
      <c r="AP2797" s="46" t="n"/>
      <c r="AQ2797" s="46" t="n"/>
      <c r="AR2797" s="46" t="n"/>
      <c r="AS2797" s="46" t="n"/>
      <c r="AV2797" s="36">
        <f>IF($C2797="","",EMPLOYES!M17)</f>
        <v/>
      </c>
      <c r="AW2797" s="36">
        <f>IF($C2797="",0,SUMPRODUCT(--(O2797:AS2797="C")))</f>
        <v/>
      </c>
      <c r="AX2797" s="36">
        <f>IF($C2797="",0,SUMPRODUCT(--(O2797:AS2797="R")))</f>
        <v/>
      </c>
      <c r="AY2797" s="44" t="n"/>
    </row>
    <row r="2798" hidden="1" outlineLevel="1" ht="15" customHeight="1" s="15">
      <c r="B2798" s="41" t="n">
        <v>12</v>
      </c>
      <c r="C2798" s="42">
        <f>IF(EMPLOYES!C18="","",EMPLOYES!C18)</f>
        <v/>
      </c>
      <c r="D2798" s="43">
        <f>IF(EMPLOYES!C18="","",EMPLOYES!D18)</f>
        <v/>
      </c>
      <c r="E2798" s="44" t="n"/>
      <c r="F2798" s="42" t="n"/>
      <c r="G2798" s="41">
        <f>IF($C2798="",0,MAX(0,$M2798-$N2798))</f>
        <v/>
      </c>
      <c r="H2798" s="45" t="n"/>
      <c r="I2798" s="41">
        <f>IF($C2798="","",IF(H2798="","OK",IF(H2798&gt;EMPLOYES!P18,"⚠ Avance &gt; salaire",IF(H2798&gt;EMPLOYES!P18*PARAMETRES!$C$218,"⚠ Avance élevée","OK"))))</f>
        <v/>
      </c>
      <c r="J2798" s="45" t="n"/>
      <c r="K2798" s="46" t="n"/>
      <c r="L2798" s="46" t="n"/>
      <c r="M2798" s="41">
        <f>IF($C2798="","",SUMPRODUCT((PARAMETRES!$B$38:$B$157=PARAMETRES!$C$29)*(PARAMETRES!$C$38:$C$157=12)*(IF(EMPLOYES!M18="5j",PARAMETRES!$I$38:$I$157,PARAMETRES!$H$38:$H$157))))</f>
        <v/>
      </c>
      <c r="N2798" s="41">
        <f>IF($C2798="","",SUMPRODUCT((O2798:AS2798="P")+(O2798:AS2798="F")+(O2798:AS2798="C")+0.5*(O2798:AS2798="D"),(1-((O2792:AS2792=6)*(EMPLOYES!M18="5j")))))</f>
        <v/>
      </c>
      <c r="O2798" s="46" t="n"/>
      <c r="P2798" s="46" t="n"/>
      <c r="Q2798" s="46" t="n"/>
      <c r="R2798" s="46" t="n"/>
      <c r="S2798" s="46" t="n"/>
      <c r="T2798" s="46" t="n"/>
      <c r="U2798" s="46" t="n"/>
      <c r="V2798" s="46" t="n"/>
      <c r="W2798" s="46" t="n"/>
      <c r="X2798" s="46" t="n"/>
      <c r="Y2798" s="46" t="n"/>
      <c r="Z2798" s="46" t="n"/>
      <c r="AA2798" s="46" t="n"/>
      <c r="AB2798" s="46" t="n"/>
      <c r="AC2798" s="46" t="n"/>
      <c r="AD2798" s="46" t="n"/>
      <c r="AE2798" s="46" t="n"/>
      <c r="AF2798" s="46" t="n"/>
      <c r="AG2798" s="46" t="n"/>
      <c r="AH2798" s="46" t="n"/>
      <c r="AI2798" s="46" t="n"/>
      <c r="AJ2798" s="46" t="n"/>
      <c r="AK2798" s="46" t="n"/>
      <c r="AL2798" s="46" t="n"/>
      <c r="AM2798" s="46" t="n"/>
      <c r="AN2798" s="46" t="n"/>
      <c r="AO2798" s="46" t="n"/>
      <c r="AP2798" s="46" t="n"/>
      <c r="AQ2798" s="46" t="n"/>
      <c r="AR2798" s="46" t="n"/>
      <c r="AS2798" s="46" t="n"/>
      <c r="AV2798" s="36">
        <f>IF($C2798="","",EMPLOYES!M18)</f>
        <v/>
      </c>
      <c r="AW2798" s="36">
        <f>IF($C2798="",0,SUMPRODUCT(--(O2798:AS2798="C")))</f>
        <v/>
      </c>
      <c r="AX2798" s="36">
        <f>IF($C2798="",0,SUMPRODUCT(--(O2798:AS2798="R")))</f>
        <v/>
      </c>
      <c r="AY2798" s="44" t="n"/>
    </row>
    <row r="2799" hidden="1" outlineLevel="1" ht="15" customHeight="1" s="15">
      <c r="B2799" s="41" t="n">
        <v>12</v>
      </c>
      <c r="C2799" s="42">
        <f>IF(EMPLOYES!C19="","",EMPLOYES!C19)</f>
        <v/>
      </c>
      <c r="D2799" s="43">
        <f>IF(EMPLOYES!C19="","",EMPLOYES!D19)</f>
        <v/>
      </c>
      <c r="E2799" s="44" t="n"/>
      <c r="F2799" s="42" t="n"/>
      <c r="G2799" s="41">
        <f>IF($C2799="",0,MAX(0,$M2799-$N2799))</f>
        <v/>
      </c>
      <c r="H2799" s="45" t="n"/>
      <c r="I2799" s="41">
        <f>IF($C2799="","",IF(H2799="","OK",IF(H2799&gt;EMPLOYES!P19,"⚠ Avance &gt; salaire",IF(H2799&gt;EMPLOYES!P19*PARAMETRES!$C$218,"⚠ Avance élevée","OK"))))</f>
        <v/>
      </c>
      <c r="J2799" s="45" t="n"/>
      <c r="K2799" s="46" t="n"/>
      <c r="L2799" s="46" t="n"/>
      <c r="M2799" s="41">
        <f>IF($C2799="","",SUMPRODUCT((PARAMETRES!$B$38:$B$157=PARAMETRES!$C$29)*(PARAMETRES!$C$38:$C$157=12)*(IF(EMPLOYES!M19="5j",PARAMETRES!$I$38:$I$157,PARAMETRES!$H$38:$H$157))))</f>
        <v/>
      </c>
      <c r="N2799" s="41">
        <f>IF($C2799="","",SUMPRODUCT((O2799:AS2799="P")+(O2799:AS2799="F")+(O2799:AS2799="C")+0.5*(O2799:AS2799="D"),(1-((O2792:AS2792=6)*(EMPLOYES!M19="5j")))))</f>
        <v/>
      </c>
      <c r="O2799" s="46" t="n"/>
      <c r="P2799" s="46" t="n"/>
      <c r="Q2799" s="46" t="n"/>
      <c r="R2799" s="46" t="n"/>
      <c r="S2799" s="46" t="n"/>
      <c r="T2799" s="46" t="n"/>
      <c r="U2799" s="46" t="n"/>
      <c r="V2799" s="46" t="n"/>
      <c r="W2799" s="46" t="n"/>
      <c r="X2799" s="46" t="n"/>
      <c r="Y2799" s="46" t="n"/>
      <c r="Z2799" s="46" t="n"/>
      <c r="AA2799" s="46" t="n"/>
      <c r="AB2799" s="46" t="n"/>
      <c r="AC2799" s="46" t="n"/>
      <c r="AD2799" s="46" t="n"/>
      <c r="AE2799" s="46" t="n"/>
      <c r="AF2799" s="46" t="n"/>
      <c r="AG2799" s="46" t="n"/>
      <c r="AH2799" s="46" t="n"/>
      <c r="AI2799" s="46" t="n"/>
      <c r="AJ2799" s="46" t="n"/>
      <c r="AK2799" s="46" t="n"/>
      <c r="AL2799" s="46" t="n"/>
      <c r="AM2799" s="46" t="n"/>
      <c r="AN2799" s="46" t="n"/>
      <c r="AO2799" s="46" t="n"/>
      <c r="AP2799" s="46" t="n"/>
      <c r="AQ2799" s="46" t="n"/>
      <c r="AR2799" s="46" t="n"/>
      <c r="AS2799" s="46" t="n"/>
      <c r="AV2799" s="36">
        <f>IF($C2799="","",EMPLOYES!M19)</f>
        <v/>
      </c>
      <c r="AW2799" s="36">
        <f>IF($C2799="",0,SUMPRODUCT(--(O2799:AS2799="C")))</f>
        <v/>
      </c>
      <c r="AX2799" s="36">
        <f>IF($C2799="",0,SUMPRODUCT(--(O2799:AS2799="R")))</f>
        <v/>
      </c>
      <c r="AY2799" s="44" t="n"/>
    </row>
    <row r="2800" hidden="1" outlineLevel="1" ht="15" customHeight="1" s="15">
      <c r="B2800" s="41" t="n">
        <v>12</v>
      </c>
      <c r="C2800" s="42">
        <f>IF(EMPLOYES!C20="","",EMPLOYES!C20)</f>
        <v/>
      </c>
      <c r="D2800" s="43">
        <f>IF(EMPLOYES!C20="","",EMPLOYES!D20)</f>
        <v/>
      </c>
      <c r="E2800" s="44" t="n"/>
      <c r="F2800" s="42" t="n"/>
      <c r="G2800" s="41">
        <f>IF($C2800="",0,MAX(0,$M2800-$N2800))</f>
        <v/>
      </c>
      <c r="H2800" s="45" t="n"/>
      <c r="I2800" s="41">
        <f>IF($C2800="","",IF(H2800="","OK",IF(H2800&gt;EMPLOYES!P20,"⚠ Avance &gt; salaire",IF(H2800&gt;EMPLOYES!P20*PARAMETRES!$C$218,"⚠ Avance élevée","OK"))))</f>
        <v/>
      </c>
      <c r="J2800" s="45" t="n"/>
      <c r="K2800" s="46" t="n"/>
      <c r="L2800" s="46" t="n"/>
      <c r="M2800" s="41">
        <f>IF($C2800="","",SUMPRODUCT((PARAMETRES!$B$38:$B$157=PARAMETRES!$C$29)*(PARAMETRES!$C$38:$C$157=12)*(IF(EMPLOYES!M20="5j",PARAMETRES!$I$38:$I$157,PARAMETRES!$H$38:$H$157))))</f>
        <v/>
      </c>
      <c r="N2800" s="41">
        <f>IF($C2800="","",SUMPRODUCT((O2800:AS2800="P")+(O2800:AS2800="F")+(O2800:AS2800="C")+0.5*(O2800:AS2800="D"),(1-((O2792:AS2792=6)*(EMPLOYES!M20="5j")))))</f>
        <v/>
      </c>
      <c r="O2800" s="46" t="n"/>
      <c r="P2800" s="46" t="n"/>
      <c r="Q2800" s="46" t="n"/>
      <c r="R2800" s="46" t="n"/>
      <c r="S2800" s="46" t="n"/>
      <c r="T2800" s="46" t="n"/>
      <c r="U2800" s="46" t="n"/>
      <c r="V2800" s="46" t="n"/>
      <c r="W2800" s="46" t="n"/>
      <c r="X2800" s="46" t="n"/>
      <c r="Y2800" s="46" t="n"/>
      <c r="Z2800" s="46" t="n"/>
      <c r="AA2800" s="46" t="n"/>
      <c r="AB2800" s="46" t="n"/>
      <c r="AC2800" s="46" t="n"/>
      <c r="AD2800" s="46" t="n"/>
      <c r="AE2800" s="46" t="n"/>
      <c r="AF2800" s="46" t="n"/>
      <c r="AG2800" s="46" t="n"/>
      <c r="AH2800" s="46" t="n"/>
      <c r="AI2800" s="46" t="n"/>
      <c r="AJ2800" s="46" t="n"/>
      <c r="AK2800" s="46" t="n"/>
      <c r="AL2800" s="46" t="n"/>
      <c r="AM2800" s="46" t="n"/>
      <c r="AN2800" s="46" t="n"/>
      <c r="AO2800" s="46" t="n"/>
      <c r="AP2800" s="46" t="n"/>
      <c r="AQ2800" s="46" t="n"/>
      <c r="AR2800" s="46" t="n"/>
      <c r="AS2800" s="46" t="n"/>
      <c r="AV2800" s="36">
        <f>IF($C2800="","",EMPLOYES!M20)</f>
        <v/>
      </c>
      <c r="AW2800" s="36">
        <f>IF($C2800="",0,SUMPRODUCT(--(O2800:AS2800="C")))</f>
        <v/>
      </c>
      <c r="AX2800" s="36">
        <f>IF($C2800="",0,SUMPRODUCT(--(O2800:AS2800="R")))</f>
        <v/>
      </c>
      <c r="AY2800" s="44" t="n"/>
    </row>
    <row r="2801" hidden="1" outlineLevel="1" ht="15" customHeight="1" s="15">
      <c r="B2801" s="41" t="n">
        <v>12</v>
      </c>
      <c r="C2801" s="42">
        <f>IF(EMPLOYES!C21="","",EMPLOYES!C21)</f>
        <v/>
      </c>
      <c r="D2801" s="43">
        <f>IF(EMPLOYES!C21="","",EMPLOYES!D21)</f>
        <v/>
      </c>
      <c r="E2801" s="44" t="n"/>
      <c r="F2801" s="42" t="n"/>
      <c r="G2801" s="41">
        <f>IF($C2801="",0,MAX(0,$M2801-$N2801))</f>
        <v/>
      </c>
      <c r="H2801" s="45" t="n"/>
      <c r="I2801" s="41">
        <f>IF($C2801="","",IF(H2801="","OK",IF(H2801&gt;EMPLOYES!P21,"⚠ Avance &gt; salaire",IF(H2801&gt;EMPLOYES!P21*PARAMETRES!$C$218,"⚠ Avance élevée","OK"))))</f>
        <v/>
      </c>
      <c r="J2801" s="45" t="n"/>
      <c r="K2801" s="46" t="n"/>
      <c r="L2801" s="46" t="n"/>
      <c r="M2801" s="41">
        <f>IF($C2801="","",SUMPRODUCT((PARAMETRES!$B$38:$B$157=PARAMETRES!$C$29)*(PARAMETRES!$C$38:$C$157=12)*(IF(EMPLOYES!M21="5j",PARAMETRES!$I$38:$I$157,PARAMETRES!$H$38:$H$157))))</f>
        <v/>
      </c>
      <c r="N2801" s="41">
        <f>IF($C2801="","",SUMPRODUCT((O2801:AS2801="P")+(O2801:AS2801="F")+(O2801:AS2801="C")+0.5*(O2801:AS2801="D"),(1-((O2792:AS2792=6)*(EMPLOYES!M21="5j")))))</f>
        <v/>
      </c>
      <c r="O2801" s="46" t="n"/>
      <c r="P2801" s="46" t="n"/>
      <c r="Q2801" s="46" t="n"/>
      <c r="R2801" s="46" t="n"/>
      <c r="S2801" s="46" t="n"/>
      <c r="T2801" s="46" t="n"/>
      <c r="U2801" s="46" t="n"/>
      <c r="V2801" s="46" t="n"/>
      <c r="W2801" s="46" t="n"/>
      <c r="X2801" s="46" t="n"/>
      <c r="Y2801" s="46" t="n"/>
      <c r="Z2801" s="46" t="n"/>
      <c r="AA2801" s="46" t="n"/>
      <c r="AB2801" s="46" t="n"/>
      <c r="AC2801" s="46" t="n"/>
      <c r="AD2801" s="46" t="n"/>
      <c r="AE2801" s="46" t="n"/>
      <c r="AF2801" s="46" t="n"/>
      <c r="AG2801" s="46" t="n"/>
      <c r="AH2801" s="46" t="n"/>
      <c r="AI2801" s="46" t="n"/>
      <c r="AJ2801" s="46" t="n"/>
      <c r="AK2801" s="46" t="n"/>
      <c r="AL2801" s="46" t="n"/>
      <c r="AM2801" s="46" t="n"/>
      <c r="AN2801" s="46" t="n"/>
      <c r="AO2801" s="46" t="n"/>
      <c r="AP2801" s="46" t="n"/>
      <c r="AQ2801" s="46" t="n"/>
      <c r="AR2801" s="46" t="n"/>
      <c r="AS2801" s="46" t="n"/>
      <c r="AV2801" s="36">
        <f>IF($C2801="","",EMPLOYES!M21)</f>
        <v/>
      </c>
      <c r="AW2801" s="36">
        <f>IF($C2801="",0,SUMPRODUCT(--(O2801:AS2801="C")))</f>
        <v/>
      </c>
      <c r="AX2801" s="36">
        <f>IF($C2801="",0,SUMPRODUCT(--(O2801:AS2801="R")))</f>
        <v/>
      </c>
      <c r="AY2801" s="44" t="n"/>
    </row>
    <row r="2802" hidden="1" outlineLevel="1" ht="15" customHeight="1" s="15">
      <c r="B2802" s="41" t="n">
        <v>12</v>
      </c>
      <c r="C2802" s="42">
        <f>IF(EMPLOYES!C22="","",EMPLOYES!C22)</f>
        <v/>
      </c>
      <c r="D2802" s="43">
        <f>IF(EMPLOYES!C22="","",EMPLOYES!D22)</f>
        <v/>
      </c>
      <c r="E2802" s="44" t="n"/>
      <c r="F2802" s="42" t="n"/>
      <c r="G2802" s="41">
        <f>IF($C2802="",0,MAX(0,$M2802-$N2802))</f>
        <v/>
      </c>
      <c r="H2802" s="45" t="n"/>
      <c r="I2802" s="41">
        <f>IF($C2802="","",IF(H2802="","OK",IF(H2802&gt;EMPLOYES!P22,"⚠ Avance &gt; salaire",IF(H2802&gt;EMPLOYES!P22*PARAMETRES!$C$218,"⚠ Avance élevée","OK"))))</f>
        <v/>
      </c>
      <c r="J2802" s="45" t="n"/>
      <c r="K2802" s="46" t="n"/>
      <c r="L2802" s="46" t="n"/>
      <c r="M2802" s="41">
        <f>IF($C2802="","",SUMPRODUCT((PARAMETRES!$B$38:$B$157=PARAMETRES!$C$29)*(PARAMETRES!$C$38:$C$157=12)*(IF(EMPLOYES!M22="5j",PARAMETRES!$I$38:$I$157,PARAMETRES!$H$38:$H$157))))</f>
        <v/>
      </c>
      <c r="N2802" s="41">
        <f>IF($C2802="","",SUMPRODUCT((O2802:AS2802="P")+(O2802:AS2802="F")+(O2802:AS2802="C")+0.5*(O2802:AS2802="D"),(1-((O2792:AS2792=6)*(EMPLOYES!M22="5j")))))</f>
        <v/>
      </c>
      <c r="O2802" s="46" t="n"/>
      <c r="P2802" s="46" t="n"/>
      <c r="Q2802" s="46" t="n"/>
      <c r="R2802" s="46" t="n"/>
      <c r="S2802" s="46" t="n"/>
      <c r="T2802" s="46" t="n"/>
      <c r="U2802" s="46" t="n"/>
      <c r="V2802" s="46" t="n"/>
      <c r="W2802" s="46" t="n"/>
      <c r="X2802" s="46" t="n"/>
      <c r="Y2802" s="46" t="n"/>
      <c r="Z2802" s="46" t="n"/>
      <c r="AA2802" s="46" t="n"/>
      <c r="AB2802" s="46" t="n"/>
      <c r="AC2802" s="46" t="n"/>
      <c r="AD2802" s="46" t="n"/>
      <c r="AE2802" s="46" t="n"/>
      <c r="AF2802" s="46" t="n"/>
      <c r="AG2802" s="46" t="n"/>
      <c r="AH2802" s="46" t="n"/>
      <c r="AI2802" s="46" t="n"/>
      <c r="AJ2802" s="46" t="n"/>
      <c r="AK2802" s="46" t="n"/>
      <c r="AL2802" s="46" t="n"/>
      <c r="AM2802" s="46" t="n"/>
      <c r="AN2802" s="46" t="n"/>
      <c r="AO2802" s="46" t="n"/>
      <c r="AP2802" s="46" t="n"/>
      <c r="AQ2802" s="46" t="n"/>
      <c r="AR2802" s="46" t="n"/>
      <c r="AS2802" s="46" t="n"/>
      <c r="AV2802" s="36">
        <f>IF($C2802="","",EMPLOYES!M22)</f>
        <v/>
      </c>
      <c r="AW2802" s="36">
        <f>IF($C2802="",0,SUMPRODUCT(--(O2802:AS2802="C")))</f>
        <v/>
      </c>
      <c r="AX2802" s="36">
        <f>IF($C2802="",0,SUMPRODUCT(--(O2802:AS2802="R")))</f>
        <v/>
      </c>
      <c r="AY2802" s="44" t="n"/>
    </row>
    <row r="2803" hidden="1" outlineLevel="1" ht="15" customHeight="1" s="15">
      <c r="B2803" s="41" t="n">
        <v>12</v>
      </c>
      <c r="C2803" s="42">
        <f>IF(EMPLOYES!C23="","",EMPLOYES!C23)</f>
        <v/>
      </c>
      <c r="D2803" s="43">
        <f>IF(EMPLOYES!C23="","",EMPLOYES!D23)</f>
        <v/>
      </c>
      <c r="E2803" s="44" t="n"/>
      <c r="F2803" s="42" t="n"/>
      <c r="G2803" s="41">
        <f>IF($C2803="",0,MAX(0,$M2803-$N2803))</f>
        <v/>
      </c>
      <c r="H2803" s="45" t="n"/>
      <c r="I2803" s="41">
        <f>IF($C2803="","",IF(H2803="","OK",IF(H2803&gt;EMPLOYES!P23,"⚠ Avance &gt; salaire",IF(H2803&gt;EMPLOYES!P23*PARAMETRES!$C$218,"⚠ Avance élevée","OK"))))</f>
        <v/>
      </c>
      <c r="J2803" s="45" t="n"/>
      <c r="K2803" s="46" t="n"/>
      <c r="L2803" s="46" t="n"/>
      <c r="M2803" s="41">
        <f>IF($C2803="","",SUMPRODUCT((PARAMETRES!$B$38:$B$157=PARAMETRES!$C$29)*(PARAMETRES!$C$38:$C$157=12)*(IF(EMPLOYES!M23="5j",PARAMETRES!$I$38:$I$157,PARAMETRES!$H$38:$H$157))))</f>
        <v/>
      </c>
      <c r="N2803" s="41">
        <f>IF($C2803="","",SUMPRODUCT((O2803:AS2803="P")+(O2803:AS2803="F")+(O2803:AS2803="C")+0.5*(O2803:AS2803="D"),(1-((O2792:AS2792=6)*(EMPLOYES!M23="5j")))))</f>
        <v/>
      </c>
      <c r="O2803" s="46" t="n"/>
      <c r="P2803" s="46" t="n"/>
      <c r="Q2803" s="46" t="n"/>
      <c r="R2803" s="46" t="n"/>
      <c r="S2803" s="46" t="n"/>
      <c r="T2803" s="46" t="n"/>
      <c r="U2803" s="46" t="n"/>
      <c r="V2803" s="46" t="n"/>
      <c r="W2803" s="46" t="n"/>
      <c r="X2803" s="46" t="n"/>
      <c r="Y2803" s="46" t="n"/>
      <c r="Z2803" s="46" t="n"/>
      <c r="AA2803" s="46" t="n"/>
      <c r="AB2803" s="46" t="n"/>
      <c r="AC2803" s="46" t="n"/>
      <c r="AD2803" s="46" t="n"/>
      <c r="AE2803" s="46" t="n"/>
      <c r="AF2803" s="46" t="n"/>
      <c r="AG2803" s="46" t="n"/>
      <c r="AH2803" s="46" t="n"/>
      <c r="AI2803" s="46" t="n"/>
      <c r="AJ2803" s="46" t="n"/>
      <c r="AK2803" s="46" t="n"/>
      <c r="AL2803" s="46" t="n"/>
      <c r="AM2803" s="46" t="n"/>
      <c r="AN2803" s="46" t="n"/>
      <c r="AO2803" s="46" t="n"/>
      <c r="AP2803" s="46" t="n"/>
      <c r="AQ2803" s="46" t="n"/>
      <c r="AR2803" s="46" t="n"/>
      <c r="AS2803" s="46" t="n"/>
      <c r="AV2803" s="36">
        <f>IF($C2803="","",EMPLOYES!M23)</f>
        <v/>
      </c>
      <c r="AW2803" s="36">
        <f>IF($C2803="",0,SUMPRODUCT(--(O2803:AS2803="C")))</f>
        <v/>
      </c>
      <c r="AX2803" s="36">
        <f>IF($C2803="",0,SUMPRODUCT(--(O2803:AS2803="R")))</f>
        <v/>
      </c>
      <c r="AY2803" s="44" t="n"/>
    </row>
    <row r="2804" hidden="1" outlineLevel="1" ht="15" customHeight="1" s="15">
      <c r="B2804" s="41" t="n">
        <v>12</v>
      </c>
      <c r="C2804" s="42">
        <f>IF(EMPLOYES!C24="","",EMPLOYES!C24)</f>
        <v/>
      </c>
      <c r="D2804" s="43">
        <f>IF(EMPLOYES!C24="","",EMPLOYES!D24)</f>
        <v/>
      </c>
      <c r="E2804" s="44" t="n"/>
      <c r="F2804" s="42" t="n"/>
      <c r="G2804" s="41">
        <f>IF($C2804="",0,MAX(0,$M2804-$N2804))</f>
        <v/>
      </c>
      <c r="H2804" s="45" t="n"/>
      <c r="I2804" s="41">
        <f>IF($C2804="","",IF(H2804="","OK",IF(H2804&gt;EMPLOYES!P24,"⚠ Avance &gt; salaire",IF(H2804&gt;EMPLOYES!P24*PARAMETRES!$C$218,"⚠ Avance élevée","OK"))))</f>
        <v/>
      </c>
      <c r="J2804" s="45" t="n"/>
      <c r="K2804" s="46" t="n"/>
      <c r="L2804" s="46" t="n"/>
      <c r="M2804" s="41">
        <f>IF($C2804="","",SUMPRODUCT((PARAMETRES!$B$38:$B$157=PARAMETRES!$C$29)*(PARAMETRES!$C$38:$C$157=12)*(IF(EMPLOYES!M24="5j",PARAMETRES!$I$38:$I$157,PARAMETRES!$H$38:$H$157))))</f>
        <v/>
      </c>
      <c r="N2804" s="41">
        <f>IF($C2804="","",SUMPRODUCT((O2804:AS2804="P")+(O2804:AS2804="F")+(O2804:AS2804="C")+0.5*(O2804:AS2804="D"),(1-((O2792:AS2792=6)*(EMPLOYES!M24="5j")))))</f>
        <v/>
      </c>
      <c r="O2804" s="46" t="n"/>
      <c r="P2804" s="46" t="n"/>
      <c r="Q2804" s="46" t="n"/>
      <c r="R2804" s="46" t="n"/>
      <c r="S2804" s="46" t="n"/>
      <c r="T2804" s="46" t="n"/>
      <c r="U2804" s="46" t="n"/>
      <c r="V2804" s="46" t="n"/>
      <c r="W2804" s="46" t="n"/>
      <c r="X2804" s="46" t="n"/>
      <c r="Y2804" s="46" t="n"/>
      <c r="Z2804" s="46" t="n"/>
      <c r="AA2804" s="46" t="n"/>
      <c r="AB2804" s="46" t="n"/>
      <c r="AC2804" s="46" t="n"/>
      <c r="AD2804" s="46" t="n"/>
      <c r="AE2804" s="46" t="n"/>
      <c r="AF2804" s="46" t="n"/>
      <c r="AG2804" s="46" t="n"/>
      <c r="AH2804" s="46" t="n"/>
      <c r="AI2804" s="46" t="n"/>
      <c r="AJ2804" s="46" t="n"/>
      <c r="AK2804" s="46" t="n"/>
      <c r="AL2804" s="46" t="n"/>
      <c r="AM2804" s="46" t="n"/>
      <c r="AN2804" s="46" t="n"/>
      <c r="AO2804" s="46" t="n"/>
      <c r="AP2804" s="46" t="n"/>
      <c r="AQ2804" s="46" t="n"/>
      <c r="AR2804" s="46" t="n"/>
      <c r="AS2804" s="46" t="n"/>
      <c r="AV2804" s="36">
        <f>IF($C2804="","",EMPLOYES!M24)</f>
        <v/>
      </c>
      <c r="AW2804" s="36">
        <f>IF($C2804="",0,SUMPRODUCT(--(O2804:AS2804="C")))</f>
        <v/>
      </c>
      <c r="AX2804" s="36">
        <f>IF($C2804="",0,SUMPRODUCT(--(O2804:AS2804="R")))</f>
        <v/>
      </c>
      <c r="AY2804" s="44" t="n"/>
    </row>
    <row r="2805" hidden="1" outlineLevel="1" ht="15" customHeight="1" s="15">
      <c r="B2805" s="41" t="n">
        <v>12</v>
      </c>
      <c r="C2805" s="42">
        <f>IF(EMPLOYES!C25="","",EMPLOYES!C25)</f>
        <v/>
      </c>
      <c r="D2805" s="43">
        <f>IF(EMPLOYES!C25="","",EMPLOYES!D25)</f>
        <v/>
      </c>
      <c r="E2805" s="44" t="n"/>
      <c r="F2805" s="42" t="n"/>
      <c r="G2805" s="41">
        <f>IF($C2805="",0,MAX(0,$M2805-$N2805))</f>
        <v/>
      </c>
      <c r="H2805" s="45" t="n"/>
      <c r="I2805" s="41">
        <f>IF($C2805="","",IF(H2805="","OK",IF(H2805&gt;EMPLOYES!P25,"⚠ Avance &gt; salaire",IF(H2805&gt;EMPLOYES!P25*PARAMETRES!$C$218,"⚠ Avance élevée","OK"))))</f>
        <v/>
      </c>
      <c r="J2805" s="45" t="n"/>
      <c r="K2805" s="46" t="n"/>
      <c r="L2805" s="46" t="n"/>
      <c r="M2805" s="41">
        <f>IF($C2805="","",SUMPRODUCT((PARAMETRES!$B$38:$B$157=PARAMETRES!$C$29)*(PARAMETRES!$C$38:$C$157=12)*(IF(EMPLOYES!M25="5j",PARAMETRES!$I$38:$I$157,PARAMETRES!$H$38:$H$157))))</f>
        <v/>
      </c>
      <c r="N2805" s="41">
        <f>IF($C2805="","",SUMPRODUCT((O2805:AS2805="P")+(O2805:AS2805="F")+(O2805:AS2805="C")+0.5*(O2805:AS2805="D"),(1-((O2792:AS2792=6)*(EMPLOYES!M25="5j")))))</f>
        <v/>
      </c>
      <c r="O2805" s="46" t="n"/>
      <c r="P2805" s="46" t="n"/>
      <c r="Q2805" s="46" t="n"/>
      <c r="R2805" s="46" t="n"/>
      <c r="S2805" s="46" t="n"/>
      <c r="T2805" s="46" t="n"/>
      <c r="U2805" s="46" t="n"/>
      <c r="V2805" s="46" t="n"/>
      <c r="W2805" s="46" t="n"/>
      <c r="X2805" s="46" t="n"/>
      <c r="Y2805" s="46" t="n"/>
      <c r="Z2805" s="46" t="n"/>
      <c r="AA2805" s="46" t="n"/>
      <c r="AB2805" s="46" t="n"/>
      <c r="AC2805" s="46" t="n"/>
      <c r="AD2805" s="46" t="n"/>
      <c r="AE2805" s="46" t="n"/>
      <c r="AF2805" s="46" t="n"/>
      <c r="AG2805" s="46" t="n"/>
      <c r="AH2805" s="46" t="n"/>
      <c r="AI2805" s="46" t="n"/>
      <c r="AJ2805" s="46" t="n"/>
      <c r="AK2805" s="46" t="n"/>
      <c r="AL2805" s="46" t="n"/>
      <c r="AM2805" s="46" t="n"/>
      <c r="AN2805" s="46" t="n"/>
      <c r="AO2805" s="46" t="n"/>
      <c r="AP2805" s="46" t="n"/>
      <c r="AQ2805" s="46" t="n"/>
      <c r="AR2805" s="46" t="n"/>
      <c r="AS2805" s="46" t="n"/>
      <c r="AV2805" s="36">
        <f>IF($C2805="","",EMPLOYES!M25)</f>
        <v/>
      </c>
      <c r="AW2805" s="36">
        <f>IF($C2805="",0,SUMPRODUCT(--(O2805:AS2805="C")))</f>
        <v/>
      </c>
      <c r="AX2805" s="36">
        <f>IF($C2805="",0,SUMPRODUCT(--(O2805:AS2805="R")))</f>
        <v/>
      </c>
      <c r="AY2805" s="44" t="n"/>
    </row>
    <row r="2806" hidden="1" outlineLevel="1" ht="15" customHeight="1" s="15">
      <c r="B2806" s="41" t="n">
        <v>12</v>
      </c>
      <c r="C2806" s="42">
        <f>IF(EMPLOYES!C26="","",EMPLOYES!C26)</f>
        <v/>
      </c>
      <c r="D2806" s="43">
        <f>IF(EMPLOYES!C26="","",EMPLOYES!D26)</f>
        <v/>
      </c>
      <c r="E2806" s="44" t="n"/>
      <c r="F2806" s="42" t="n"/>
      <c r="G2806" s="41">
        <f>IF($C2806="",0,MAX(0,$M2806-$N2806))</f>
        <v/>
      </c>
      <c r="H2806" s="45" t="n"/>
      <c r="I2806" s="41">
        <f>IF($C2806="","",IF(H2806="","OK",IF(H2806&gt;EMPLOYES!P26,"⚠ Avance &gt; salaire",IF(H2806&gt;EMPLOYES!P26*PARAMETRES!$C$218,"⚠ Avance élevée","OK"))))</f>
        <v/>
      </c>
      <c r="J2806" s="45" t="n"/>
      <c r="K2806" s="46" t="n"/>
      <c r="L2806" s="46" t="n"/>
      <c r="M2806" s="41">
        <f>IF($C2806="","",SUMPRODUCT((PARAMETRES!$B$38:$B$157=PARAMETRES!$C$29)*(PARAMETRES!$C$38:$C$157=12)*(IF(EMPLOYES!M26="5j",PARAMETRES!$I$38:$I$157,PARAMETRES!$H$38:$H$157))))</f>
        <v/>
      </c>
      <c r="N2806" s="41">
        <f>IF($C2806="","",SUMPRODUCT((O2806:AS2806="P")+(O2806:AS2806="F")+(O2806:AS2806="C")+0.5*(O2806:AS2806="D"),(1-((O2792:AS2792=6)*(EMPLOYES!M26="5j")))))</f>
        <v/>
      </c>
      <c r="O2806" s="46" t="n"/>
      <c r="P2806" s="46" t="n"/>
      <c r="Q2806" s="46" t="n"/>
      <c r="R2806" s="46" t="n"/>
      <c r="S2806" s="46" t="n"/>
      <c r="T2806" s="46" t="n"/>
      <c r="U2806" s="46" t="n"/>
      <c r="V2806" s="46" t="n"/>
      <c r="W2806" s="46" t="n"/>
      <c r="X2806" s="46" t="n"/>
      <c r="Y2806" s="46" t="n"/>
      <c r="Z2806" s="46" t="n"/>
      <c r="AA2806" s="46" t="n"/>
      <c r="AB2806" s="46" t="n"/>
      <c r="AC2806" s="46" t="n"/>
      <c r="AD2806" s="46" t="n"/>
      <c r="AE2806" s="46" t="n"/>
      <c r="AF2806" s="46" t="n"/>
      <c r="AG2806" s="46" t="n"/>
      <c r="AH2806" s="46" t="n"/>
      <c r="AI2806" s="46" t="n"/>
      <c r="AJ2806" s="46" t="n"/>
      <c r="AK2806" s="46" t="n"/>
      <c r="AL2806" s="46" t="n"/>
      <c r="AM2806" s="46" t="n"/>
      <c r="AN2806" s="46" t="n"/>
      <c r="AO2806" s="46" t="n"/>
      <c r="AP2806" s="46" t="n"/>
      <c r="AQ2806" s="46" t="n"/>
      <c r="AR2806" s="46" t="n"/>
      <c r="AS2806" s="46" t="n"/>
      <c r="AV2806" s="36">
        <f>IF($C2806="","",EMPLOYES!M26)</f>
        <v/>
      </c>
      <c r="AW2806" s="36">
        <f>IF($C2806="",0,SUMPRODUCT(--(O2806:AS2806="C")))</f>
        <v/>
      </c>
      <c r="AX2806" s="36">
        <f>IF($C2806="",0,SUMPRODUCT(--(O2806:AS2806="R")))</f>
        <v/>
      </c>
      <c r="AY2806" s="44" t="n"/>
    </row>
    <row r="2807" hidden="1" outlineLevel="1" ht="15" customHeight="1" s="15">
      <c r="B2807" s="41" t="n">
        <v>12</v>
      </c>
      <c r="C2807" s="42">
        <f>IF(EMPLOYES!C27="","",EMPLOYES!C27)</f>
        <v/>
      </c>
      <c r="D2807" s="43">
        <f>IF(EMPLOYES!C27="","",EMPLOYES!D27)</f>
        <v/>
      </c>
      <c r="E2807" s="44" t="n"/>
      <c r="F2807" s="42" t="n"/>
      <c r="G2807" s="41">
        <f>IF($C2807="",0,MAX(0,$M2807-$N2807))</f>
        <v/>
      </c>
      <c r="H2807" s="45" t="n"/>
      <c r="I2807" s="41">
        <f>IF($C2807="","",IF(H2807="","OK",IF(H2807&gt;EMPLOYES!P27,"⚠ Avance &gt; salaire",IF(H2807&gt;EMPLOYES!P27*PARAMETRES!$C$218,"⚠ Avance élevée","OK"))))</f>
        <v/>
      </c>
      <c r="J2807" s="45" t="n"/>
      <c r="K2807" s="46" t="n"/>
      <c r="L2807" s="46" t="n"/>
      <c r="M2807" s="41">
        <f>IF($C2807="","",SUMPRODUCT((PARAMETRES!$B$38:$B$157=PARAMETRES!$C$29)*(PARAMETRES!$C$38:$C$157=12)*(IF(EMPLOYES!M27="5j",PARAMETRES!$I$38:$I$157,PARAMETRES!$H$38:$H$157))))</f>
        <v/>
      </c>
      <c r="N2807" s="41">
        <f>IF($C2807="","",SUMPRODUCT((O2807:AS2807="P")+(O2807:AS2807="F")+(O2807:AS2807="C")+0.5*(O2807:AS2807="D"),(1-((O2792:AS2792=6)*(EMPLOYES!M27="5j")))))</f>
        <v/>
      </c>
      <c r="O2807" s="46" t="n"/>
      <c r="P2807" s="46" t="n"/>
      <c r="Q2807" s="46" t="n"/>
      <c r="R2807" s="46" t="n"/>
      <c r="S2807" s="46" t="n"/>
      <c r="T2807" s="46" t="n"/>
      <c r="U2807" s="46" t="n"/>
      <c r="V2807" s="46" t="n"/>
      <c r="W2807" s="46" t="n"/>
      <c r="X2807" s="46" t="n"/>
      <c r="Y2807" s="46" t="n"/>
      <c r="Z2807" s="46" t="n"/>
      <c r="AA2807" s="46" t="n"/>
      <c r="AB2807" s="46" t="n"/>
      <c r="AC2807" s="46" t="n"/>
      <c r="AD2807" s="46" t="n"/>
      <c r="AE2807" s="46" t="n"/>
      <c r="AF2807" s="46" t="n"/>
      <c r="AG2807" s="46" t="n"/>
      <c r="AH2807" s="46" t="n"/>
      <c r="AI2807" s="46" t="n"/>
      <c r="AJ2807" s="46" t="n"/>
      <c r="AK2807" s="46" t="n"/>
      <c r="AL2807" s="46" t="n"/>
      <c r="AM2807" s="46" t="n"/>
      <c r="AN2807" s="46" t="n"/>
      <c r="AO2807" s="46" t="n"/>
      <c r="AP2807" s="46" t="n"/>
      <c r="AQ2807" s="46" t="n"/>
      <c r="AR2807" s="46" t="n"/>
      <c r="AS2807" s="46" t="n"/>
      <c r="AV2807" s="36">
        <f>IF($C2807="","",EMPLOYES!M27)</f>
        <v/>
      </c>
      <c r="AW2807" s="36">
        <f>IF($C2807="",0,SUMPRODUCT(--(O2807:AS2807="C")))</f>
        <v/>
      </c>
      <c r="AX2807" s="36">
        <f>IF($C2807="",0,SUMPRODUCT(--(O2807:AS2807="R")))</f>
        <v/>
      </c>
      <c r="AY2807" s="44" t="n"/>
    </row>
    <row r="2808" hidden="1" outlineLevel="1" ht="15" customHeight="1" s="15">
      <c r="B2808" s="41" t="n">
        <v>12</v>
      </c>
      <c r="C2808" s="42">
        <f>IF(EMPLOYES!C28="","",EMPLOYES!C28)</f>
        <v/>
      </c>
      <c r="D2808" s="43">
        <f>IF(EMPLOYES!C28="","",EMPLOYES!D28)</f>
        <v/>
      </c>
      <c r="E2808" s="44" t="n"/>
      <c r="F2808" s="42" t="n"/>
      <c r="G2808" s="41">
        <f>IF($C2808="",0,MAX(0,$M2808-$N2808))</f>
        <v/>
      </c>
      <c r="H2808" s="45" t="n"/>
      <c r="I2808" s="41">
        <f>IF($C2808="","",IF(H2808="","OK",IF(H2808&gt;EMPLOYES!P28,"⚠ Avance &gt; salaire",IF(H2808&gt;EMPLOYES!P28*PARAMETRES!$C$218,"⚠ Avance élevée","OK"))))</f>
        <v/>
      </c>
      <c r="J2808" s="45" t="n"/>
      <c r="K2808" s="46" t="n"/>
      <c r="L2808" s="46" t="n"/>
      <c r="M2808" s="41">
        <f>IF($C2808="","",SUMPRODUCT((PARAMETRES!$B$38:$B$157=PARAMETRES!$C$29)*(PARAMETRES!$C$38:$C$157=12)*(IF(EMPLOYES!M28="5j",PARAMETRES!$I$38:$I$157,PARAMETRES!$H$38:$H$157))))</f>
        <v/>
      </c>
      <c r="N2808" s="41">
        <f>IF($C2808="","",SUMPRODUCT((O2808:AS2808="P")+(O2808:AS2808="F")+(O2808:AS2808="C")+0.5*(O2808:AS2808="D"),(1-((O2792:AS2792=6)*(EMPLOYES!M28="5j")))))</f>
        <v/>
      </c>
      <c r="O2808" s="46" t="n"/>
      <c r="P2808" s="46" t="n"/>
      <c r="Q2808" s="46" t="n"/>
      <c r="R2808" s="46" t="n"/>
      <c r="S2808" s="46" t="n"/>
      <c r="T2808" s="46" t="n"/>
      <c r="U2808" s="46" t="n"/>
      <c r="V2808" s="46" t="n"/>
      <c r="W2808" s="46" t="n"/>
      <c r="X2808" s="46" t="n"/>
      <c r="Y2808" s="46" t="n"/>
      <c r="Z2808" s="46" t="n"/>
      <c r="AA2808" s="46" t="n"/>
      <c r="AB2808" s="46" t="n"/>
      <c r="AC2808" s="46" t="n"/>
      <c r="AD2808" s="46" t="n"/>
      <c r="AE2808" s="46" t="n"/>
      <c r="AF2808" s="46" t="n"/>
      <c r="AG2808" s="46" t="n"/>
      <c r="AH2808" s="46" t="n"/>
      <c r="AI2808" s="46" t="n"/>
      <c r="AJ2808" s="46" t="n"/>
      <c r="AK2808" s="46" t="n"/>
      <c r="AL2808" s="46" t="n"/>
      <c r="AM2808" s="46" t="n"/>
      <c r="AN2808" s="46" t="n"/>
      <c r="AO2808" s="46" t="n"/>
      <c r="AP2808" s="46" t="n"/>
      <c r="AQ2808" s="46" t="n"/>
      <c r="AR2808" s="46" t="n"/>
      <c r="AS2808" s="46" t="n"/>
      <c r="AV2808" s="36">
        <f>IF($C2808="","",EMPLOYES!M28)</f>
        <v/>
      </c>
      <c r="AW2808" s="36">
        <f>IF($C2808="",0,SUMPRODUCT(--(O2808:AS2808="C")))</f>
        <v/>
      </c>
      <c r="AX2808" s="36">
        <f>IF($C2808="",0,SUMPRODUCT(--(O2808:AS2808="R")))</f>
        <v/>
      </c>
      <c r="AY2808" s="44" t="n"/>
    </row>
    <row r="2809" hidden="1" outlineLevel="1" ht="15" customHeight="1" s="15">
      <c r="B2809" s="41" t="n">
        <v>12</v>
      </c>
      <c r="C2809" s="42">
        <f>IF(EMPLOYES!C29="","",EMPLOYES!C29)</f>
        <v/>
      </c>
      <c r="D2809" s="43">
        <f>IF(EMPLOYES!C29="","",EMPLOYES!D29)</f>
        <v/>
      </c>
      <c r="E2809" s="44" t="n"/>
      <c r="F2809" s="42" t="n"/>
      <c r="G2809" s="41">
        <f>IF($C2809="",0,MAX(0,$M2809-$N2809))</f>
        <v/>
      </c>
      <c r="H2809" s="45" t="n"/>
      <c r="I2809" s="41">
        <f>IF($C2809="","",IF(H2809="","OK",IF(H2809&gt;EMPLOYES!P29,"⚠ Avance &gt; salaire",IF(H2809&gt;EMPLOYES!P29*PARAMETRES!$C$218,"⚠ Avance élevée","OK"))))</f>
        <v/>
      </c>
      <c r="J2809" s="45" t="n"/>
      <c r="K2809" s="46" t="n"/>
      <c r="L2809" s="46" t="n"/>
      <c r="M2809" s="41">
        <f>IF($C2809="","",SUMPRODUCT((PARAMETRES!$B$38:$B$157=PARAMETRES!$C$29)*(PARAMETRES!$C$38:$C$157=12)*(IF(EMPLOYES!M29="5j",PARAMETRES!$I$38:$I$157,PARAMETRES!$H$38:$H$157))))</f>
        <v/>
      </c>
      <c r="N2809" s="41">
        <f>IF($C2809="","",SUMPRODUCT((O2809:AS2809="P")+(O2809:AS2809="F")+(O2809:AS2809="C")+0.5*(O2809:AS2809="D"),(1-((O2792:AS2792=6)*(EMPLOYES!M29="5j")))))</f>
        <v/>
      </c>
      <c r="O2809" s="46" t="n"/>
      <c r="P2809" s="46" t="n"/>
      <c r="Q2809" s="46" t="n"/>
      <c r="R2809" s="46" t="n"/>
      <c r="S2809" s="46" t="n"/>
      <c r="T2809" s="46" t="n"/>
      <c r="U2809" s="46" t="n"/>
      <c r="V2809" s="46" t="n"/>
      <c r="W2809" s="46" t="n"/>
      <c r="X2809" s="46" t="n"/>
      <c r="Y2809" s="46" t="n"/>
      <c r="Z2809" s="46" t="n"/>
      <c r="AA2809" s="46" t="n"/>
      <c r="AB2809" s="46" t="n"/>
      <c r="AC2809" s="46" t="n"/>
      <c r="AD2809" s="46" t="n"/>
      <c r="AE2809" s="46" t="n"/>
      <c r="AF2809" s="46" t="n"/>
      <c r="AG2809" s="46" t="n"/>
      <c r="AH2809" s="46" t="n"/>
      <c r="AI2809" s="46" t="n"/>
      <c r="AJ2809" s="46" t="n"/>
      <c r="AK2809" s="46" t="n"/>
      <c r="AL2809" s="46" t="n"/>
      <c r="AM2809" s="46" t="n"/>
      <c r="AN2809" s="46" t="n"/>
      <c r="AO2809" s="46" t="n"/>
      <c r="AP2809" s="46" t="n"/>
      <c r="AQ2809" s="46" t="n"/>
      <c r="AR2809" s="46" t="n"/>
      <c r="AS2809" s="46" t="n"/>
      <c r="AV2809" s="36">
        <f>IF($C2809="","",EMPLOYES!M29)</f>
        <v/>
      </c>
      <c r="AW2809" s="36">
        <f>IF($C2809="",0,SUMPRODUCT(--(O2809:AS2809="C")))</f>
        <v/>
      </c>
      <c r="AX2809" s="36">
        <f>IF($C2809="",0,SUMPRODUCT(--(O2809:AS2809="R")))</f>
        <v/>
      </c>
      <c r="AY2809" s="44" t="n"/>
    </row>
    <row r="2810" hidden="1" outlineLevel="1" ht="15" customHeight="1" s="15">
      <c r="B2810" s="41" t="n">
        <v>12</v>
      </c>
      <c r="C2810" s="42">
        <f>IF(EMPLOYES!C30="","",EMPLOYES!C30)</f>
        <v/>
      </c>
      <c r="D2810" s="43">
        <f>IF(EMPLOYES!C30="","",EMPLOYES!D30)</f>
        <v/>
      </c>
      <c r="E2810" s="44" t="n"/>
      <c r="F2810" s="42" t="n"/>
      <c r="G2810" s="41">
        <f>IF($C2810="",0,MAX(0,$M2810-$N2810))</f>
        <v/>
      </c>
      <c r="H2810" s="45" t="n"/>
      <c r="I2810" s="41">
        <f>IF($C2810="","",IF(H2810="","OK",IF(H2810&gt;EMPLOYES!P30,"⚠ Avance &gt; salaire",IF(H2810&gt;EMPLOYES!P30*PARAMETRES!$C$218,"⚠ Avance élevée","OK"))))</f>
        <v/>
      </c>
      <c r="J2810" s="45" t="n"/>
      <c r="K2810" s="46" t="n"/>
      <c r="L2810" s="46" t="n"/>
      <c r="M2810" s="41">
        <f>IF($C2810="","",SUMPRODUCT((PARAMETRES!$B$38:$B$157=PARAMETRES!$C$29)*(PARAMETRES!$C$38:$C$157=12)*(IF(EMPLOYES!M30="5j",PARAMETRES!$I$38:$I$157,PARAMETRES!$H$38:$H$157))))</f>
        <v/>
      </c>
      <c r="N2810" s="41">
        <f>IF($C2810="","",SUMPRODUCT((O2810:AS2810="P")+(O2810:AS2810="F")+(O2810:AS2810="C")+0.5*(O2810:AS2810="D"),(1-((O2792:AS2792=6)*(EMPLOYES!M30="5j")))))</f>
        <v/>
      </c>
      <c r="O2810" s="46" t="n"/>
      <c r="P2810" s="46" t="n"/>
      <c r="Q2810" s="46" t="n"/>
      <c r="R2810" s="46" t="n"/>
      <c r="S2810" s="46" t="n"/>
      <c r="T2810" s="46" t="n"/>
      <c r="U2810" s="46" t="n"/>
      <c r="V2810" s="46" t="n"/>
      <c r="W2810" s="46" t="n"/>
      <c r="X2810" s="46" t="n"/>
      <c r="Y2810" s="46" t="n"/>
      <c r="Z2810" s="46" t="n"/>
      <c r="AA2810" s="46" t="n"/>
      <c r="AB2810" s="46" t="n"/>
      <c r="AC2810" s="46" t="n"/>
      <c r="AD2810" s="46" t="n"/>
      <c r="AE2810" s="46" t="n"/>
      <c r="AF2810" s="46" t="n"/>
      <c r="AG2810" s="46" t="n"/>
      <c r="AH2810" s="46" t="n"/>
      <c r="AI2810" s="46" t="n"/>
      <c r="AJ2810" s="46" t="n"/>
      <c r="AK2810" s="46" t="n"/>
      <c r="AL2810" s="46" t="n"/>
      <c r="AM2810" s="46" t="n"/>
      <c r="AN2810" s="46" t="n"/>
      <c r="AO2810" s="46" t="n"/>
      <c r="AP2810" s="46" t="n"/>
      <c r="AQ2810" s="46" t="n"/>
      <c r="AR2810" s="46" t="n"/>
      <c r="AS2810" s="46" t="n"/>
      <c r="AV2810" s="36">
        <f>IF($C2810="","",EMPLOYES!M30)</f>
        <v/>
      </c>
      <c r="AW2810" s="36">
        <f>IF($C2810="",0,SUMPRODUCT(--(O2810:AS2810="C")))</f>
        <v/>
      </c>
      <c r="AX2810" s="36">
        <f>IF($C2810="",0,SUMPRODUCT(--(O2810:AS2810="R")))</f>
        <v/>
      </c>
      <c r="AY2810" s="44" t="n"/>
    </row>
    <row r="2811" hidden="1" outlineLevel="1" ht="15" customHeight="1" s="15">
      <c r="B2811" s="41" t="n">
        <v>12</v>
      </c>
      <c r="C2811" s="42">
        <f>IF(EMPLOYES!C31="","",EMPLOYES!C31)</f>
        <v/>
      </c>
      <c r="D2811" s="43">
        <f>IF(EMPLOYES!C31="","",EMPLOYES!D31)</f>
        <v/>
      </c>
      <c r="E2811" s="44" t="n"/>
      <c r="F2811" s="42" t="n"/>
      <c r="G2811" s="41">
        <f>IF($C2811="",0,MAX(0,$M2811-$N2811))</f>
        <v/>
      </c>
      <c r="H2811" s="45" t="n"/>
      <c r="I2811" s="41">
        <f>IF($C2811="","",IF(H2811="","OK",IF(H2811&gt;EMPLOYES!P31,"⚠ Avance &gt; salaire",IF(H2811&gt;EMPLOYES!P31*PARAMETRES!$C$218,"⚠ Avance élevée","OK"))))</f>
        <v/>
      </c>
      <c r="J2811" s="45" t="n"/>
      <c r="K2811" s="46" t="n"/>
      <c r="L2811" s="46" t="n"/>
      <c r="M2811" s="41">
        <f>IF($C2811="","",SUMPRODUCT((PARAMETRES!$B$38:$B$157=PARAMETRES!$C$29)*(PARAMETRES!$C$38:$C$157=12)*(IF(EMPLOYES!M31="5j",PARAMETRES!$I$38:$I$157,PARAMETRES!$H$38:$H$157))))</f>
        <v/>
      </c>
      <c r="N2811" s="41">
        <f>IF($C2811="","",SUMPRODUCT((O2811:AS2811="P")+(O2811:AS2811="F")+(O2811:AS2811="C")+0.5*(O2811:AS2811="D"),(1-((O2792:AS2792=6)*(EMPLOYES!M31="5j")))))</f>
        <v/>
      </c>
      <c r="O2811" s="46" t="n"/>
      <c r="P2811" s="46" t="n"/>
      <c r="Q2811" s="46" t="n"/>
      <c r="R2811" s="46" t="n"/>
      <c r="S2811" s="46" t="n"/>
      <c r="T2811" s="46" t="n"/>
      <c r="U2811" s="46" t="n"/>
      <c r="V2811" s="46" t="n"/>
      <c r="W2811" s="46" t="n"/>
      <c r="X2811" s="46" t="n"/>
      <c r="Y2811" s="46" t="n"/>
      <c r="Z2811" s="46" t="n"/>
      <c r="AA2811" s="46" t="n"/>
      <c r="AB2811" s="46" t="n"/>
      <c r="AC2811" s="46" t="n"/>
      <c r="AD2811" s="46" t="n"/>
      <c r="AE2811" s="46" t="n"/>
      <c r="AF2811" s="46" t="n"/>
      <c r="AG2811" s="46" t="n"/>
      <c r="AH2811" s="46" t="n"/>
      <c r="AI2811" s="46" t="n"/>
      <c r="AJ2811" s="46" t="n"/>
      <c r="AK2811" s="46" t="n"/>
      <c r="AL2811" s="46" t="n"/>
      <c r="AM2811" s="46" t="n"/>
      <c r="AN2811" s="46" t="n"/>
      <c r="AO2811" s="46" t="n"/>
      <c r="AP2811" s="46" t="n"/>
      <c r="AQ2811" s="46" t="n"/>
      <c r="AR2811" s="46" t="n"/>
      <c r="AS2811" s="46" t="n"/>
      <c r="AV2811" s="36">
        <f>IF($C2811="","",EMPLOYES!M31)</f>
        <v/>
      </c>
      <c r="AW2811" s="36">
        <f>IF($C2811="",0,SUMPRODUCT(--(O2811:AS2811="C")))</f>
        <v/>
      </c>
      <c r="AX2811" s="36">
        <f>IF($C2811="",0,SUMPRODUCT(--(O2811:AS2811="R")))</f>
        <v/>
      </c>
      <c r="AY2811" s="44" t="n"/>
    </row>
    <row r="2812" hidden="1" outlineLevel="1" ht="15" customHeight="1" s="15">
      <c r="B2812" s="41" t="n">
        <v>12</v>
      </c>
      <c r="C2812" s="42">
        <f>IF(EMPLOYES!C32="","",EMPLOYES!C32)</f>
        <v/>
      </c>
      <c r="D2812" s="43">
        <f>IF(EMPLOYES!C32="","",EMPLOYES!D32)</f>
        <v/>
      </c>
      <c r="E2812" s="44" t="n"/>
      <c r="F2812" s="42" t="n"/>
      <c r="G2812" s="41">
        <f>IF($C2812="",0,MAX(0,$M2812-$N2812))</f>
        <v/>
      </c>
      <c r="H2812" s="45" t="n"/>
      <c r="I2812" s="41">
        <f>IF($C2812="","",IF(H2812="","OK",IF(H2812&gt;EMPLOYES!P32,"⚠ Avance &gt; salaire",IF(H2812&gt;EMPLOYES!P32*PARAMETRES!$C$218,"⚠ Avance élevée","OK"))))</f>
        <v/>
      </c>
      <c r="J2812" s="45" t="n"/>
      <c r="K2812" s="46" t="n"/>
      <c r="L2812" s="46" t="n"/>
      <c r="M2812" s="41">
        <f>IF($C2812="","",SUMPRODUCT((PARAMETRES!$B$38:$B$157=PARAMETRES!$C$29)*(PARAMETRES!$C$38:$C$157=12)*(IF(EMPLOYES!M32="5j",PARAMETRES!$I$38:$I$157,PARAMETRES!$H$38:$H$157))))</f>
        <v/>
      </c>
      <c r="N2812" s="41">
        <f>IF($C2812="","",SUMPRODUCT((O2812:AS2812="P")+(O2812:AS2812="F")+(O2812:AS2812="C")+0.5*(O2812:AS2812="D"),(1-((O2792:AS2792=6)*(EMPLOYES!M32="5j")))))</f>
        <v/>
      </c>
      <c r="O2812" s="46" t="n"/>
      <c r="P2812" s="46" t="n"/>
      <c r="Q2812" s="46" t="n"/>
      <c r="R2812" s="46" t="n"/>
      <c r="S2812" s="46" t="n"/>
      <c r="T2812" s="46" t="n"/>
      <c r="U2812" s="46" t="n"/>
      <c r="V2812" s="46" t="n"/>
      <c r="W2812" s="46" t="n"/>
      <c r="X2812" s="46" t="n"/>
      <c r="Y2812" s="46" t="n"/>
      <c r="Z2812" s="46" t="n"/>
      <c r="AA2812" s="46" t="n"/>
      <c r="AB2812" s="46" t="n"/>
      <c r="AC2812" s="46" t="n"/>
      <c r="AD2812" s="46" t="n"/>
      <c r="AE2812" s="46" t="n"/>
      <c r="AF2812" s="46" t="n"/>
      <c r="AG2812" s="46" t="n"/>
      <c r="AH2812" s="46" t="n"/>
      <c r="AI2812" s="46" t="n"/>
      <c r="AJ2812" s="46" t="n"/>
      <c r="AK2812" s="46" t="n"/>
      <c r="AL2812" s="46" t="n"/>
      <c r="AM2812" s="46" t="n"/>
      <c r="AN2812" s="46" t="n"/>
      <c r="AO2812" s="46" t="n"/>
      <c r="AP2812" s="46" t="n"/>
      <c r="AQ2812" s="46" t="n"/>
      <c r="AR2812" s="46" t="n"/>
      <c r="AS2812" s="46" t="n"/>
      <c r="AV2812" s="36">
        <f>IF($C2812="","",EMPLOYES!M32)</f>
        <v/>
      </c>
      <c r="AW2812" s="36">
        <f>IF($C2812="",0,SUMPRODUCT(--(O2812:AS2812="C")))</f>
        <v/>
      </c>
      <c r="AX2812" s="36">
        <f>IF($C2812="",0,SUMPRODUCT(--(O2812:AS2812="R")))</f>
        <v/>
      </c>
      <c r="AY2812" s="44" t="n"/>
    </row>
    <row r="2813" hidden="1" outlineLevel="1" ht="15" customHeight="1" s="15">
      <c r="B2813" s="41" t="n">
        <v>12</v>
      </c>
      <c r="C2813" s="42">
        <f>IF(EMPLOYES!C33="","",EMPLOYES!C33)</f>
        <v/>
      </c>
      <c r="D2813" s="43">
        <f>IF(EMPLOYES!C33="","",EMPLOYES!D33)</f>
        <v/>
      </c>
      <c r="E2813" s="44" t="n"/>
      <c r="F2813" s="42" t="n"/>
      <c r="G2813" s="41">
        <f>IF($C2813="",0,MAX(0,$M2813-$N2813))</f>
        <v/>
      </c>
      <c r="H2813" s="45" t="n"/>
      <c r="I2813" s="41">
        <f>IF($C2813="","",IF(H2813="","OK",IF(H2813&gt;EMPLOYES!P33,"⚠ Avance &gt; salaire",IF(H2813&gt;EMPLOYES!P33*PARAMETRES!$C$218,"⚠ Avance élevée","OK"))))</f>
        <v/>
      </c>
      <c r="J2813" s="45" t="n"/>
      <c r="K2813" s="46" t="n"/>
      <c r="L2813" s="46" t="n"/>
      <c r="M2813" s="41">
        <f>IF($C2813="","",SUMPRODUCT((PARAMETRES!$B$38:$B$157=PARAMETRES!$C$29)*(PARAMETRES!$C$38:$C$157=12)*(IF(EMPLOYES!M33="5j",PARAMETRES!$I$38:$I$157,PARAMETRES!$H$38:$H$157))))</f>
        <v/>
      </c>
      <c r="N2813" s="41">
        <f>IF($C2813="","",SUMPRODUCT((O2813:AS2813="P")+(O2813:AS2813="F")+(O2813:AS2813="C")+0.5*(O2813:AS2813="D"),(1-((O2792:AS2792=6)*(EMPLOYES!M33="5j")))))</f>
        <v/>
      </c>
      <c r="O2813" s="46" t="n"/>
      <c r="P2813" s="46" t="n"/>
      <c r="Q2813" s="46" t="n"/>
      <c r="R2813" s="46" t="n"/>
      <c r="S2813" s="46" t="n"/>
      <c r="T2813" s="46" t="n"/>
      <c r="U2813" s="46" t="n"/>
      <c r="V2813" s="46" t="n"/>
      <c r="W2813" s="46" t="n"/>
      <c r="X2813" s="46" t="n"/>
      <c r="Y2813" s="46" t="n"/>
      <c r="Z2813" s="46" t="n"/>
      <c r="AA2813" s="46" t="n"/>
      <c r="AB2813" s="46" t="n"/>
      <c r="AC2813" s="46" t="n"/>
      <c r="AD2813" s="46" t="n"/>
      <c r="AE2813" s="46" t="n"/>
      <c r="AF2813" s="46" t="n"/>
      <c r="AG2813" s="46" t="n"/>
      <c r="AH2813" s="46" t="n"/>
      <c r="AI2813" s="46" t="n"/>
      <c r="AJ2813" s="46" t="n"/>
      <c r="AK2813" s="46" t="n"/>
      <c r="AL2813" s="46" t="n"/>
      <c r="AM2813" s="46" t="n"/>
      <c r="AN2813" s="46" t="n"/>
      <c r="AO2813" s="46" t="n"/>
      <c r="AP2813" s="46" t="n"/>
      <c r="AQ2813" s="46" t="n"/>
      <c r="AR2813" s="46" t="n"/>
      <c r="AS2813" s="46" t="n"/>
      <c r="AV2813" s="36">
        <f>IF($C2813="","",EMPLOYES!M33)</f>
        <v/>
      </c>
      <c r="AW2813" s="36">
        <f>IF($C2813="",0,SUMPRODUCT(--(O2813:AS2813="C")))</f>
        <v/>
      </c>
      <c r="AX2813" s="36">
        <f>IF($C2813="",0,SUMPRODUCT(--(O2813:AS2813="R")))</f>
        <v/>
      </c>
      <c r="AY2813" s="44" t="n"/>
    </row>
    <row r="2814" hidden="1" outlineLevel="1" ht="15" customHeight="1" s="15">
      <c r="B2814" s="41" t="n">
        <v>12</v>
      </c>
      <c r="C2814" s="42">
        <f>IF(EMPLOYES!C34="","",EMPLOYES!C34)</f>
        <v/>
      </c>
      <c r="D2814" s="43">
        <f>IF(EMPLOYES!C34="","",EMPLOYES!D34)</f>
        <v/>
      </c>
      <c r="E2814" s="44" t="n"/>
      <c r="F2814" s="42" t="n"/>
      <c r="G2814" s="41">
        <f>IF($C2814="",0,MAX(0,$M2814-$N2814))</f>
        <v/>
      </c>
      <c r="H2814" s="45" t="n"/>
      <c r="I2814" s="41">
        <f>IF($C2814="","",IF(H2814="","OK",IF(H2814&gt;EMPLOYES!P34,"⚠ Avance &gt; salaire",IF(H2814&gt;EMPLOYES!P34*PARAMETRES!$C$218,"⚠ Avance élevée","OK"))))</f>
        <v/>
      </c>
      <c r="J2814" s="45" t="n"/>
      <c r="K2814" s="46" t="n"/>
      <c r="L2814" s="46" t="n"/>
      <c r="M2814" s="41">
        <f>IF($C2814="","",SUMPRODUCT((PARAMETRES!$B$38:$B$157=PARAMETRES!$C$29)*(PARAMETRES!$C$38:$C$157=12)*(IF(EMPLOYES!M34="5j",PARAMETRES!$I$38:$I$157,PARAMETRES!$H$38:$H$157))))</f>
        <v/>
      </c>
      <c r="N2814" s="41">
        <f>IF($C2814="","",SUMPRODUCT((O2814:AS2814="P")+(O2814:AS2814="F")+(O2814:AS2814="C")+0.5*(O2814:AS2814="D"),(1-((O2792:AS2792=6)*(EMPLOYES!M34="5j")))))</f>
        <v/>
      </c>
      <c r="O2814" s="46" t="n"/>
      <c r="P2814" s="46" t="n"/>
      <c r="Q2814" s="46" t="n"/>
      <c r="R2814" s="46" t="n"/>
      <c r="S2814" s="46" t="n"/>
      <c r="T2814" s="46" t="n"/>
      <c r="U2814" s="46" t="n"/>
      <c r="V2814" s="46" t="n"/>
      <c r="W2814" s="46" t="n"/>
      <c r="X2814" s="46" t="n"/>
      <c r="Y2814" s="46" t="n"/>
      <c r="Z2814" s="46" t="n"/>
      <c r="AA2814" s="46" t="n"/>
      <c r="AB2814" s="46" t="n"/>
      <c r="AC2814" s="46" t="n"/>
      <c r="AD2814" s="46" t="n"/>
      <c r="AE2814" s="46" t="n"/>
      <c r="AF2814" s="46" t="n"/>
      <c r="AG2814" s="46" t="n"/>
      <c r="AH2814" s="46" t="n"/>
      <c r="AI2814" s="46" t="n"/>
      <c r="AJ2814" s="46" t="n"/>
      <c r="AK2814" s="46" t="n"/>
      <c r="AL2814" s="46" t="n"/>
      <c r="AM2814" s="46" t="n"/>
      <c r="AN2814" s="46" t="n"/>
      <c r="AO2814" s="46" t="n"/>
      <c r="AP2814" s="46" t="n"/>
      <c r="AQ2814" s="46" t="n"/>
      <c r="AR2814" s="46" t="n"/>
      <c r="AS2814" s="46" t="n"/>
      <c r="AV2814" s="36">
        <f>IF($C2814="","",EMPLOYES!M34)</f>
        <v/>
      </c>
      <c r="AW2814" s="36">
        <f>IF($C2814="",0,SUMPRODUCT(--(O2814:AS2814="C")))</f>
        <v/>
      </c>
      <c r="AX2814" s="36">
        <f>IF($C2814="",0,SUMPRODUCT(--(O2814:AS2814="R")))</f>
        <v/>
      </c>
      <c r="AY2814" s="44" t="n"/>
    </row>
    <row r="2815" hidden="1" outlineLevel="1" ht="15" customHeight="1" s="15">
      <c r="B2815" s="41" t="n">
        <v>12</v>
      </c>
      <c r="C2815" s="42">
        <f>IF(EMPLOYES!C35="","",EMPLOYES!C35)</f>
        <v/>
      </c>
      <c r="D2815" s="43">
        <f>IF(EMPLOYES!C35="","",EMPLOYES!D35)</f>
        <v/>
      </c>
      <c r="E2815" s="44" t="n"/>
      <c r="F2815" s="42" t="n"/>
      <c r="G2815" s="41">
        <f>IF($C2815="",0,MAX(0,$M2815-$N2815))</f>
        <v/>
      </c>
      <c r="H2815" s="45" t="n"/>
      <c r="I2815" s="41">
        <f>IF($C2815="","",IF(H2815="","OK",IF(H2815&gt;EMPLOYES!P35,"⚠ Avance &gt; salaire",IF(H2815&gt;EMPLOYES!P35*PARAMETRES!$C$218,"⚠ Avance élevée","OK"))))</f>
        <v/>
      </c>
      <c r="J2815" s="45" t="n"/>
      <c r="K2815" s="46" t="n"/>
      <c r="L2815" s="46" t="n"/>
      <c r="M2815" s="41">
        <f>IF($C2815="","",SUMPRODUCT((PARAMETRES!$B$38:$B$157=PARAMETRES!$C$29)*(PARAMETRES!$C$38:$C$157=12)*(IF(EMPLOYES!M35="5j",PARAMETRES!$I$38:$I$157,PARAMETRES!$H$38:$H$157))))</f>
        <v/>
      </c>
      <c r="N2815" s="41">
        <f>IF($C2815="","",SUMPRODUCT((O2815:AS2815="P")+(O2815:AS2815="F")+(O2815:AS2815="C")+0.5*(O2815:AS2815="D"),(1-((O2792:AS2792=6)*(EMPLOYES!M35="5j")))))</f>
        <v/>
      </c>
      <c r="O2815" s="46" t="n"/>
      <c r="P2815" s="46" t="n"/>
      <c r="Q2815" s="46" t="n"/>
      <c r="R2815" s="46" t="n"/>
      <c r="S2815" s="46" t="n"/>
      <c r="T2815" s="46" t="n"/>
      <c r="U2815" s="46" t="n"/>
      <c r="V2815" s="46" t="n"/>
      <c r="W2815" s="46" t="n"/>
      <c r="X2815" s="46" t="n"/>
      <c r="Y2815" s="46" t="n"/>
      <c r="Z2815" s="46" t="n"/>
      <c r="AA2815" s="46" t="n"/>
      <c r="AB2815" s="46" t="n"/>
      <c r="AC2815" s="46" t="n"/>
      <c r="AD2815" s="46" t="n"/>
      <c r="AE2815" s="46" t="n"/>
      <c r="AF2815" s="46" t="n"/>
      <c r="AG2815" s="46" t="n"/>
      <c r="AH2815" s="46" t="n"/>
      <c r="AI2815" s="46" t="n"/>
      <c r="AJ2815" s="46" t="n"/>
      <c r="AK2815" s="46" t="n"/>
      <c r="AL2815" s="46" t="n"/>
      <c r="AM2815" s="46" t="n"/>
      <c r="AN2815" s="46" t="n"/>
      <c r="AO2815" s="46" t="n"/>
      <c r="AP2815" s="46" t="n"/>
      <c r="AQ2815" s="46" t="n"/>
      <c r="AR2815" s="46" t="n"/>
      <c r="AS2815" s="46" t="n"/>
      <c r="AV2815" s="36">
        <f>IF($C2815="","",EMPLOYES!M35)</f>
        <v/>
      </c>
      <c r="AW2815" s="36">
        <f>IF($C2815="",0,SUMPRODUCT(--(O2815:AS2815="C")))</f>
        <v/>
      </c>
      <c r="AX2815" s="36">
        <f>IF($C2815="",0,SUMPRODUCT(--(O2815:AS2815="R")))</f>
        <v/>
      </c>
      <c r="AY2815" s="44" t="n"/>
    </row>
    <row r="2816" hidden="1" outlineLevel="1" ht="15" customHeight="1" s="15">
      <c r="B2816" s="41" t="n">
        <v>12</v>
      </c>
      <c r="C2816" s="42">
        <f>IF(EMPLOYES!C36="","",EMPLOYES!C36)</f>
        <v/>
      </c>
      <c r="D2816" s="43">
        <f>IF(EMPLOYES!C36="","",EMPLOYES!D36)</f>
        <v/>
      </c>
      <c r="E2816" s="44" t="n"/>
      <c r="F2816" s="42" t="n"/>
      <c r="G2816" s="41">
        <f>IF($C2816="",0,MAX(0,$M2816-$N2816))</f>
        <v/>
      </c>
      <c r="H2816" s="45" t="n"/>
      <c r="I2816" s="41">
        <f>IF($C2816="","",IF(H2816="","OK",IF(H2816&gt;EMPLOYES!P36,"⚠ Avance &gt; salaire",IF(H2816&gt;EMPLOYES!P36*PARAMETRES!$C$218,"⚠ Avance élevée","OK"))))</f>
        <v/>
      </c>
      <c r="J2816" s="45" t="n"/>
      <c r="K2816" s="46" t="n"/>
      <c r="L2816" s="46" t="n"/>
      <c r="M2816" s="41">
        <f>IF($C2816="","",SUMPRODUCT((PARAMETRES!$B$38:$B$157=PARAMETRES!$C$29)*(PARAMETRES!$C$38:$C$157=12)*(IF(EMPLOYES!M36="5j",PARAMETRES!$I$38:$I$157,PARAMETRES!$H$38:$H$157))))</f>
        <v/>
      </c>
      <c r="N2816" s="41">
        <f>IF($C2816="","",SUMPRODUCT((O2816:AS2816="P")+(O2816:AS2816="F")+(O2816:AS2816="C")+0.5*(O2816:AS2816="D"),(1-((O2792:AS2792=6)*(EMPLOYES!M36="5j")))))</f>
        <v/>
      </c>
      <c r="O2816" s="46" t="n"/>
      <c r="P2816" s="46" t="n"/>
      <c r="Q2816" s="46" t="n"/>
      <c r="R2816" s="46" t="n"/>
      <c r="S2816" s="46" t="n"/>
      <c r="T2816" s="46" t="n"/>
      <c r="U2816" s="46" t="n"/>
      <c r="V2816" s="46" t="n"/>
      <c r="W2816" s="46" t="n"/>
      <c r="X2816" s="46" t="n"/>
      <c r="Y2816" s="46" t="n"/>
      <c r="Z2816" s="46" t="n"/>
      <c r="AA2816" s="46" t="n"/>
      <c r="AB2816" s="46" t="n"/>
      <c r="AC2816" s="46" t="n"/>
      <c r="AD2816" s="46" t="n"/>
      <c r="AE2816" s="46" t="n"/>
      <c r="AF2816" s="46" t="n"/>
      <c r="AG2816" s="46" t="n"/>
      <c r="AH2816" s="46" t="n"/>
      <c r="AI2816" s="46" t="n"/>
      <c r="AJ2816" s="46" t="n"/>
      <c r="AK2816" s="46" t="n"/>
      <c r="AL2816" s="46" t="n"/>
      <c r="AM2816" s="46" t="n"/>
      <c r="AN2816" s="46" t="n"/>
      <c r="AO2816" s="46" t="n"/>
      <c r="AP2816" s="46" t="n"/>
      <c r="AQ2816" s="46" t="n"/>
      <c r="AR2816" s="46" t="n"/>
      <c r="AS2816" s="46" t="n"/>
      <c r="AV2816" s="36">
        <f>IF($C2816="","",EMPLOYES!M36)</f>
        <v/>
      </c>
      <c r="AW2816" s="36">
        <f>IF($C2816="",0,SUMPRODUCT(--(O2816:AS2816="C")))</f>
        <v/>
      </c>
      <c r="AX2816" s="36">
        <f>IF($C2816="",0,SUMPRODUCT(--(O2816:AS2816="R")))</f>
        <v/>
      </c>
      <c r="AY2816" s="44" t="n"/>
    </row>
    <row r="2817" hidden="1" outlineLevel="1" ht="15" customHeight="1" s="15">
      <c r="B2817" s="41" t="n">
        <v>12</v>
      </c>
      <c r="C2817" s="42">
        <f>IF(EMPLOYES!C37="","",EMPLOYES!C37)</f>
        <v/>
      </c>
      <c r="D2817" s="43">
        <f>IF(EMPLOYES!C37="","",EMPLOYES!D37)</f>
        <v/>
      </c>
      <c r="E2817" s="44" t="n"/>
      <c r="F2817" s="42" t="n"/>
      <c r="G2817" s="41">
        <f>IF($C2817="",0,MAX(0,$M2817-$N2817))</f>
        <v/>
      </c>
      <c r="H2817" s="45" t="n"/>
      <c r="I2817" s="41">
        <f>IF($C2817="","",IF(H2817="","OK",IF(H2817&gt;EMPLOYES!P37,"⚠ Avance &gt; salaire",IF(H2817&gt;EMPLOYES!P37*PARAMETRES!$C$218,"⚠ Avance élevée","OK"))))</f>
        <v/>
      </c>
      <c r="J2817" s="45" t="n"/>
      <c r="K2817" s="46" t="n"/>
      <c r="L2817" s="46" t="n"/>
      <c r="M2817" s="41">
        <f>IF($C2817="","",SUMPRODUCT((PARAMETRES!$B$38:$B$157=PARAMETRES!$C$29)*(PARAMETRES!$C$38:$C$157=12)*(IF(EMPLOYES!M37="5j",PARAMETRES!$I$38:$I$157,PARAMETRES!$H$38:$H$157))))</f>
        <v/>
      </c>
      <c r="N2817" s="41">
        <f>IF($C2817="","",SUMPRODUCT((O2817:AS2817="P")+(O2817:AS2817="F")+(O2817:AS2817="C")+0.5*(O2817:AS2817="D"),(1-((O2792:AS2792=6)*(EMPLOYES!M37="5j")))))</f>
        <v/>
      </c>
      <c r="O2817" s="46" t="n"/>
      <c r="P2817" s="46" t="n"/>
      <c r="Q2817" s="46" t="n"/>
      <c r="R2817" s="46" t="n"/>
      <c r="S2817" s="46" t="n"/>
      <c r="T2817" s="46" t="n"/>
      <c r="U2817" s="46" t="n"/>
      <c r="V2817" s="46" t="n"/>
      <c r="W2817" s="46" t="n"/>
      <c r="X2817" s="46" t="n"/>
      <c r="Y2817" s="46" t="n"/>
      <c r="Z2817" s="46" t="n"/>
      <c r="AA2817" s="46" t="n"/>
      <c r="AB2817" s="46" t="n"/>
      <c r="AC2817" s="46" t="n"/>
      <c r="AD2817" s="46" t="n"/>
      <c r="AE2817" s="46" t="n"/>
      <c r="AF2817" s="46" t="n"/>
      <c r="AG2817" s="46" t="n"/>
      <c r="AH2817" s="46" t="n"/>
      <c r="AI2817" s="46" t="n"/>
      <c r="AJ2817" s="46" t="n"/>
      <c r="AK2817" s="46" t="n"/>
      <c r="AL2817" s="46" t="n"/>
      <c r="AM2817" s="46" t="n"/>
      <c r="AN2817" s="46" t="n"/>
      <c r="AO2817" s="46" t="n"/>
      <c r="AP2817" s="46" t="n"/>
      <c r="AQ2817" s="46" t="n"/>
      <c r="AR2817" s="46" t="n"/>
      <c r="AS2817" s="46" t="n"/>
      <c r="AV2817" s="36">
        <f>IF($C2817="","",EMPLOYES!M37)</f>
        <v/>
      </c>
      <c r="AW2817" s="36">
        <f>IF($C2817="",0,SUMPRODUCT(--(O2817:AS2817="C")))</f>
        <v/>
      </c>
      <c r="AX2817" s="36">
        <f>IF($C2817="",0,SUMPRODUCT(--(O2817:AS2817="R")))</f>
        <v/>
      </c>
      <c r="AY2817" s="44" t="n"/>
    </row>
    <row r="2818" hidden="1" outlineLevel="1" ht="15" customHeight="1" s="15">
      <c r="B2818" s="41" t="n">
        <v>12</v>
      </c>
      <c r="C2818" s="42">
        <f>IF(EMPLOYES!C38="","",EMPLOYES!C38)</f>
        <v/>
      </c>
      <c r="D2818" s="43">
        <f>IF(EMPLOYES!C38="","",EMPLOYES!D38)</f>
        <v/>
      </c>
      <c r="E2818" s="44" t="n"/>
      <c r="F2818" s="42" t="n"/>
      <c r="G2818" s="41">
        <f>IF($C2818="",0,MAX(0,$M2818-$N2818))</f>
        <v/>
      </c>
      <c r="H2818" s="45" t="n"/>
      <c r="I2818" s="41">
        <f>IF($C2818="","",IF(H2818="","OK",IF(H2818&gt;EMPLOYES!P38,"⚠ Avance &gt; salaire",IF(H2818&gt;EMPLOYES!P38*PARAMETRES!$C$218,"⚠ Avance élevée","OK"))))</f>
        <v/>
      </c>
      <c r="J2818" s="45" t="n"/>
      <c r="K2818" s="46" t="n"/>
      <c r="L2818" s="46" t="n"/>
      <c r="M2818" s="41">
        <f>IF($C2818="","",SUMPRODUCT((PARAMETRES!$B$38:$B$157=PARAMETRES!$C$29)*(PARAMETRES!$C$38:$C$157=12)*(IF(EMPLOYES!M38="5j",PARAMETRES!$I$38:$I$157,PARAMETRES!$H$38:$H$157))))</f>
        <v/>
      </c>
      <c r="N2818" s="41">
        <f>IF($C2818="","",SUMPRODUCT((O2818:AS2818="P")+(O2818:AS2818="F")+(O2818:AS2818="C")+0.5*(O2818:AS2818="D"),(1-((O2792:AS2792=6)*(EMPLOYES!M38="5j")))))</f>
        <v/>
      </c>
      <c r="O2818" s="46" t="n"/>
      <c r="P2818" s="46" t="n"/>
      <c r="Q2818" s="46" t="n"/>
      <c r="R2818" s="46" t="n"/>
      <c r="S2818" s="46" t="n"/>
      <c r="T2818" s="46" t="n"/>
      <c r="U2818" s="46" t="n"/>
      <c r="V2818" s="46" t="n"/>
      <c r="W2818" s="46" t="n"/>
      <c r="X2818" s="46" t="n"/>
      <c r="Y2818" s="46" t="n"/>
      <c r="Z2818" s="46" t="n"/>
      <c r="AA2818" s="46" t="n"/>
      <c r="AB2818" s="46" t="n"/>
      <c r="AC2818" s="46" t="n"/>
      <c r="AD2818" s="46" t="n"/>
      <c r="AE2818" s="46" t="n"/>
      <c r="AF2818" s="46" t="n"/>
      <c r="AG2818" s="46" t="n"/>
      <c r="AH2818" s="46" t="n"/>
      <c r="AI2818" s="46" t="n"/>
      <c r="AJ2818" s="46" t="n"/>
      <c r="AK2818" s="46" t="n"/>
      <c r="AL2818" s="46" t="n"/>
      <c r="AM2818" s="46" t="n"/>
      <c r="AN2818" s="46" t="n"/>
      <c r="AO2818" s="46" t="n"/>
      <c r="AP2818" s="46" t="n"/>
      <c r="AQ2818" s="46" t="n"/>
      <c r="AR2818" s="46" t="n"/>
      <c r="AS2818" s="46" t="n"/>
      <c r="AV2818" s="36">
        <f>IF($C2818="","",EMPLOYES!M38)</f>
        <v/>
      </c>
      <c r="AW2818" s="36">
        <f>IF($C2818="",0,SUMPRODUCT(--(O2818:AS2818="C")))</f>
        <v/>
      </c>
      <c r="AX2818" s="36">
        <f>IF($C2818="",0,SUMPRODUCT(--(O2818:AS2818="R")))</f>
        <v/>
      </c>
      <c r="AY2818" s="44" t="n"/>
    </row>
    <row r="2819" hidden="1" outlineLevel="1" ht="15" customHeight="1" s="15">
      <c r="B2819" s="41" t="n">
        <v>12</v>
      </c>
      <c r="C2819" s="42">
        <f>IF(EMPLOYES!C39="","",EMPLOYES!C39)</f>
        <v/>
      </c>
      <c r="D2819" s="43">
        <f>IF(EMPLOYES!C39="","",EMPLOYES!D39)</f>
        <v/>
      </c>
      <c r="E2819" s="44" t="n"/>
      <c r="F2819" s="42" t="n"/>
      <c r="G2819" s="41">
        <f>IF($C2819="",0,MAX(0,$M2819-$N2819))</f>
        <v/>
      </c>
      <c r="H2819" s="45" t="n"/>
      <c r="I2819" s="41">
        <f>IF($C2819="","",IF(H2819="","OK",IF(H2819&gt;EMPLOYES!P39,"⚠ Avance &gt; salaire",IF(H2819&gt;EMPLOYES!P39*PARAMETRES!$C$218,"⚠ Avance élevée","OK"))))</f>
        <v/>
      </c>
      <c r="J2819" s="45" t="n"/>
      <c r="K2819" s="46" t="n"/>
      <c r="L2819" s="46" t="n"/>
      <c r="M2819" s="41">
        <f>IF($C2819="","",SUMPRODUCT((PARAMETRES!$B$38:$B$157=PARAMETRES!$C$29)*(PARAMETRES!$C$38:$C$157=12)*(IF(EMPLOYES!M39="5j",PARAMETRES!$I$38:$I$157,PARAMETRES!$H$38:$H$157))))</f>
        <v/>
      </c>
      <c r="N2819" s="41">
        <f>IF($C2819="","",SUMPRODUCT((O2819:AS2819="P")+(O2819:AS2819="F")+(O2819:AS2819="C")+0.5*(O2819:AS2819="D"),(1-((O2792:AS2792=6)*(EMPLOYES!M39="5j")))))</f>
        <v/>
      </c>
      <c r="O2819" s="46" t="n"/>
      <c r="P2819" s="46" t="n"/>
      <c r="Q2819" s="46" t="n"/>
      <c r="R2819" s="46" t="n"/>
      <c r="S2819" s="46" t="n"/>
      <c r="T2819" s="46" t="n"/>
      <c r="U2819" s="46" t="n"/>
      <c r="V2819" s="46" t="n"/>
      <c r="W2819" s="46" t="n"/>
      <c r="X2819" s="46" t="n"/>
      <c r="Y2819" s="46" t="n"/>
      <c r="Z2819" s="46" t="n"/>
      <c r="AA2819" s="46" t="n"/>
      <c r="AB2819" s="46" t="n"/>
      <c r="AC2819" s="46" t="n"/>
      <c r="AD2819" s="46" t="n"/>
      <c r="AE2819" s="46" t="n"/>
      <c r="AF2819" s="46" t="n"/>
      <c r="AG2819" s="46" t="n"/>
      <c r="AH2819" s="46" t="n"/>
      <c r="AI2819" s="46" t="n"/>
      <c r="AJ2819" s="46" t="n"/>
      <c r="AK2819" s="46" t="n"/>
      <c r="AL2819" s="46" t="n"/>
      <c r="AM2819" s="46" t="n"/>
      <c r="AN2819" s="46" t="n"/>
      <c r="AO2819" s="46" t="n"/>
      <c r="AP2819" s="46" t="n"/>
      <c r="AQ2819" s="46" t="n"/>
      <c r="AR2819" s="46" t="n"/>
      <c r="AS2819" s="46" t="n"/>
      <c r="AV2819" s="36">
        <f>IF($C2819="","",EMPLOYES!M39)</f>
        <v/>
      </c>
      <c r="AW2819" s="36">
        <f>IF($C2819="",0,SUMPRODUCT(--(O2819:AS2819="C")))</f>
        <v/>
      </c>
      <c r="AX2819" s="36">
        <f>IF($C2819="",0,SUMPRODUCT(--(O2819:AS2819="R")))</f>
        <v/>
      </c>
      <c r="AY2819" s="44" t="n"/>
    </row>
    <row r="2820" hidden="1" outlineLevel="1" ht="15" customHeight="1" s="15">
      <c r="B2820" s="41" t="n">
        <v>12</v>
      </c>
      <c r="C2820" s="42">
        <f>IF(EMPLOYES!C40="","",EMPLOYES!C40)</f>
        <v/>
      </c>
      <c r="D2820" s="43">
        <f>IF(EMPLOYES!C40="","",EMPLOYES!D40)</f>
        <v/>
      </c>
      <c r="E2820" s="44" t="n"/>
      <c r="F2820" s="42" t="n"/>
      <c r="G2820" s="41">
        <f>IF($C2820="",0,MAX(0,$M2820-$N2820))</f>
        <v/>
      </c>
      <c r="H2820" s="45" t="n"/>
      <c r="I2820" s="41">
        <f>IF($C2820="","",IF(H2820="","OK",IF(H2820&gt;EMPLOYES!P40,"⚠ Avance &gt; salaire",IF(H2820&gt;EMPLOYES!P40*PARAMETRES!$C$218,"⚠ Avance élevée","OK"))))</f>
        <v/>
      </c>
      <c r="J2820" s="45" t="n"/>
      <c r="K2820" s="46" t="n"/>
      <c r="L2820" s="46" t="n"/>
      <c r="M2820" s="41">
        <f>IF($C2820="","",SUMPRODUCT((PARAMETRES!$B$38:$B$157=PARAMETRES!$C$29)*(PARAMETRES!$C$38:$C$157=12)*(IF(EMPLOYES!M40="5j",PARAMETRES!$I$38:$I$157,PARAMETRES!$H$38:$H$157))))</f>
        <v/>
      </c>
      <c r="N2820" s="41">
        <f>IF($C2820="","",SUMPRODUCT((O2820:AS2820="P")+(O2820:AS2820="F")+(O2820:AS2820="C")+0.5*(O2820:AS2820="D"),(1-((O2792:AS2792=6)*(EMPLOYES!M40="5j")))))</f>
        <v/>
      </c>
      <c r="O2820" s="46" t="n"/>
      <c r="P2820" s="46" t="n"/>
      <c r="Q2820" s="46" t="n"/>
      <c r="R2820" s="46" t="n"/>
      <c r="S2820" s="46" t="n"/>
      <c r="T2820" s="46" t="n"/>
      <c r="U2820" s="46" t="n"/>
      <c r="V2820" s="46" t="n"/>
      <c r="W2820" s="46" t="n"/>
      <c r="X2820" s="46" t="n"/>
      <c r="Y2820" s="46" t="n"/>
      <c r="Z2820" s="46" t="n"/>
      <c r="AA2820" s="46" t="n"/>
      <c r="AB2820" s="46" t="n"/>
      <c r="AC2820" s="46" t="n"/>
      <c r="AD2820" s="46" t="n"/>
      <c r="AE2820" s="46" t="n"/>
      <c r="AF2820" s="46" t="n"/>
      <c r="AG2820" s="46" t="n"/>
      <c r="AH2820" s="46" t="n"/>
      <c r="AI2820" s="46" t="n"/>
      <c r="AJ2820" s="46" t="n"/>
      <c r="AK2820" s="46" t="n"/>
      <c r="AL2820" s="46" t="n"/>
      <c r="AM2820" s="46" t="n"/>
      <c r="AN2820" s="46" t="n"/>
      <c r="AO2820" s="46" t="n"/>
      <c r="AP2820" s="46" t="n"/>
      <c r="AQ2820" s="46" t="n"/>
      <c r="AR2820" s="46" t="n"/>
      <c r="AS2820" s="46" t="n"/>
      <c r="AV2820" s="36">
        <f>IF($C2820="","",EMPLOYES!M40)</f>
        <v/>
      </c>
      <c r="AW2820" s="36">
        <f>IF($C2820="",0,SUMPRODUCT(--(O2820:AS2820="C")))</f>
        <v/>
      </c>
      <c r="AX2820" s="36">
        <f>IF($C2820="",0,SUMPRODUCT(--(O2820:AS2820="R")))</f>
        <v/>
      </c>
      <c r="AY2820" s="44" t="n"/>
    </row>
    <row r="2821" hidden="1" outlineLevel="1" ht="15" customHeight="1" s="15">
      <c r="B2821" s="41" t="n">
        <v>12</v>
      </c>
      <c r="C2821" s="42">
        <f>IF(EMPLOYES!C41="","",EMPLOYES!C41)</f>
        <v/>
      </c>
      <c r="D2821" s="43">
        <f>IF(EMPLOYES!C41="","",EMPLOYES!D41)</f>
        <v/>
      </c>
      <c r="E2821" s="44" t="n"/>
      <c r="F2821" s="42" t="n"/>
      <c r="G2821" s="41">
        <f>IF($C2821="",0,MAX(0,$M2821-$N2821))</f>
        <v/>
      </c>
      <c r="H2821" s="45" t="n"/>
      <c r="I2821" s="41">
        <f>IF($C2821="","",IF(H2821="","OK",IF(H2821&gt;EMPLOYES!P41,"⚠ Avance &gt; salaire",IF(H2821&gt;EMPLOYES!P41*PARAMETRES!$C$218,"⚠ Avance élevée","OK"))))</f>
        <v/>
      </c>
      <c r="J2821" s="45" t="n"/>
      <c r="K2821" s="46" t="n"/>
      <c r="L2821" s="46" t="n"/>
      <c r="M2821" s="41">
        <f>IF($C2821="","",SUMPRODUCT((PARAMETRES!$B$38:$B$157=PARAMETRES!$C$29)*(PARAMETRES!$C$38:$C$157=12)*(IF(EMPLOYES!M41="5j",PARAMETRES!$I$38:$I$157,PARAMETRES!$H$38:$H$157))))</f>
        <v/>
      </c>
      <c r="N2821" s="41">
        <f>IF($C2821="","",SUMPRODUCT((O2821:AS2821="P")+(O2821:AS2821="F")+(O2821:AS2821="C")+0.5*(O2821:AS2821="D"),(1-((O2792:AS2792=6)*(EMPLOYES!M41="5j")))))</f>
        <v/>
      </c>
      <c r="O2821" s="46" t="n"/>
      <c r="P2821" s="46" t="n"/>
      <c r="Q2821" s="46" t="n"/>
      <c r="R2821" s="46" t="n"/>
      <c r="S2821" s="46" t="n"/>
      <c r="T2821" s="46" t="n"/>
      <c r="U2821" s="46" t="n"/>
      <c r="V2821" s="46" t="n"/>
      <c r="W2821" s="46" t="n"/>
      <c r="X2821" s="46" t="n"/>
      <c r="Y2821" s="46" t="n"/>
      <c r="Z2821" s="46" t="n"/>
      <c r="AA2821" s="46" t="n"/>
      <c r="AB2821" s="46" t="n"/>
      <c r="AC2821" s="46" t="n"/>
      <c r="AD2821" s="46" t="n"/>
      <c r="AE2821" s="46" t="n"/>
      <c r="AF2821" s="46" t="n"/>
      <c r="AG2821" s="46" t="n"/>
      <c r="AH2821" s="46" t="n"/>
      <c r="AI2821" s="46" t="n"/>
      <c r="AJ2821" s="46" t="n"/>
      <c r="AK2821" s="46" t="n"/>
      <c r="AL2821" s="46" t="n"/>
      <c r="AM2821" s="46" t="n"/>
      <c r="AN2821" s="46" t="n"/>
      <c r="AO2821" s="46" t="n"/>
      <c r="AP2821" s="46" t="n"/>
      <c r="AQ2821" s="46" t="n"/>
      <c r="AR2821" s="46" t="n"/>
      <c r="AS2821" s="46" t="n"/>
      <c r="AV2821" s="36">
        <f>IF($C2821="","",EMPLOYES!M41)</f>
        <v/>
      </c>
      <c r="AW2821" s="36">
        <f>IF($C2821="",0,SUMPRODUCT(--(O2821:AS2821="C")))</f>
        <v/>
      </c>
      <c r="AX2821" s="36">
        <f>IF($C2821="",0,SUMPRODUCT(--(O2821:AS2821="R")))</f>
        <v/>
      </c>
      <c r="AY2821" s="44" t="n"/>
    </row>
    <row r="2822" hidden="1" outlineLevel="1" ht="15" customHeight="1" s="15">
      <c r="B2822" s="41" t="n">
        <v>12</v>
      </c>
      <c r="C2822" s="42">
        <f>IF(EMPLOYES!C42="","",EMPLOYES!C42)</f>
        <v/>
      </c>
      <c r="D2822" s="43">
        <f>IF(EMPLOYES!C42="","",EMPLOYES!D42)</f>
        <v/>
      </c>
      <c r="E2822" s="44" t="n"/>
      <c r="F2822" s="42" t="n"/>
      <c r="G2822" s="41">
        <f>IF($C2822="",0,MAX(0,$M2822-$N2822))</f>
        <v/>
      </c>
      <c r="H2822" s="45" t="n"/>
      <c r="I2822" s="41">
        <f>IF($C2822="","",IF(H2822="","OK",IF(H2822&gt;EMPLOYES!P42,"⚠ Avance &gt; salaire",IF(H2822&gt;EMPLOYES!P42*PARAMETRES!$C$218,"⚠ Avance élevée","OK"))))</f>
        <v/>
      </c>
      <c r="J2822" s="45" t="n"/>
      <c r="K2822" s="46" t="n"/>
      <c r="L2822" s="46" t="n"/>
      <c r="M2822" s="41">
        <f>IF($C2822="","",SUMPRODUCT((PARAMETRES!$B$38:$B$157=PARAMETRES!$C$29)*(PARAMETRES!$C$38:$C$157=12)*(IF(EMPLOYES!M42="5j",PARAMETRES!$I$38:$I$157,PARAMETRES!$H$38:$H$157))))</f>
        <v/>
      </c>
      <c r="N2822" s="41">
        <f>IF($C2822="","",SUMPRODUCT((O2822:AS2822="P")+(O2822:AS2822="F")+(O2822:AS2822="C")+0.5*(O2822:AS2822="D"),(1-((O2792:AS2792=6)*(EMPLOYES!M42="5j")))))</f>
        <v/>
      </c>
      <c r="O2822" s="46" t="n"/>
      <c r="P2822" s="46" t="n"/>
      <c r="Q2822" s="46" t="n"/>
      <c r="R2822" s="46" t="n"/>
      <c r="S2822" s="46" t="n"/>
      <c r="T2822" s="46" t="n"/>
      <c r="U2822" s="46" t="n"/>
      <c r="V2822" s="46" t="n"/>
      <c r="W2822" s="46" t="n"/>
      <c r="X2822" s="46" t="n"/>
      <c r="Y2822" s="46" t="n"/>
      <c r="Z2822" s="46" t="n"/>
      <c r="AA2822" s="46" t="n"/>
      <c r="AB2822" s="46" t="n"/>
      <c r="AC2822" s="46" t="n"/>
      <c r="AD2822" s="46" t="n"/>
      <c r="AE2822" s="46" t="n"/>
      <c r="AF2822" s="46" t="n"/>
      <c r="AG2822" s="46" t="n"/>
      <c r="AH2822" s="46" t="n"/>
      <c r="AI2822" s="46" t="n"/>
      <c r="AJ2822" s="46" t="n"/>
      <c r="AK2822" s="46" t="n"/>
      <c r="AL2822" s="46" t="n"/>
      <c r="AM2822" s="46" t="n"/>
      <c r="AN2822" s="46" t="n"/>
      <c r="AO2822" s="46" t="n"/>
      <c r="AP2822" s="46" t="n"/>
      <c r="AQ2822" s="46" t="n"/>
      <c r="AR2822" s="46" t="n"/>
      <c r="AS2822" s="46" t="n"/>
      <c r="AV2822" s="36">
        <f>IF($C2822="","",EMPLOYES!M42)</f>
        <v/>
      </c>
      <c r="AW2822" s="36">
        <f>IF($C2822="",0,SUMPRODUCT(--(O2822:AS2822="C")))</f>
        <v/>
      </c>
      <c r="AX2822" s="36">
        <f>IF($C2822="",0,SUMPRODUCT(--(O2822:AS2822="R")))</f>
        <v/>
      </c>
      <c r="AY2822" s="44" t="n"/>
    </row>
    <row r="2823" hidden="1" outlineLevel="1" ht="15" customHeight="1" s="15">
      <c r="B2823" s="41" t="n">
        <v>12</v>
      </c>
      <c r="C2823" s="42">
        <f>IF(EMPLOYES!C43="","",EMPLOYES!C43)</f>
        <v/>
      </c>
      <c r="D2823" s="43">
        <f>IF(EMPLOYES!C43="","",EMPLOYES!D43)</f>
        <v/>
      </c>
      <c r="E2823" s="44" t="n"/>
      <c r="F2823" s="42" t="n"/>
      <c r="G2823" s="41">
        <f>IF($C2823="",0,MAX(0,$M2823-$N2823))</f>
        <v/>
      </c>
      <c r="H2823" s="45" t="n"/>
      <c r="I2823" s="41">
        <f>IF($C2823="","",IF(H2823="","OK",IF(H2823&gt;EMPLOYES!P43,"⚠ Avance &gt; salaire",IF(H2823&gt;EMPLOYES!P43*PARAMETRES!$C$218,"⚠ Avance élevée","OK"))))</f>
        <v/>
      </c>
      <c r="J2823" s="45" t="n"/>
      <c r="K2823" s="46" t="n"/>
      <c r="L2823" s="46" t="n"/>
      <c r="M2823" s="41">
        <f>IF($C2823="","",SUMPRODUCT((PARAMETRES!$B$38:$B$157=PARAMETRES!$C$29)*(PARAMETRES!$C$38:$C$157=12)*(IF(EMPLOYES!M43="5j",PARAMETRES!$I$38:$I$157,PARAMETRES!$H$38:$H$157))))</f>
        <v/>
      </c>
      <c r="N2823" s="41">
        <f>IF($C2823="","",SUMPRODUCT((O2823:AS2823="P")+(O2823:AS2823="F")+(O2823:AS2823="C")+0.5*(O2823:AS2823="D"),(1-((O2792:AS2792=6)*(EMPLOYES!M43="5j")))))</f>
        <v/>
      </c>
      <c r="O2823" s="46" t="n"/>
      <c r="P2823" s="46" t="n"/>
      <c r="Q2823" s="46" t="n"/>
      <c r="R2823" s="46" t="n"/>
      <c r="S2823" s="46" t="n"/>
      <c r="T2823" s="46" t="n"/>
      <c r="U2823" s="46" t="n"/>
      <c r="V2823" s="46" t="n"/>
      <c r="W2823" s="46" t="n"/>
      <c r="X2823" s="46" t="n"/>
      <c r="Y2823" s="46" t="n"/>
      <c r="Z2823" s="46" t="n"/>
      <c r="AA2823" s="46" t="n"/>
      <c r="AB2823" s="46" t="n"/>
      <c r="AC2823" s="46" t="n"/>
      <c r="AD2823" s="46" t="n"/>
      <c r="AE2823" s="46" t="n"/>
      <c r="AF2823" s="46" t="n"/>
      <c r="AG2823" s="46" t="n"/>
      <c r="AH2823" s="46" t="n"/>
      <c r="AI2823" s="46" t="n"/>
      <c r="AJ2823" s="46" t="n"/>
      <c r="AK2823" s="46" t="n"/>
      <c r="AL2823" s="46" t="n"/>
      <c r="AM2823" s="46" t="n"/>
      <c r="AN2823" s="46" t="n"/>
      <c r="AO2823" s="46" t="n"/>
      <c r="AP2823" s="46" t="n"/>
      <c r="AQ2823" s="46" t="n"/>
      <c r="AR2823" s="46" t="n"/>
      <c r="AS2823" s="46" t="n"/>
      <c r="AV2823" s="36">
        <f>IF($C2823="","",EMPLOYES!M43)</f>
        <v/>
      </c>
      <c r="AW2823" s="36">
        <f>IF($C2823="",0,SUMPRODUCT(--(O2823:AS2823="C")))</f>
        <v/>
      </c>
      <c r="AX2823" s="36">
        <f>IF($C2823="",0,SUMPRODUCT(--(O2823:AS2823="R")))</f>
        <v/>
      </c>
      <c r="AY2823" s="44" t="n"/>
    </row>
    <row r="2824" hidden="1" outlineLevel="1" ht="15" customHeight="1" s="15">
      <c r="B2824" s="41" t="n">
        <v>12</v>
      </c>
      <c r="C2824" s="42">
        <f>IF(EMPLOYES!C44="","",EMPLOYES!C44)</f>
        <v/>
      </c>
      <c r="D2824" s="43">
        <f>IF(EMPLOYES!C44="","",EMPLOYES!D44)</f>
        <v/>
      </c>
      <c r="E2824" s="44" t="n"/>
      <c r="F2824" s="42" t="n"/>
      <c r="G2824" s="41">
        <f>IF($C2824="",0,MAX(0,$M2824-$N2824))</f>
        <v/>
      </c>
      <c r="H2824" s="45" t="n"/>
      <c r="I2824" s="41">
        <f>IF($C2824="","",IF(H2824="","OK",IF(H2824&gt;EMPLOYES!P44,"⚠ Avance &gt; salaire",IF(H2824&gt;EMPLOYES!P44*PARAMETRES!$C$218,"⚠ Avance élevée","OK"))))</f>
        <v/>
      </c>
      <c r="J2824" s="45" t="n"/>
      <c r="K2824" s="46" t="n"/>
      <c r="L2824" s="46" t="n"/>
      <c r="M2824" s="41">
        <f>IF($C2824="","",SUMPRODUCT((PARAMETRES!$B$38:$B$157=PARAMETRES!$C$29)*(PARAMETRES!$C$38:$C$157=12)*(IF(EMPLOYES!M44="5j",PARAMETRES!$I$38:$I$157,PARAMETRES!$H$38:$H$157))))</f>
        <v/>
      </c>
      <c r="N2824" s="41">
        <f>IF($C2824="","",SUMPRODUCT((O2824:AS2824="P")+(O2824:AS2824="F")+(O2824:AS2824="C")+0.5*(O2824:AS2824="D"),(1-((O2792:AS2792=6)*(EMPLOYES!M44="5j")))))</f>
        <v/>
      </c>
      <c r="O2824" s="46" t="n"/>
      <c r="P2824" s="46" t="n"/>
      <c r="Q2824" s="46" t="n"/>
      <c r="R2824" s="46" t="n"/>
      <c r="S2824" s="46" t="n"/>
      <c r="T2824" s="46" t="n"/>
      <c r="U2824" s="46" t="n"/>
      <c r="V2824" s="46" t="n"/>
      <c r="W2824" s="46" t="n"/>
      <c r="X2824" s="46" t="n"/>
      <c r="Y2824" s="46" t="n"/>
      <c r="Z2824" s="46" t="n"/>
      <c r="AA2824" s="46" t="n"/>
      <c r="AB2824" s="46" t="n"/>
      <c r="AC2824" s="46" t="n"/>
      <c r="AD2824" s="46" t="n"/>
      <c r="AE2824" s="46" t="n"/>
      <c r="AF2824" s="46" t="n"/>
      <c r="AG2824" s="46" t="n"/>
      <c r="AH2824" s="46" t="n"/>
      <c r="AI2824" s="46" t="n"/>
      <c r="AJ2824" s="46" t="n"/>
      <c r="AK2824" s="46" t="n"/>
      <c r="AL2824" s="46" t="n"/>
      <c r="AM2824" s="46" t="n"/>
      <c r="AN2824" s="46" t="n"/>
      <c r="AO2824" s="46" t="n"/>
      <c r="AP2824" s="46" t="n"/>
      <c r="AQ2824" s="46" t="n"/>
      <c r="AR2824" s="46" t="n"/>
      <c r="AS2824" s="46" t="n"/>
      <c r="AV2824" s="36">
        <f>IF($C2824="","",EMPLOYES!M44)</f>
        <v/>
      </c>
      <c r="AW2824" s="36">
        <f>IF($C2824="",0,SUMPRODUCT(--(O2824:AS2824="C")))</f>
        <v/>
      </c>
      <c r="AX2824" s="36">
        <f>IF($C2824="",0,SUMPRODUCT(--(O2824:AS2824="R")))</f>
        <v/>
      </c>
      <c r="AY2824" s="44" t="n"/>
    </row>
    <row r="2825" hidden="1" outlineLevel="1" ht="15" customHeight="1" s="15">
      <c r="B2825" s="41" t="n">
        <v>12</v>
      </c>
      <c r="C2825" s="42">
        <f>IF(EMPLOYES!C45="","",EMPLOYES!C45)</f>
        <v/>
      </c>
      <c r="D2825" s="43">
        <f>IF(EMPLOYES!C45="","",EMPLOYES!D45)</f>
        <v/>
      </c>
      <c r="E2825" s="44" t="n"/>
      <c r="F2825" s="42" t="n"/>
      <c r="G2825" s="41">
        <f>IF($C2825="",0,MAX(0,$M2825-$N2825))</f>
        <v/>
      </c>
      <c r="H2825" s="45" t="n"/>
      <c r="I2825" s="41">
        <f>IF($C2825="","",IF(H2825="","OK",IF(H2825&gt;EMPLOYES!P45,"⚠ Avance &gt; salaire",IF(H2825&gt;EMPLOYES!P45*PARAMETRES!$C$218,"⚠ Avance élevée","OK"))))</f>
        <v/>
      </c>
      <c r="J2825" s="45" t="n"/>
      <c r="K2825" s="46" t="n"/>
      <c r="L2825" s="46" t="n"/>
      <c r="M2825" s="41">
        <f>IF($C2825="","",SUMPRODUCT((PARAMETRES!$B$38:$B$157=PARAMETRES!$C$29)*(PARAMETRES!$C$38:$C$157=12)*(IF(EMPLOYES!M45="5j",PARAMETRES!$I$38:$I$157,PARAMETRES!$H$38:$H$157))))</f>
        <v/>
      </c>
      <c r="N2825" s="41">
        <f>IF($C2825="","",SUMPRODUCT((O2825:AS2825="P")+(O2825:AS2825="F")+(O2825:AS2825="C")+0.5*(O2825:AS2825="D"),(1-((O2792:AS2792=6)*(EMPLOYES!M45="5j")))))</f>
        <v/>
      </c>
      <c r="O2825" s="46" t="n"/>
      <c r="P2825" s="46" t="n"/>
      <c r="Q2825" s="46" t="n"/>
      <c r="R2825" s="46" t="n"/>
      <c r="S2825" s="46" t="n"/>
      <c r="T2825" s="46" t="n"/>
      <c r="U2825" s="46" t="n"/>
      <c r="V2825" s="46" t="n"/>
      <c r="W2825" s="46" t="n"/>
      <c r="X2825" s="46" t="n"/>
      <c r="Y2825" s="46" t="n"/>
      <c r="Z2825" s="46" t="n"/>
      <c r="AA2825" s="46" t="n"/>
      <c r="AB2825" s="46" t="n"/>
      <c r="AC2825" s="46" t="n"/>
      <c r="AD2825" s="46" t="n"/>
      <c r="AE2825" s="46" t="n"/>
      <c r="AF2825" s="46" t="n"/>
      <c r="AG2825" s="46" t="n"/>
      <c r="AH2825" s="46" t="n"/>
      <c r="AI2825" s="46" t="n"/>
      <c r="AJ2825" s="46" t="n"/>
      <c r="AK2825" s="46" t="n"/>
      <c r="AL2825" s="46" t="n"/>
      <c r="AM2825" s="46" t="n"/>
      <c r="AN2825" s="46" t="n"/>
      <c r="AO2825" s="46" t="n"/>
      <c r="AP2825" s="46" t="n"/>
      <c r="AQ2825" s="46" t="n"/>
      <c r="AR2825" s="46" t="n"/>
      <c r="AS2825" s="46" t="n"/>
      <c r="AV2825" s="36">
        <f>IF($C2825="","",EMPLOYES!M45)</f>
        <v/>
      </c>
      <c r="AW2825" s="36">
        <f>IF($C2825="",0,SUMPRODUCT(--(O2825:AS2825="C")))</f>
        <v/>
      </c>
      <c r="AX2825" s="36">
        <f>IF($C2825="",0,SUMPRODUCT(--(O2825:AS2825="R")))</f>
        <v/>
      </c>
      <c r="AY2825" s="44" t="n"/>
    </row>
    <row r="2826" hidden="1" outlineLevel="1" ht="15" customHeight="1" s="15">
      <c r="B2826" s="41" t="n">
        <v>12</v>
      </c>
      <c r="C2826" s="42">
        <f>IF(EMPLOYES!C46="","",EMPLOYES!C46)</f>
        <v/>
      </c>
      <c r="D2826" s="43">
        <f>IF(EMPLOYES!C46="","",EMPLOYES!D46)</f>
        <v/>
      </c>
      <c r="E2826" s="44" t="n"/>
      <c r="F2826" s="42" t="n"/>
      <c r="G2826" s="41">
        <f>IF($C2826="",0,MAX(0,$M2826-$N2826))</f>
        <v/>
      </c>
      <c r="H2826" s="45" t="n"/>
      <c r="I2826" s="41">
        <f>IF($C2826="","",IF(H2826="","OK",IF(H2826&gt;EMPLOYES!P46,"⚠ Avance &gt; salaire",IF(H2826&gt;EMPLOYES!P46*PARAMETRES!$C$218,"⚠ Avance élevée","OK"))))</f>
        <v/>
      </c>
      <c r="J2826" s="45" t="n"/>
      <c r="K2826" s="46" t="n"/>
      <c r="L2826" s="46" t="n"/>
      <c r="M2826" s="41">
        <f>IF($C2826="","",SUMPRODUCT((PARAMETRES!$B$38:$B$157=PARAMETRES!$C$29)*(PARAMETRES!$C$38:$C$157=12)*(IF(EMPLOYES!M46="5j",PARAMETRES!$I$38:$I$157,PARAMETRES!$H$38:$H$157))))</f>
        <v/>
      </c>
      <c r="N2826" s="41">
        <f>IF($C2826="","",SUMPRODUCT((O2826:AS2826="P")+(O2826:AS2826="F")+(O2826:AS2826="C")+0.5*(O2826:AS2826="D"),(1-((O2792:AS2792=6)*(EMPLOYES!M46="5j")))))</f>
        <v/>
      </c>
      <c r="O2826" s="46" t="n"/>
      <c r="P2826" s="46" t="n"/>
      <c r="Q2826" s="46" t="n"/>
      <c r="R2826" s="46" t="n"/>
      <c r="S2826" s="46" t="n"/>
      <c r="T2826" s="46" t="n"/>
      <c r="U2826" s="46" t="n"/>
      <c r="V2826" s="46" t="n"/>
      <c r="W2826" s="46" t="n"/>
      <c r="X2826" s="46" t="n"/>
      <c r="Y2826" s="46" t="n"/>
      <c r="Z2826" s="46" t="n"/>
      <c r="AA2826" s="46" t="n"/>
      <c r="AB2826" s="46" t="n"/>
      <c r="AC2826" s="46" t="n"/>
      <c r="AD2826" s="46" t="n"/>
      <c r="AE2826" s="46" t="n"/>
      <c r="AF2826" s="46" t="n"/>
      <c r="AG2826" s="46" t="n"/>
      <c r="AH2826" s="46" t="n"/>
      <c r="AI2826" s="46" t="n"/>
      <c r="AJ2826" s="46" t="n"/>
      <c r="AK2826" s="46" t="n"/>
      <c r="AL2826" s="46" t="n"/>
      <c r="AM2826" s="46" t="n"/>
      <c r="AN2826" s="46" t="n"/>
      <c r="AO2826" s="46" t="n"/>
      <c r="AP2826" s="46" t="n"/>
      <c r="AQ2826" s="46" t="n"/>
      <c r="AR2826" s="46" t="n"/>
      <c r="AS2826" s="46" t="n"/>
      <c r="AV2826" s="36">
        <f>IF($C2826="","",EMPLOYES!M46)</f>
        <v/>
      </c>
      <c r="AW2826" s="36">
        <f>IF($C2826="",0,SUMPRODUCT(--(O2826:AS2826="C")))</f>
        <v/>
      </c>
      <c r="AX2826" s="36">
        <f>IF($C2826="",0,SUMPRODUCT(--(O2826:AS2826="R")))</f>
        <v/>
      </c>
      <c r="AY2826" s="44" t="n"/>
    </row>
    <row r="2827" hidden="1" outlineLevel="1" ht="15" customHeight="1" s="15">
      <c r="B2827" s="41" t="n">
        <v>12</v>
      </c>
      <c r="C2827" s="42">
        <f>IF(EMPLOYES!C47="","",EMPLOYES!C47)</f>
        <v/>
      </c>
      <c r="D2827" s="43">
        <f>IF(EMPLOYES!C47="","",EMPLOYES!D47)</f>
        <v/>
      </c>
      <c r="E2827" s="44" t="n"/>
      <c r="F2827" s="42" t="n"/>
      <c r="G2827" s="41">
        <f>IF($C2827="",0,MAX(0,$M2827-$N2827))</f>
        <v/>
      </c>
      <c r="H2827" s="45" t="n"/>
      <c r="I2827" s="41">
        <f>IF($C2827="","",IF(H2827="","OK",IF(H2827&gt;EMPLOYES!P47,"⚠ Avance &gt; salaire",IF(H2827&gt;EMPLOYES!P47*PARAMETRES!$C$218,"⚠ Avance élevée","OK"))))</f>
        <v/>
      </c>
      <c r="J2827" s="45" t="n"/>
      <c r="K2827" s="46" t="n"/>
      <c r="L2827" s="46" t="n"/>
      <c r="M2827" s="41">
        <f>IF($C2827="","",SUMPRODUCT((PARAMETRES!$B$38:$B$157=PARAMETRES!$C$29)*(PARAMETRES!$C$38:$C$157=12)*(IF(EMPLOYES!M47="5j",PARAMETRES!$I$38:$I$157,PARAMETRES!$H$38:$H$157))))</f>
        <v/>
      </c>
      <c r="N2827" s="41">
        <f>IF($C2827="","",SUMPRODUCT((O2827:AS2827="P")+(O2827:AS2827="F")+(O2827:AS2827="C")+0.5*(O2827:AS2827="D"),(1-((O2792:AS2792=6)*(EMPLOYES!M47="5j")))))</f>
        <v/>
      </c>
      <c r="O2827" s="46" t="n"/>
      <c r="P2827" s="46" t="n"/>
      <c r="Q2827" s="46" t="n"/>
      <c r="R2827" s="46" t="n"/>
      <c r="S2827" s="46" t="n"/>
      <c r="T2827" s="46" t="n"/>
      <c r="U2827" s="46" t="n"/>
      <c r="V2827" s="46" t="n"/>
      <c r="W2827" s="46" t="n"/>
      <c r="X2827" s="46" t="n"/>
      <c r="Y2827" s="46" t="n"/>
      <c r="Z2827" s="46" t="n"/>
      <c r="AA2827" s="46" t="n"/>
      <c r="AB2827" s="46" t="n"/>
      <c r="AC2827" s="46" t="n"/>
      <c r="AD2827" s="46" t="n"/>
      <c r="AE2827" s="46" t="n"/>
      <c r="AF2827" s="46" t="n"/>
      <c r="AG2827" s="46" t="n"/>
      <c r="AH2827" s="46" t="n"/>
      <c r="AI2827" s="46" t="n"/>
      <c r="AJ2827" s="46" t="n"/>
      <c r="AK2827" s="46" t="n"/>
      <c r="AL2827" s="46" t="n"/>
      <c r="AM2827" s="46" t="n"/>
      <c r="AN2827" s="46" t="n"/>
      <c r="AO2827" s="46" t="n"/>
      <c r="AP2827" s="46" t="n"/>
      <c r="AQ2827" s="46" t="n"/>
      <c r="AR2827" s="46" t="n"/>
      <c r="AS2827" s="46" t="n"/>
      <c r="AV2827" s="36">
        <f>IF($C2827="","",EMPLOYES!M47)</f>
        <v/>
      </c>
      <c r="AW2827" s="36">
        <f>IF($C2827="",0,SUMPRODUCT(--(O2827:AS2827="C")))</f>
        <v/>
      </c>
      <c r="AX2827" s="36">
        <f>IF($C2827="",0,SUMPRODUCT(--(O2827:AS2827="R")))</f>
        <v/>
      </c>
      <c r="AY2827" s="44" t="n"/>
    </row>
    <row r="2828" hidden="1" outlineLevel="1" ht="15" customHeight="1" s="15">
      <c r="B2828" s="41" t="n">
        <v>12</v>
      </c>
      <c r="C2828" s="42">
        <f>IF(EMPLOYES!C48="","",EMPLOYES!C48)</f>
        <v/>
      </c>
      <c r="D2828" s="43">
        <f>IF(EMPLOYES!C48="","",EMPLOYES!D48)</f>
        <v/>
      </c>
      <c r="E2828" s="44" t="n"/>
      <c r="F2828" s="42" t="n"/>
      <c r="G2828" s="41">
        <f>IF($C2828="",0,MAX(0,$M2828-$N2828))</f>
        <v/>
      </c>
      <c r="H2828" s="45" t="n"/>
      <c r="I2828" s="41">
        <f>IF($C2828="","",IF(H2828="","OK",IF(H2828&gt;EMPLOYES!P48,"⚠ Avance &gt; salaire",IF(H2828&gt;EMPLOYES!P48*PARAMETRES!$C$218,"⚠ Avance élevée","OK"))))</f>
        <v/>
      </c>
      <c r="J2828" s="45" t="n"/>
      <c r="K2828" s="46" t="n"/>
      <c r="L2828" s="46" t="n"/>
      <c r="M2828" s="41">
        <f>IF($C2828="","",SUMPRODUCT((PARAMETRES!$B$38:$B$157=PARAMETRES!$C$29)*(PARAMETRES!$C$38:$C$157=12)*(IF(EMPLOYES!M48="5j",PARAMETRES!$I$38:$I$157,PARAMETRES!$H$38:$H$157))))</f>
        <v/>
      </c>
      <c r="N2828" s="41">
        <f>IF($C2828="","",SUMPRODUCT((O2828:AS2828="P")+(O2828:AS2828="F")+(O2828:AS2828="C")+0.5*(O2828:AS2828="D"),(1-((O2792:AS2792=6)*(EMPLOYES!M48="5j")))))</f>
        <v/>
      </c>
      <c r="O2828" s="46" t="n"/>
      <c r="P2828" s="46" t="n"/>
      <c r="Q2828" s="46" t="n"/>
      <c r="R2828" s="46" t="n"/>
      <c r="S2828" s="46" t="n"/>
      <c r="T2828" s="46" t="n"/>
      <c r="U2828" s="46" t="n"/>
      <c r="V2828" s="46" t="n"/>
      <c r="W2828" s="46" t="n"/>
      <c r="X2828" s="46" t="n"/>
      <c r="Y2828" s="46" t="n"/>
      <c r="Z2828" s="46" t="n"/>
      <c r="AA2828" s="46" t="n"/>
      <c r="AB2828" s="46" t="n"/>
      <c r="AC2828" s="46" t="n"/>
      <c r="AD2828" s="46" t="n"/>
      <c r="AE2828" s="46" t="n"/>
      <c r="AF2828" s="46" t="n"/>
      <c r="AG2828" s="46" t="n"/>
      <c r="AH2828" s="46" t="n"/>
      <c r="AI2828" s="46" t="n"/>
      <c r="AJ2828" s="46" t="n"/>
      <c r="AK2828" s="46" t="n"/>
      <c r="AL2828" s="46" t="n"/>
      <c r="AM2828" s="46" t="n"/>
      <c r="AN2828" s="46" t="n"/>
      <c r="AO2828" s="46" t="n"/>
      <c r="AP2828" s="46" t="n"/>
      <c r="AQ2828" s="46" t="n"/>
      <c r="AR2828" s="46" t="n"/>
      <c r="AS2828" s="46" t="n"/>
      <c r="AV2828" s="36">
        <f>IF($C2828="","",EMPLOYES!M48)</f>
        <v/>
      </c>
      <c r="AW2828" s="36">
        <f>IF($C2828="",0,SUMPRODUCT(--(O2828:AS2828="C")))</f>
        <v/>
      </c>
      <c r="AX2828" s="36">
        <f>IF($C2828="",0,SUMPRODUCT(--(O2828:AS2828="R")))</f>
        <v/>
      </c>
      <c r="AY2828" s="44" t="n"/>
    </row>
    <row r="2829" hidden="1" outlineLevel="1" ht="15" customHeight="1" s="15">
      <c r="B2829" s="41" t="n">
        <v>12</v>
      </c>
      <c r="C2829" s="42">
        <f>IF(EMPLOYES!C49="","",EMPLOYES!C49)</f>
        <v/>
      </c>
      <c r="D2829" s="43">
        <f>IF(EMPLOYES!C49="","",EMPLOYES!D49)</f>
        <v/>
      </c>
      <c r="E2829" s="44" t="n"/>
      <c r="F2829" s="42" t="n"/>
      <c r="G2829" s="41">
        <f>IF($C2829="",0,MAX(0,$M2829-$N2829))</f>
        <v/>
      </c>
      <c r="H2829" s="45" t="n"/>
      <c r="I2829" s="41">
        <f>IF($C2829="","",IF(H2829="","OK",IF(H2829&gt;EMPLOYES!P49,"⚠ Avance &gt; salaire",IF(H2829&gt;EMPLOYES!P49*PARAMETRES!$C$218,"⚠ Avance élevée","OK"))))</f>
        <v/>
      </c>
      <c r="J2829" s="45" t="n"/>
      <c r="K2829" s="46" t="n"/>
      <c r="L2829" s="46" t="n"/>
      <c r="M2829" s="41">
        <f>IF($C2829="","",SUMPRODUCT((PARAMETRES!$B$38:$B$157=PARAMETRES!$C$29)*(PARAMETRES!$C$38:$C$157=12)*(IF(EMPLOYES!M49="5j",PARAMETRES!$I$38:$I$157,PARAMETRES!$H$38:$H$157))))</f>
        <v/>
      </c>
      <c r="N2829" s="41">
        <f>IF($C2829="","",SUMPRODUCT((O2829:AS2829="P")+(O2829:AS2829="F")+(O2829:AS2829="C")+0.5*(O2829:AS2829="D"),(1-((O2792:AS2792=6)*(EMPLOYES!M49="5j")))))</f>
        <v/>
      </c>
      <c r="O2829" s="46" t="n"/>
      <c r="P2829" s="46" t="n"/>
      <c r="Q2829" s="46" t="n"/>
      <c r="R2829" s="46" t="n"/>
      <c r="S2829" s="46" t="n"/>
      <c r="T2829" s="46" t="n"/>
      <c r="U2829" s="46" t="n"/>
      <c r="V2829" s="46" t="n"/>
      <c r="W2829" s="46" t="n"/>
      <c r="X2829" s="46" t="n"/>
      <c r="Y2829" s="46" t="n"/>
      <c r="Z2829" s="46" t="n"/>
      <c r="AA2829" s="46" t="n"/>
      <c r="AB2829" s="46" t="n"/>
      <c r="AC2829" s="46" t="n"/>
      <c r="AD2829" s="46" t="n"/>
      <c r="AE2829" s="46" t="n"/>
      <c r="AF2829" s="46" t="n"/>
      <c r="AG2829" s="46" t="n"/>
      <c r="AH2829" s="46" t="n"/>
      <c r="AI2829" s="46" t="n"/>
      <c r="AJ2829" s="46" t="n"/>
      <c r="AK2829" s="46" t="n"/>
      <c r="AL2829" s="46" t="n"/>
      <c r="AM2829" s="46" t="n"/>
      <c r="AN2829" s="46" t="n"/>
      <c r="AO2829" s="46" t="n"/>
      <c r="AP2829" s="46" t="n"/>
      <c r="AQ2829" s="46" t="n"/>
      <c r="AR2829" s="46" t="n"/>
      <c r="AS2829" s="46" t="n"/>
      <c r="AV2829" s="36">
        <f>IF($C2829="","",EMPLOYES!M49)</f>
        <v/>
      </c>
      <c r="AW2829" s="36">
        <f>IF($C2829="",0,SUMPRODUCT(--(O2829:AS2829="C")))</f>
        <v/>
      </c>
      <c r="AX2829" s="36">
        <f>IF($C2829="",0,SUMPRODUCT(--(O2829:AS2829="R")))</f>
        <v/>
      </c>
      <c r="AY2829" s="44" t="n"/>
    </row>
    <row r="2830" hidden="1" outlineLevel="1" ht="15" customHeight="1" s="15">
      <c r="B2830" s="41" t="n">
        <v>12</v>
      </c>
      <c r="C2830" s="42">
        <f>IF(EMPLOYES!C50="","",EMPLOYES!C50)</f>
        <v/>
      </c>
      <c r="D2830" s="43">
        <f>IF(EMPLOYES!C50="","",EMPLOYES!D50)</f>
        <v/>
      </c>
      <c r="E2830" s="44" t="n"/>
      <c r="F2830" s="42" t="n"/>
      <c r="G2830" s="41">
        <f>IF($C2830="",0,MAX(0,$M2830-$N2830))</f>
        <v/>
      </c>
      <c r="H2830" s="45" t="n"/>
      <c r="I2830" s="41">
        <f>IF($C2830="","",IF(H2830="","OK",IF(H2830&gt;EMPLOYES!P50,"⚠ Avance &gt; salaire",IF(H2830&gt;EMPLOYES!P50*PARAMETRES!$C$218,"⚠ Avance élevée","OK"))))</f>
        <v/>
      </c>
      <c r="J2830" s="45" t="n"/>
      <c r="K2830" s="46" t="n"/>
      <c r="L2830" s="46" t="n"/>
      <c r="M2830" s="41">
        <f>IF($C2830="","",SUMPRODUCT((PARAMETRES!$B$38:$B$157=PARAMETRES!$C$29)*(PARAMETRES!$C$38:$C$157=12)*(IF(EMPLOYES!M50="5j",PARAMETRES!$I$38:$I$157,PARAMETRES!$H$38:$H$157))))</f>
        <v/>
      </c>
      <c r="N2830" s="41">
        <f>IF($C2830="","",SUMPRODUCT((O2830:AS2830="P")+(O2830:AS2830="F")+(O2830:AS2830="C")+0.5*(O2830:AS2830="D"),(1-((O2792:AS2792=6)*(EMPLOYES!M50="5j")))))</f>
        <v/>
      </c>
      <c r="O2830" s="46" t="n"/>
      <c r="P2830" s="46" t="n"/>
      <c r="Q2830" s="46" t="n"/>
      <c r="R2830" s="46" t="n"/>
      <c r="S2830" s="46" t="n"/>
      <c r="T2830" s="46" t="n"/>
      <c r="U2830" s="46" t="n"/>
      <c r="V2830" s="46" t="n"/>
      <c r="W2830" s="46" t="n"/>
      <c r="X2830" s="46" t="n"/>
      <c r="Y2830" s="46" t="n"/>
      <c r="Z2830" s="46" t="n"/>
      <c r="AA2830" s="46" t="n"/>
      <c r="AB2830" s="46" t="n"/>
      <c r="AC2830" s="46" t="n"/>
      <c r="AD2830" s="46" t="n"/>
      <c r="AE2830" s="46" t="n"/>
      <c r="AF2830" s="46" t="n"/>
      <c r="AG2830" s="46" t="n"/>
      <c r="AH2830" s="46" t="n"/>
      <c r="AI2830" s="46" t="n"/>
      <c r="AJ2830" s="46" t="n"/>
      <c r="AK2830" s="46" t="n"/>
      <c r="AL2830" s="46" t="n"/>
      <c r="AM2830" s="46" t="n"/>
      <c r="AN2830" s="46" t="n"/>
      <c r="AO2830" s="46" t="n"/>
      <c r="AP2830" s="46" t="n"/>
      <c r="AQ2830" s="46" t="n"/>
      <c r="AR2830" s="46" t="n"/>
      <c r="AS2830" s="46" t="n"/>
      <c r="AV2830" s="36">
        <f>IF($C2830="","",EMPLOYES!M50)</f>
        <v/>
      </c>
      <c r="AW2830" s="36">
        <f>IF($C2830="",0,SUMPRODUCT(--(O2830:AS2830="C")))</f>
        <v/>
      </c>
      <c r="AX2830" s="36">
        <f>IF($C2830="",0,SUMPRODUCT(--(O2830:AS2830="R")))</f>
        <v/>
      </c>
      <c r="AY2830" s="44" t="n"/>
    </row>
    <row r="2831" hidden="1" outlineLevel="1" ht="15" customHeight="1" s="15">
      <c r="B2831" s="41" t="n">
        <v>12</v>
      </c>
      <c r="C2831" s="42">
        <f>IF(EMPLOYES!C51="","",EMPLOYES!C51)</f>
        <v/>
      </c>
      <c r="D2831" s="43">
        <f>IF(EMPLOYES!C51="","",EMPLOYES!D51)</f>
        <v/>
      </c>
      <c r="E2831" s="44" t="n"/>
      <c r="F2831" s="42" t="n"/>
      <c r="G2831" s="41">
        <f>IF($C2831="",0,MAX(0,$M2831-$N2831))</f>
        <v/>
      </c>
      <c r="H2831" s="45" t="n"/>
      <c r="I2831" s="41">
        <f>IF($C2831="","",IF(H2831="","OK",IF(H2831&gt;EMPLOYES!P51,"⚠ Avance &gt; salaire",IF(H2831&gt;EMPLOYES!P51*PARAMETRES!$C$218,"⚠ Avance élevée","OK"))))</f>
        <v/>
      </c>
      <c r="J2831" s="45" t="n"/>
      <c r="K2831" s="46" t="n"/>
      <c r="L2831" s="46" t="n"/>
      <c r="M2831" s="41">
        <f>IF($C2831="","",SUMPRODUCT((PARAMETRES!$B$38:$B$157=PARAMETRES!$C$29)*(PARAMETRES!$C$38:$C$157=12)*(IF(EMPLOYES!M51="5j",PARAMETRES!$I$38:$I$157,PARAMETRES!$H$38:$H$157))))</f>
        <v/>
      </c>
      <c r="N2831" s="41">
        <f>IF($C2831="","",SUMPRODUCT((O2831:AS2831="P")+(O2831:AS2831="F")+(O2831:AS2831="C")+0.5*(O2831:AS2831="D"),(1-((O2792:AS2792=6)*(EMPLOYES!M51="5j")))))</f>
        <v/>
      </c>
      <c r="O2831" s="46" t="n"/>
      <c r="P2831" s="46" t="n"/>
      <c r="Q2831" s="46" t="n"/>
      <c r="R2831" s="46" t="n"/>
      <c r="S2831" s="46" t="n"/>
      <c r="T2831" s="46" t="n"/>
      <c r="U2831" s="46" t="n"/>
      <c r="V2831" s="46" t="n"/>
      <c r="W2831" s="46" t="n"/>
      <c r="X2831" s="46" t="n"/>
      <c r="Y2831" s="46" t="n"/>
      <c r="Z2831" s="46" t="n"/>
      <c r="AA2831" s="46" t="n"/>
      <c r="AB2831" s="46" t="n"/>
      <c r="AC2831" s="46" t="n"/>
      <c r="AD2831" s="46" t="n"/>
      <c r="AE2831" s="46" t="n"/>
      <c r="AF2831" s="46" t="n"/>
      <c r="AG2831" s="46" t="n"/>
      <c r="AH2831" s="46" t="n"/>
      <c r="AI2831" s="46" t="n"/>
      <c r="AJ2831" s="46" t="n"/>
      <c r="AK2831" s="46" t="n"/>
      <c r="AL2831" s="46" t="n"/>
      <c r="AM2831" s="46" t="n"/>
      <c r="AN2831" s="46" t="n"/>
      <c r="AO2831" s="46" t="n"/>
      <c r="AP2831" s="46" t="n"/>
      <c r="AQ2831" s="46" t="n"/>
      <c r="AR2831" s="46" t="n"/>
      <c r="AS2831" s="46" t="n"/>
      <c r="AV2831" s="36">
        <f>IF($C2831="","",EMPLOYES!M51)</f>
        <v/>
      </c>
      <c r="AW2831" s="36">
        <f>IF($C2831="",0,SUMPRODUCT(--(O2831:AS2831="C")))</f>
        <v/>
      </c>
      <c r="AX2831" s="36">
        <f>IF($C2831="",0,SUMPRODUCT(--(O2831:AS2831="R")))</f>
        <v/>
      </c>
      <c r="AY2831" s="44" t="n"/>
    </row>
    <row r="2832" hidden="1" outlineLevel="1" ht="15" customHeight="1" s="15">
      <c r="B2832" s="41" t="n">
        <v>12</v>
      </c>
      <c r="C2832" s="42">
        <f>IF(EMPLOYES!C52="","",EMPLOYES!C52)</f>
        <v/>
      </c>
      <c r="D2832" s="43">
        <f>IF(EMPLOYES!C52="","",EMPLOYES!D52)</f>
        <v/>
      </c>
      <c r="E2832" s="44" t="n"/>
      <c r="F2832" s="42" t="n"/>
      <c r="G2832" s="41">
        <f>IF($C2832="",0,MAX(0,$M2832-$N2832))</f>
        <v/>
      </c>
      <c r="H2832" s="45" t="n"/>
      <c r="I2832" s="41">
        <f>IF($C2832="","",IF(H2832="","OK",IF(H2832&gt;EMPLOYES!P52,"⚠ Avance &gt; salaire",IF(H2832&gt;EMPLOYES!P52*PARAMETRES!$C$218,"⚠ Avance élevée","OK"))))</f>
        <v/>
      </c>
      <c r="J2832" s="45" t="n"/>
      <c r="K2832" s="46" t="n"/>
      <c r="L2832" s="46" t="n"/>
      <c r="M2832" s="41">
        <f>IF($C2832="","",SUMPRODUCT((PARAMETRES!$B$38:$B$157=PARAMETRES!$C$29)*(PARAMETRES!$C$38:$C$157=12)*(IF(EMPLOYES!M52="5j",PARAMETRES!$I$38:$I$157,PARAMETRES!$H$38:$H$157))))</f>
        <v/>
      </c>
      <c r="N2832" s="41">
        <f>IF($C2832="","",SUMPRODUCT((O2832:AS2832="P")+(O2832:AS2832="F")+(O2832:AS2832="C")+0.5*(O2832:AS2832="D"),(1-((O2792:AS2792=6)*(EMPLOYES!M52="5j")))))</f>
        <v/>
      </c>
      <c r="O2832" s="46" t="n"/>
      <c r="P2832" s="46" t="n"/>
      <c r="Q2832" s="46" t="n"/>
      <c r="R2832" s="46" t="n"/>
      <c r="S2832" s="46" t="n"/>
      <c r="T2832" s="46" t="n"/>
      <c r="U2832" s="46" t="n"/>
      <c r="V2832" s="46" t="n"/>
      <c r="W2832" s="46" t="n"/>
      <c r="X2832" s="46" t="n"/>
      <c r="Y2832" s="46" t="n"/>
      <c r="Z2832" s="46" t="n"/>
      <c r="AA2832" s="46" t="n"/>
      <c r="AB2832" s="46" t="n"/>
      <c r="AC2832" s="46" t="n"/>
      <c r="AD2832" s="46" t="n"/>
      <c r="AE2832" s="46" t="n"/>
      <c r="AF2832" s="46" t="n"/>
      <c r="AG2832" s="46" t="n"/>
      <c r="AH2832" s="46" t="n"/>
      <c r="AI2832" s="46" t="n"/>
      <c r="AJ2832" s="46" t="n"/>
      <c r="AK2832" s="46" t="n"/>
      <c r="AL2832" s="46" t="n"/>
      <c r="AM2832" s="46" t="n"/>
      <c r="AN2832" s="46" t="n"/>
      <c r="AO2832" s="46" t="n"/>
      <c r="AP2832" s="46" t="n"/>
      <c r="AQ2832" s="46" t="n"/>
      <c r="AR2832" s="46" t="n"/>
      <c r="AS2832" s="46" t="n"/>
      <c r="AV2832" s="36">
        <f>IF($C2832="","",EMPLOYES!M52)</f>
        <v/>
      </c>
      <c r="AW2832" s="36">
        <f>IF($C2832="",0,SUMPRODUCT(--(O2832:AS2832="C")))</f>
        <v/>
      </c>
      <c r="AX2832" s="36">
        <f>IF($C2832="",0,SUMPRODUCT(--(O2832:AS2832="R")))</f>
        <v/>
      </c>
      <c r="AY2832" s="44" t="n"/>
    </row>
    <row r="2833" hidden="1" outlineLevel="1" ht="15" customHeight="1" s="15">
      <c r="B2833" s="41" t="n">
        <v>12</v>
      </c>
      <c r="C2833" s="42">
        <f>IF(EMPLOYES!C53="","",EMPLOYES!C53)</f>
        <v/>
      </c>
      <c r="D2833" s="43">
        <f>IF(EMPLOYES!C53="","",EMPLOYES!D53)</f>
        <v/>
      </c>
      <c r="E2833" s="44" t="n"/>
      <c r="F2833" s="42" t="n"/>
      <c r="G2833" s="41">
        <f>IF($C2833="",0,MAX(0,$M2833-$N2833))</f>
        <v/>
      </c>
      <c r="H2833" s="45" t="n"/>
      <c r="I2833" s="41">
        <f>IF($C2833="","",IF(H2833="","OK",IF(H2833&gt;EMPLOYES!P53,"⚠ Avance &gt; salaire",IF(H2833&gt;EMPLOYES!P53*PARAMETRES!$C$218,"⚠ Avance élevée","OK"))))</f>
        <v/>
      </c>
      <c r="J2833" s="45" t="n"/>
      <c r="K2833" s="46" t="n"/>
      <c r="L2833" s="46" t="n"/>
      <c r="M2833" s="41">
        <f>IF($C2833="","",SUMPRODUCT((PARAMETRES!$B$38:$B$157=PARAMETRES!$C$29)*(PARAMETRES!$C$38:$C$157=12)*(IF(EMPLOYES!M53="5j",PARAMETRES!$I$38:$I$157,PARAMETRES!$H$38:$H$157))))</f>
        <v/>
      </c>
      <c r="N2833" s="41">
        <f>IF($C2833="","",SUMPRODUCT((O2833:AS2833="P")+(O2833:AS2833="F")+(O2833:AS2833="C")+0.5*(O2833:AS2833="D"),(1-((O2792:AS2792=6)*(EMPLOYES!M53="5j")))))</f>
        <v/>
      </c>
      <c r="O2833" s="46" t="n"/>
      <c r="P2833" s="46" t="n"/>
      <c r="Q2833" s="46" t="n"/>
      <c r="R2833" s="46" t="n"/>
      <c r="S2833" s="46" t="n"/>
      <c r="T2833" s="46" t="n"/>
      <c r="U2833" s="46" t="n"/>
      <c r="V2833" s="46" t="n"/>
      <c r="W2833" s="46" t="n"/>
      <c r="X2833" s="46" t="n"/>
      <c r="Y2833" s="46" t="n"/>
      <c r="Z2833" s="46" t="n"/>
      <c r="AA2833" s="46" t="n"/>
      <c r="AB2833" s="46" t="n"/>
      <c r="AC2833" s="46" t="n"/>
      <c r="AD2833" s="46" t="n"/>
      <c r="AE2833" s="46" t="n"/>
      <c r="AF2833" s="46" t="n"/>
      <c r="AG2833" s="46" t="n"/>
      <c r="AH2833" s="46" t="n"/>
      <c r="AI2833" s="46" t="n"/>
      <c r="AJ2833" s="46" t="n"/>
      <c r="AK2833" s="46" t="n"/>
      <c r="AL2833" s="46" t="n"/>
      <c r="AM2833" s="46" t="n"/>
      <c r="AN2833" s="46" t="n"/>
      <c r="AO2833" s="46" t="n"/>
      <c r="AP2833" s="46" t="n"/>
      <c r="AQ2833" s="46" t="n"/>
      <c r="AR2833" s="46" t="n"/>
      <c r="AS2833" s="46" t="n"/>
      <c r="AV2833" s="36">
        <f>IF($C2833="","",EMPLOYES!M53)</f>
        <v/>
      </c>
      <c r="AW2833" s="36">
        <f>IF($C2833="",0,SUMPRODUCT(--(O2833:AS2833="C")))</f>
        <v/>
      </c>
      <c r="AX2833" s="36">
        <f>IF($C2833="",0,SUMPRODUCT(--(O2833:AS2833="R")))</f>
        <v/>
      </c>
      <c r="AY2833" s="44" t="n"/>
    </row>
    <row r="2834" hidden="1" outlineLevel="1" ht="15" customHeight="1" s="15">
      <c r="B2834" s="41" t="n">
        <v>12</v>
      </c>
      <c r="C2834" s="42">
        <f>IF(EMPLOYES!C54="","",EMPLOYES!C54)</f>
        <v/>
      </c>
      <c r="D2834" s="43">
        <f>IF(EMPLOYES!C54="","",EMPLOYES!D54)</f>
        <v/>
      </c>
      <c r="E2834" s="44" t="n"/>
      <c r="F2834" s="42" t="n"/>
      <c r="G2834" s="41">
        <f>IF($C2834="",0,MAX(0,$M2834-$N2834))</f>
        <v/>
      </c>
      <c r="H2834" s="45" t="n"/>
      <c r="I2834" s="41">
        <f>IF($C2834="","",IF(H2834="","OK",IF(H2834&gt;EMPLOYES!P54,"⚠ Avance &gt; salaire",IF(H2834&gt;EMPLOYES!P54*PARAMETRES!$C$218,"⚠ Avance élevée","OK"))))</f>
        <v/>
      </c>
      <c r="J2834" s="45" t="n"/>
      <c r="K2834" s="46" t="n"/>
      <c r="L2834" s="46" t="n"/>
      <c r="M2834" s="41">
        <f>IF($C2834="","",SUMPRODUCT((PARAMETRES!$B$38:$B$157=PARAMETRES!$C$29)*(PARAMETRES!$C$38:$C$157=12)*(IF(EMPLOYES!M54="5j",PARAMETRES!$I$38:$I$157,PARAMETRES!$H$38:$H$157))))</f>
        <v/>
      </c>
      <c r="N2834" s="41">
        <f>IF($C2834="","",SUMPRODUCT((O2834:AS2834="P")+(O2834:AS2834="F")+(O2834:AS2834="C")+0.5*(O2834:AS2834="D"),(1-((O2792:AS2792=6)*(EMPLOYES!M54="5j")))))</f>
        <v/>
      </c>
      <c r="O2834" s="46" t="n"/>
      <c r="P2834" s="46" t="n"/>
      <c r="Q2834" s="46" t="n"/>
      <c r="R2834" s="46" t="n"/>
      <c r="S2834" s="46" t="n"/>
      <c r="T2834" s="46" t="n"/>
      <c r="U2834" s="46" t="n"/>
      <c r="V2834" s="46" t="n"/>
      <c r="W2834" s="46" t="n"/>
      <c r="X2834" s="46" t="n"/>
      <c r="Y2834" s="46" t="n"/>
      <c r="Z2834" s="46" t="n"/>
      <c r="AA2834" s="46" t="n"/>
      <c r="AB2834" s="46" t="n"/>
      <c r="AC2834" s="46" t="n"/>
      <c r="AD2834" s="46" t="n"/>
      <c r="AE2834" s="46" t="n"/>
      <c r="AF2834" s="46" t="n"/>
      <c r="AG2834" s="46" t="n"/>
      <c r="AH2834" s="46" t="n"/>
      <c r="AI2834" s="46" t="n"/>
      <c r="AJ2834" s="46" t="n"/>
      <c r="AK2834" s="46" t="n"/>
      <c r="AL2834" s="46" t="n"/>
      <c r="AM2834" s="46" t="n"/>
      <c r="AN2834" s="46" t="n"/>
      <c r="AO2834" s="46" t="n"/>
      <c r="AP2834" s="46" t="n"/>
      <c r="AQ2834" s="46" t="n"/>
      <c r="AR2834" s="46" t="n"/>
      <c r="AS2834" s="46" t="n"/>
      <c r="AV2834" s="36">
        <f>IF($C2834="","",EMPLOYES!M54)</f>
        <v/>
      </c>
      <c r="AW2834" s="36">
        <f>IF($C2834="",0,SUMPRODUCT(--(O2834:AS2834="C")))</f>
        <v/>
      </c>
      <c r="AX2834" s="36">
        <f>IF($C2834="",0,SUMPRODUCT(--(O2834:AS2834="R")))</f>
        <v/>
      </c>
      <c r="AY2834" s="44" t="n"/>
    </row>
    <row r="2835" hidden="1" outlineLevel="1" ht="15" customHeight="1" s="15">
      <c r="B2835" s="41" t="n">
        <v>12</v>
      </c>
      <c r="C2835" s="42">
        <f>IF(EMPLOYES!C55="","",EMPLOYES!C55)</f>
        <v/>
      </c>
      <c r="D2835" s="43">
        <f>IF(EMPLOYES!C55="","",EMPLOYES!D55)</f>
        <v/>
      </c>
      <c r="E2835" s="44" t="n"/>
      <c r="F2835" s="42" t="n"/>
      <c r="G2835" s="41">
        <f>IF($C2835="",0,MAX(0,$M2835-$N2835))</f>
        <v/>
      </c>
      <c r="H2835" s="45" t="n"/>
      <c r="I2835" s="41">
        <f>IF($C2835="","",IF(H2835="","OK",IF(H2835&gt;EMPLOYES!P55,"⚠ Avance &gt; salaire",IF(H2835&gt;EMPLOYES!P55*PARAMETRES!$C$218,"⚠ Avance élevée","OK"))))</f>
        <v/>
      </c>
      <c r="J2835" s="45" t="n"/>
      <c r="K2835" s="46" t="n"/>
      <c r="L2835" s="46" t="n"/>
      <c r="M2835" s="41">
        <f>IF($C2835="","",SUMPRODUCT((PARAMETRES!$B$38:$B$157=PARAMETRES!$C$29)*(PARAMETRES!$C$38:$C$157=12)*(IF(EMPLOYES!M55="5j",PARAMETRES!$I$38:$I$157,PARAMETRES!$H$38:$H$157))))</f>
        <v/>
      </c>
      <c r="N2835" s="41">
        <f>IF($C2835="","",SUMPRODUCT((O2835:AS2835="P")+(O2835:AS2835="F")+(O2835:AS2835="C")+0.5*(O2835:AS2835="D"),(1-((O2792:AS2792=6)*(EMPLOYES!M55="5j")))))</f>
        <v/>
      </c>
      <c r="O2835" s="46" t="n"/>
      <c r="P2835" s="46" t="n"/>
      <c r="Q2835" s="46" t="n"/>
      <c r="R2835" s="46" t="n"/>
      <c r="S2835" s="46" t="n"/>
      <c r="T2835" s="46" t="n"/>
      <c r="U2835" s="46" t="n"/>
      <c r="V2835" s="46" t="n"/>
      <c r="W2835" s="46" t="n"/>
      <c r="X2835" s="46" t="n"/>
      <c r="Y2835" s="46" t="n"/>
      <c r="Z2835" s="46" t="n"/>
      <c r="AA2835" s="46" t="n"/>
      <c r="AB2835" s="46" t="n"/>
      <c r="AC2835" s="46" t="n"/>
      <c r="AD2835" s="46" t="n"/>
      <c r="AE2835" s="46" t="n"/>
      <c r="AF2835" s="46" t="n"/>
      <c r="AG2835" s="46" t="n"/>
      <c r="AH2835" s="46" t="n"/>
      <c r="AI2835" s="46" t="n"/>
      <c r="AJ2835" s="46" t="n"/>
      <c r="AK2835" s="46" t="n"/>
      <c r="AL2835" s="46" t="n"/>
      <c r="AM2835" s="46" t="n"/>
      <c r="AN2835" s="46" t="n"/>
      <c r="AO2835" s="46" t="n"/>
      <c r="AP2835" s="46" t="n"/>
      <c r="AQ2835" s="46" t="n"/>
      <c r="AR2835" s="46" t="n"/>
      <c r="AS2835" s="46" t="n"/>
      <c r="AV2835" s="36">
        <f>IF($C2835="","",EMPLOYES!M55)</f>
        <v/>
      </c>
      <c r="AW2835" s="36">
        <f>IF($C2835="",0,SUMPRODUCT(--(O2835:AS2835="C")))</f>
        <v/>
      </c>
      <c r="AX2835" s="36">
        <f>IF($C2835="",0,SUMPRODUCT(--(O2835:AS2835="R")))</f>
        <v/>
      </c>
      <c r="AY2835" s="44" t="n"/>
    </row>
    <row r="2836" hidden="1" outlineLevel="1" ht="15" customHeight="1" s="15">
      <c r="B2836" s="41" t="n">
        <v>12</v>
      </c>
      <c r="C2836" s="42">
        <f>IF(EMPLOYES!C56="","",EMPLOYES!C56)</f>
        <v/>
      </c>
      <c r="D2836" s="43">
        <f>IF(EMPLOYES!C56="","",EMPLOYES!D56)</f>
        <v/>
      </c>
      <c r="E2836" s="44" t="n"/>
      <c r="F2836" s="42" t="n"/>
      <c r="G2836" s="41">
        <f>IF($C2836="",0,MAX(0,$M2836-$N2836))</f>
        <v/>
      </c>
      <c r="H2836" s="45" t="n"/>
      <c r="I2836" s="41">
        <f>IF($C2836="","",IF(H2836="","OK",IF(H2836&gt;EMPLOYES!P56,"⚠ Avance &gt; salaire",IF(H2836&gt;EMPLOYES!P56*PARAMETRES!$C$218,"⚠ Avance élevée","OK"))))</f>
        <v/>
      </c>
      <c r="J2836" s="45" t="n"/>
      <c r="K2836" s="46" t="n"/>
      <c r="L2836" s="46" t="n"/>
      <c r="M2836" s="41">
        <f>IF($C2836="","",SUMPRODUCT((PARAMETRES!$B$38:$B$157=PARAMETRES!$C$29)*(PARAMETRES!$C$38:$C$157=12)*(IF(EMPLOYES!M56="5j",PARAMETRES!$I$38:$I$157,PARAMETRES!$H$38:$H$157))))</f>
        <v/>
      </c>
      <c r="N2836" s="41">
        <f>IF($C2836="","",SUMPRODUCT((O2836:AS2836="P")+(O2836:AS2836="F")+(O2836:AS2836="C")+0.5*(O2836:AS2836="D"),(1-((O2792:AS2792=6)*(EMPLOYES!M56="5j")))))</f>
        <v/>
      </c>
      <c r="O2836" s="46" t="n"/>
      <c r="P2836" s="46" t="n"/>
      <c r="Q2836" s="46" t="n"/>
      <c r="R2836" s="46" t="n"/>
      <c r="S2836" s="46" t="n"/>
      <c r="T2836" s="46" t="n"/>
      <c r="U2836" s="46" t="n"/>
      <c r="V2836" s="46" t="n"/>
      <c r="W2836" s="46" t="n"/>
      <c r="X2836" s="46" t="n"/>
      <c r="Y2836" s="46" t="n"/>
      <c r="Z2836" s="46" t="n"/>
      <c r="AA2836" s="46" t="n"/>
      <c r="AB2836" s="46" t="n"/>
      <c r="AC2836" s="46" t="n"/>
      <c r="AD2836" s="46" t="n"/>
      <c r="AE2836" s="46" t="n"/>
      <c r="AF2836" s="46" t="n"/>
      <c r="AG2836" s="46" t="n"/>
      <c r="AH2836" s="46" t="n"/>
      <c r="AI2836" s="46" t="n"/>
      <c r="AJ2836" s="46" t="n"/>
      <c r="AK2836" s="46" t="n"/>
      <c r="AL2836" s="46" t="n"/>
      <c r="AM2836" s="46" t="n"/>
      <c r="AN2836" s="46" t="n"/>
      <c r="AO2836" s="46" t="n"/>
      <c r="AP2836" s="46" t="n"/>
      <c r="AQ2836" s="46" t="n"/>
      <c r="AR2836" s="46" t="n"/>
      <c r="AS2836" s="46" t="n"/>
      <c r="AV2836" s="36">
        <f>IF($C2836="","",EMPLOYES!M56)</f>
        <v/>
      </c>
      <c r="AW2836" s="36">
        <f>IF($C2836="",0,SUMPRODUCT(--(O2836:AS2836="C")))</f>
        <v/>
      </c>
      <c r="AX2836" s="36">
        <f>IF($C2836="",0,SUMPRODUCT(--(O2836:AS2836="R")))</f>
        <v/>
      </c>
      <c r="AY2836" s="44" t="n"/>
    </row>
    <row r="2837" hidden="1" outlineLevel="1" ht="15" customHeight="1" s="15">
      <c r="B2837" s="41" t="n">
        <v>12</v>
      </c>
      <c r="C2837" s="42">
        <f>IF(EMPLOYES!C57="","",EMPLOYES!C57)</f>
        <v/>
      </c>
      <c r="D2837" s="43">
        <f>IF(EMPLOYES!C57="","",EMPLOYES!D57)</f>
        <v/>
      </c>
      <c r="E2837" s="44" t="n"/>
      <c r="F2837" s="42" t="n"/>
      <c r="G2837" s="41">
        <f>IF($C2837="",0,MAX(0,$M2837-$N2837))</f>
        <v/>
      </c>
      <c r="H2837" s="45" t="n"/>
      <c r="I2837" s="41">
        <f>IF($C2837="","",IF(H2837="","OK",IF(H2837&gt;EMPLOYES!P57,"⚠ Avance &gt; salaire",IF(H2837&gt;EMPLOYES!P57*PARAMETRES!$C$218,"⚠ Avance élevée","OK"))))</f>
        <v/>
      </c>
      <c r="J2837" s="45" t="n"/>
      <c r="K2837" s="46" t="n"/>
      <c r="L2837" s="46" t="n"/>
      <c r="M2837" s="41">
        <f>IF($C2837="","",SUMPRODUCT((PARAMETRES!$B$38:$B$157=PARAMETRES!$C$29)*(PARAMETRES!$C$38:$C$157=12)*(IF(EMPLOYES!M57="5j",PARAMETRES!$I$38:$I$157,PARAMETRES!$H$38:$H$157))))</f>
        <v/>
      </c>
      <c r="N2837" s="41">
        <f>IF($C2837="","",SUMPRODUCT((O2837:AS2837="P")+(O2837:AS2837="F")+(O2837:AS2837="C")+0.5*(O2837:AS2837="D"),(1-((O2792:AS2792=6)*(EMPLOYES!M57="5j")))))</f>
        <v/>
      </c>
      <c r="O2837" s="46" t="n"/>
      <c r="P2837" s="46" t="n"/>
      <c r="Q2837" s="46" t="n"/>
      <c r="R2837" s="46" t="n"/>
      <c r="S2837" s="46" t="n"/>
      <c r="T2837" s="46" t="n"/>
      <c r="U2837" s="46" t="n"/>
      <c r="V2837" s="46" t="n"/>
      <c r="W2837" s="46" t="n"/>
      <c r="X2837" s="46" t="n"/>
      <c r="Y2837" s="46" t="n"/>
      <c r="Z2837" s="46" t="n"/>
      <c r="AA2837" s="46" t="n"/>
      <c r="AB2837" s="46" t="n"/>
      <c r="AC2837" s="46" t="n"/>
      <c r="AD2837" s="46" t="n"/>
      <c r="AE2837" s="46" t="n"/>
      <c r="AF2837" s="46" t="n"/>
      <c r="AG2837" s="46" t="n"/>
      <c r="AH2837" s="46" t="n"/>
      <c r="AI2837" s="46" t="n"/>
      <c r="AJ2837" s="46" t="n"/>
      <c r="AK2837" s="46" t="n"/>
      <c r="AL2837" s="46" t="n"/>
      <c r="AM2837" s="46" t="n"/>
      <c r="AN2837" s="46" t="n"/>
      <c r="AO2837" s="46" t="n"/>
      <c r="AP2837" s="46" t="n"/>
      <c r="AQ2837" s="46" t="n"/>
      <c r="AR2837" s="46" t="n"/>
      <c r="AS2837" s="46" t="n"/>
      <c r="AV2837" s="36">
        <f>IF($C2837="","",EMPLOYES!M57)</f>
        <v/>
      </c>
      <c r="AW2837" s="36">
        <f>IF($C2837="",0,SUMPRODUCT(--(O2837:AS2837="C")))</f>
        <v/>
      </c>
      <c r="AX2837" s="36">
        <f>IF($C2837="",0,SUMPRODUCT(--(O2837:AS2837="R")))</f>
        <v/>
      </c>
      <c r="AY2837" s="44" t="n"/>
    </row>
    <row r="2838" hidden="1" outlineLevel="1" ht="15" customHeight="1" s="15">
      <c r="B2838" s="41" t="n">
        <v>12</v>
      </c>
      <c r="C2838" s="42">
        <f>IF(EMPLOYES!C58="","",EMPLOYES!C58)</f>
        <v/>
      </c>
      <c r="D2838" s="43">
        <f>IF(EMPLOYES!C58="","",EMPLOYES!D58)</f>
        <v/>
      </c>
      <c r="E2838" s="44" t="n"/>
      <c r="F2838" s="42" t="n"/>
      <c r="G2838" s="41">
        <f>IF($C2838="",0,MAX(0,$M2838-$N2838))</f>
        <v/>
      </c>
      <c r="H2838" s="45" t="n"/>
      <c r="I2838" s="41">
        <f>IF($C2838="","",IF(H2838="","OK",IF(H2838&gt;EMPLOYES!P58,"⚠ Avance &gt; salaire",IF(H2838&gt;EMPLOYES!P58*PARAMETRES!$C$218,"⚠ Avance élevée","OK"))))</f>
        <v/>
      </c>
      <c r="J2838" s="45" t="n"/>
      <c r="K2838" s="46" t="n"/>
      <c r="L2838" s="46" t="n"/>
      <c r="M2838" s="41">
        <f>IF($C2838="","",SUMPRODUCT((PARAMETRES!$B$38:$B$157=PARAMETRES!$C$29)*(PARAMETRES!$C$38:$C$157=12)*(IF(EMPLOYES!M58="5j",PARAMETRES!$I$38:$I$157,PARAMETRES!$H$38:$H$157))))</f>
        <v/>
      </c>
      <c r="N2838" s="41">
        <f>IF($C2838="","",SUMPRODUCT((O2838:AS2838="P")+(O2838:AS2838="F")+(O2838:AS2838="C")+0.5*(O2838:AS2838="D"),(1-((O2792:AS2792=6)*(EMPLOYES!M58="5j")))))</f>
        <v/>
      </c>
      <c r="O2838" s="46" t="n"/>
      <c r="P2838" s="46" t="n"/>
      <c r="Q2838" s="46" t="n"/>
      <c r="R2838" s="46" t="n"/>
      <c r="S2838" s="46" t="n"/>
      <c r="T2838" s="46" t="n"/>
      <c r="U2838" s="46" t="n"/>
      <c r="V2838" s="46" t="n"/>
      <c r="W2838" s="46" t="n"/>
      <c r="X2838" s="46" t="n"/>
      <c r="Y2838" s="46" t="n"/>
      <c r="Z2838" s="46" t="n"/>
      <c r="AA2838" s="46" t="n"/>
      <c r="AB2838" s="46" t="n"/>
      <c r="AC2838" s="46" t="n"/>
      <c r="AD2838" s="46" t="n"/>
      <c r="AE2838" s="46" t="n"/>
      <c r="AF2838" s="46" t="n"/>
      <c r="AG2838" s="46" t="n"/>
      <c r="AH2838" s="46" t="n"/>
      <c r="AI2838" s="46" t="n"/>
      <c r="AJ2838" s="46" t="n"/>
      <c r="AK2838" s="46" t="n"/>
      <c r="AL2838" s="46" t="n"/>
      <c r="AM2838" s="46" t="n"/>
      <c r="AN2838" s="46" t="n"/>
      <c r="AO2838" s="46" t="n"/>
      <c r="AP2838" s="46" t="n"/>
      <c r="AQ2838" s="46" t="n"/>
      <c r="AR2838" s="46" t="n"/>
      <c r="AS2838" s="46" t="n"/>
      <c r="AV2838" s="36">
        <f>IF($C2838="","",EMPLOYES!M58)</f>
        <v/>
      </c>
      <c r="AW2838" s="36">
        <f>IF($C2838="",0,SUMPRODUCT(--(O2838:AS2838="C")))</f>
        <v/>
      </c>
      <c r="AX2838" s="36">
        <f>IF($C2838="",0,SUMPRODUCT(--(O2838:AS2838="R")))</f>
        <v/>
      </c>
      <c r="AY2838" s="44" t="n"/>
    </row>
    <row r="2839" hidden="1" outlineLevel="1" ht="15" customHeight="1" s="15">
      <c r="B2839" s="41" t="n">
        <v>12</v>
      </c>
      <c r="C2839" s="42">
        <f>IF(EMPLOYES!C59="","",EMPLOYES!C59)</f>
        <v/>
      </c>
      <c r="D2839" s="43">
        <f>IF(EMPLOYES!C59="","",EMPLOYES!D59)</f>
        <v/>
      </c>
      <c r="E2839" s="44" t="n"/>
      <c r="F2839" s="42" t="n"/>
      <c r="G2839" s="41">
        <f>IF($C2839="",0,MAX(0,$M2839-$N2839))</f>
        <v/>
      </c>
      <c r="H2839" s="45" t="n"/>
      <c r="I2839" s="41">
        <f>IF($C2839="","",IF(H2839="","OK",IF(H2839&gt;EMPLOYES!P59,"⚠ Avance &gt; salaire",IF(H2839&gt;EMPLOYES!P59*PARAMETRES!$C$218,"⚠ Avance élevée","OK"))))</f>
        <v/>
      </c>
      <c r="J2839" s="45" t="n"/>
      <c r="K2839" s="46" t="n"/>
      <c r="L2839" s="46" t="n"/>
      <c r="M2839" s="41">
        <f>IF($C2839="","",SUMPRODUCT((PARAMETRES!$B$38:$B$157=PARAMETRES!$C$29)*(PARAMETRES!$C$38:$C$157=12)*(IF(EMPLOYES!M59="5j",PARAMETRES!$I$38:$I$157,PARAMETRES!$H$38:$H$157))))</f>
        <v/>
      </c>
      <c r="N2839" s="41">
        <f>IF($C2839="","",SUMPRODUCT((O2839:AS2839="P")+(O2839:AS2839="F")+(O2839:AS2839="C")+0.5*(O2839:AS2839="D"),(1-((O2792:AS2792=6)*(EMPLOYES!M59="5j")))))</f>
        <v/>
      </c>
      <c r="O2839" s="46" t="n"/>
      <c r="P2839" s="46" t="n"/>
      <c r="Q2839" s="46" t="n"/>
      <c r="R2839" s="46" t="n"/>
      <c r="S2839" s="46" t="n"/>
      <c r="T2839" s="46" t="n"/>
      <c r="U2839" s="46" t="n"/>
      <c r="V2839" s="46" t="n"/>
      <c r="W2839" s="46" t="n"/>
      <c r="X2839" s="46" t="n"/>
      <c r="Y2839" s="46" t="n"/>
      <c r="Z2839" s="46" t="n"/>
      <c r="AA2839" s="46" t="n"/>
      <c r="AB2839" s="46" t="n"/>
      <c r="AC2839" s="46" t="n"/>
      <c r="AD2839" s="46" t="n"/>
      <c r="AE2839" s="46" t="n"/>
      <c r="AF2839" s="46" t="n"/>
      <c r="AG2839" s="46" t="n"/>
      <c r="AH2839" s="46" t="n"/>
      <c r="AI2839" s="46" t="n"/>
      <c r="AJ2839" s="46" t="n"/>
      <c r="AK2839" s="46" t="n"/>
      <c r="AL2839" s="46" t="n"/>
      <c r="AM2839" s="46" t="n"/>
      <c r="AN2839" s="46" t="n"/>
      <c r="AO2839" s="46" t="n"/>
      <c r="AP2839" s="46" t="n"/>
      <c r="AQ2839" s="46" t="n"/>
      <c r="AR2839" s="46" t="n"/>
      <c r="AS2839" s="46" t="n"/>
      <c r="AV2839" s="36">
        <f>IF($C2839="","",EMPLOYES!M59)</f>
        <v/>
      </c>
      <c r="AW2839" s="36">
        <f>IF($C2839="",0,SUMPRODUCT(--(O2839:AS2839="C")))</f>
        <v/>
      </c>
      <c r="AX2839" s="36">
        <f>IF($C2839="",0,SUMPRODUCT(--(O2839:AS2839="R")))</f>
        <v/>
      </c>
      <c r="AY2839" s="44" t="n"/>
    </row>
    <row r="2840" hidden="1" outlineLevel="1" ht="15" customHeight="1" s="15">
      <c r="B2840" s="41" t="n">
        <v>12</v>
      </c>
      <c r="C2840" s="42">
        <f>IF(EMPLOYES!C60="","",EMPLOYES!C60)</f>
        <v/>
      </c>
      <c r="D2840" s="43">
        <f>IF(EMPLOYES!C60="","",EMPLOYES!D60)</f>
        <v/>
      </c>
      <c r="E2840" s="44" t="n"/>
      <c r="F2840" s="42" t="n"/>
      <c r="G2840" s="41">
        <f>IF($C2840="",0,MAX(0,$M2840-$N2840))</f>
        <v/>
      </c>
      <c r="H2840" s="45" t="n"/>
      <c r="I2840" s="41">
        <f>IF($C2840="","",IF(H2840="","OK",IF(H2840&gt;EMPLOYES!P60,"⚠ Avance &gt; salaire",IF(H2840&gt;EMPLOYES!P60*PARAMETRES!$C$218,"⚠ Avance élevée","OK"))))</f>
        <v/>
      </c>
      <c r="J2840" s="45" t="n"/>
      <c r="K2840" s="46" t="n"/>
      <c r="L2840" s="46" t="n"/>
      <c r="M2840" s="41">
        <f>IF($C2840="","",SUMPRODUCT((PARAMETRES!$B$38:$B$157=PARAMETRES!$C$29)*(PARAMETRES!$C$38:$C$157=12)*(IF(EMPLOYES!M60="5j",PARAMETRES!$I$38:$I$157,PARAMETRES!$H$38:$H$157))))</f>
        <v/>
      </c>
      <c r="N2840" s="41">
        <f>IF($C2840="","",SUMPRODUCT((O2840:AS2840="P")+(O2840:AS2840="F")+(O2840:AS2840="C")+0.5*(O2840:AS2840="D"),(1-((O2792:AS2792=6)*(EMPLOYES!M60="5j")))))</f>
        <v/>
      </c>
      <c r="O2840" s="46" t="n"/>
      <c r="P2840" s="46" t="n"/>
      <c r="Q2840" s="46" t="n"/>
      <c r="R2840" s="46" t="n"/>
      <c r="S2840" s="46" t="n"/>
      <c r="T2840" s="46" t="n"/>
      <c r="U2840" s="46" t="n"/>
      <c r="V2840" s="46" t="n"/>
      <c r="W2840" s="46" t="n"/>
      <c r="X2840" s="46" t="n"/>
      <c r="Y2840" s="46" t="n"/>
      <c r="Z2840" s="46" t="n"/>
      <c r="AA2840" s="46" t="n"/>
      <c r="AB2840" s="46" t="n"/>
      <c r="AC2840" s="46" t="n"/>
      <c r="AD2840" s="46" t="n"/>
      <c r="AE2840" s="46" t="n"/>
      <c r="AF2840" s="46" t="n"/>
      <c r="AG2840" s="46" t="n"/>
      <c r="AH2840" s="46" t="n"/>
      <c r="AI2840" s="46" t="n"/>
      <c r="AJ2840" s="46" t="n"/>
      <c r="AK2840" s="46" t="n"/>
      <c r="AL2840" s="46" t="n"/>
      <c r="AM2840" s="46" t="n"/>
      <c r="AN2840" s="46" t="n"/>
      <c r="AO2840" s="46" t="n"/>
      <c r="AP2840" s="46" t="n"/>
      <c r="AQ2840" s="46" t="n"/>
      <c r="AR2840" s="46" t="n"/>
      <c r="AS2840" s="46" t="n"/>
      <c r="AV2840" s="36">
        <f>IF($C2840="","",EMPLOYES!M60)</f>
        <v/>
      </c>
      <c r="AW2840" s="36">
        <f>IF($C2840="",0,SUMPRODUCT(--(O2840:AS2840="C")))</f>
        <v/>
      </c>
      <c r="AX2840" s="36">
        <f>IF($C2840="",0,SUMPRODUCT(--(O2840:AS2840="R")))</f>
        <v/>
      </c>
      <c r="AY2840" s="44" t="n"/>
    </row>
    <row r="2841" hidden="1" outlineLevel="1" ht="15" customHeight="1" s="15">
      <c r="B2841" s="41" t="n">
        <v>12</v>
      </c>
      <c r="C2841" s="42">
        <f>IF(EMPLOYES!C61="","",EMPLOYES!C61)</f>
        <v/>
      </c>
      <c r="D2841" s="43">
        <f>IF(EMPLOYES!C61="","",EMPLOYES!D61)</f>
        <v/>
      </c>
      <c r="E2841" s="44" t="n"/>
      <c r="F2841" s="42" t="n"/>
      <c r="G2841" s="41">
        <f>IF($C2841="",0,MAX(0,$M2841-$N2841))</f>
        <v/>
      </c>
      <c r="H2841" s="45" t="n"/>
      <c r="I2841" s="41">
        <f>IF($C2841="","",IF(H2841="","OK",IF(H2841&gt;EMPLOYES!P61,"⚠ Avance &gt; salaire",IF(H2841&gt;EMPLOYES!P61*PARAMETRES!$C$218,"⚠ Avance élevée","OK"))))</f>
        <v/>
      </c>
      <c r="J2841" s="45" t="n"/>
      <c r="K2841" s="46" t="n"/>
      <c r="L2841" s="46" t="n"/>
      <c r="M2841" s="41">
        <f>IF($C2841="","",SUMPRODUCT((PARAMETRES!$B$38:$B$157=PARAMETRES!$C$29)*(PARAMETRES!$C$38:$C$157=12)*(IF(EMPLOYES!M61="5j",PARAMETRES!$I$38:$I$157,PARAMETRES!$H$38:$H$157))))</f>
        <v/>
      </c>
      <c r="N2841" s="41">
        <f>IF($C2841="","",SUMPRODUCT((O2841:AS2841="P")+(O2841:AS2841="F")+(O2841:AS2841="C")+0.5*(O2841:AS2841="D"),(1-((O2792:AS2792=6)*(EMPLOYES!M61="5j")))))</f>
        <v/>
      </c>
      <c r="O2841" s="46" t="n"/>
      <c r="P2841" s="46" t="n"/>
      <c r="Q2841" s="46" t="n"/>
      <c r="R2841" s="46" t="n"/>
      <c r="S2841" s="46" t="n"/>
      <c r="T2841" s="46" t="n"/>
      <c r="U2841" s="46" t="n"/>
      <c r="V2841" s="46" t="n"/>
      <c r="W2841" s="46" t="n"/>
      <c r="X2841" s="46" t="n"/>
      <c r="Y2841" s="46" t="n"/>
      <c r="Z2841" s="46" t="n"/>
      <c r="AA2841" s="46" t="n"/>
      <c r="AB2841" s="46" t="n"/>
      <c r="AC2841" s="46" t="n"/>
      <c r="AD2841" s="46" t="n"/>
      <c r="AE2841" s="46" t="n"/>
      <c r="AF2841" s="46" t="n"/>
      <c r="AG2841" s="46" t="n"/>
      <c r="AH2841" s="46" t="n"/>
      <c r="AI2841" s="46" t="n"/>
      <c r="AJ2841" s="46" t="n"/>
      <c r="AK2841" s="46" t="n"/>
      <c r="AL2841" s="46" t="n"/>
      <c r="AM2841" s="46" t="n"/>
      <c r="AN2841" s="46" t="n"/>
      <c r="AO2841" s="46" t="n"/>
      <c r="AP2841" s="46" t="n"/>
      <c r="AQ2841" s="46" t="n"/>
      <c r="AR2841" s="46" t="n"/>
      <c r="AS2841" s="46" t="n"/>
      <c r="AV2841" s="36">
        <f>IF($C2841="","",EMPLOYES!M61)</f>
        <v/>
      </c>
      <c r="AW2841" s="36">
        <f>IF($C2841="",0,SUMPRODUCT(--(O2841:AS2841="C")))</f>
        <v/>
      </c>
      <c r="AX2841" s="36">
        <f>IF($C2841="",0,SUMPRODUCT(--(O2841:AS2841="R")))</f>
        <v/>
      </c>
      <c r="AY2841" s="44" t="n"/>
    </row>
    <row r="2842" hidden="1" outlineLevel="1" ht="15" customHeight="1" s="15">
      <c r="B2842" s="41" t="n">
        <v>12</v>
      </c>
      <c r="C2842" s="42">
        <f>IF(EMPLOYES!C62="","",EMPLOYES!C62)</f>
        <v/>
      </c>
      <c r="D2842" s="43">
        <f>IF(EMPLOYES!C62="","",EMPLOYES!D62)</f>
        <v/>
      </c>
      <c r="E2842" s="44" t="n"/>
      <c r="F2842" s="42" t="n"/>
      <c r="G2842" s="41">
        <f>IF($C2842="",0,MAX(0,$M2842-$N2842))</f>
        <v/>
      </c>
      <c r="H2842" s="45" t="n"/>
      <c r="I2842" s="41">
        <f>IF($C2842="","",IF(H2842="","OK",IF(H2842&gt;EMPLOYES!P62,"⚠ Avance &gt; salaire",IF(H2842&gt;EMPLOYES!P62*PARAMETRES!$C$218,"⚠ Avance élevée","OK"))))</f>
        <v/>
      </c>
      <c r="J2842" s="45" t="n"/>
      <c r="K2842" s="46" t="n"/>
      <c r="L2842" s="46" t="n"/>
      <c r="M2842" s="41">
        <f>IF($C2842="","",SUMPRODUCT((PARAMETRES!$B$38:$B$157=PARAMETRES!$C$29)*(PARAMETRES!$C$38:$C$157=12)*(IF(EMPLOYES!M62="5j",PARAMETRES!$I$38:$I$157,PARAMETRES!$H$38:$H$157))))</f>
        <v/>
      </c>
      <c r="N2842" s="41">
        <f>IF($C2842="","",SUMPRODUCT((O2842:AS2842="P")+(O2842:AS2842="F")+(O2842:AS2842="C")+0.5*(O2842:AS2842="D"),(1-((O2792:AS2792=6)*(EMPLOYES!M62="5j")))))</f>
        <v/>
      </c>
      <c r="O2842" s="46" t="n"/>
      <c r="P2842" s="46" t="n"/>
      <c r="Q2842" s="46" t="n"/>
      <c r="R2842" s="46" t="n"/>
      <c r="S2842" s="46" t="n"/>
      <c r="T2842" s="46" t="n"/>
      <c r="U2842" s="46" t="n"/>
      <c r="V2842" s="46" t="n"/>
      <c r="W2842" s="46" t="n"/>
      <c r="X2842" s="46" t="n"/>
      <c r="Y2842" s="46" t="n"/>
      <c r="Z2842" s="46" t="n"/>
      <c r="AA2842" s="46" t="n"/>
      <c r="AB2842" s="46" t="n"/>
      <c r="AC2842" s="46" t="n"/>
      <c r="AD2842" s="46" t="n"/>
      <c r="AE2842" s="46" t="n"/>
      <c r="AF2842" s="46" t="n"/>
      <c r="AG2842" s="46" t="n"/>
      <c r="AH2842" s="46" t="n"/>
      <c r="AI2842" s="46" t="n"/>
      <c r="AJ2842" s="46" t="n"/>
      <c r="AK2842" s="46" t="n"/>
      <c r="AL2842" s="46" t="n"/>
      <c r="AM2842" s="46" t="n"/>
      <c r="AN2842" s="46" t="n"/>
      <c r="AO2842" s="46" t="n"/>
      <c r="AP2842" s="46" t="n"/>
      <c r="AQ2842" s="46" t="n"/>
      <c r="AR2842" s="46" t="n"/>
      <c r="AS2842" s="46" t="n"/>
      <c r="AV2842" s="36">
        <f>IF($C2842="","",EMPLOYES!M62)</f>
        <v/>
      </c>
      <c r="AW2842" s="36">
        <f>IF($C2842="",0,SUMPRODUCT(--(O2842:AS2842="C")))</f>
        <v/>
      </c>
      <c r="AX2842" s="36">
        <f>IF($C2842="",0,SUMPRODUCT(--(O2842:AS2842="R")))</f>
        <v/>
      </c>
      <c r="AY2842" s="44" t="n"/>
    </row>
    <row r="2843" hidden="1" outlineLevel="1" ht="15" customHeight="1" s="15">
      <c r="B2843" s="41" t="n">
        <v>12</v>
      </c>
      <c r="C2843" s="42">
        <f>IF(EMPLOYES!C63="","",EMPLOYES!C63)</f>
        <v/>
      </c>
      <c r="D2843" s="43">
        <f>IF(EMPLOYES!C63="","",EMPLOYES!D63)</f>
        <v/>
      </c>
      <c r="E2843" s="44" t="n"/>
      <c r="F2843" s="42" t="n"/>
      <c r="G2843" s="41">
        <f>IF($C2843="",0,MAX(0,$M2843-$N2843))</f>
        <v/>
      </c>
      <c r="H2843" s="45" t="n"/>
      <c r="I2843" s="41">
        <f>IF($C2843="","",IF(H2843="","OK",IF(H2843&gt;EMPLOYES!P63,"⚠ Avance &gt; salaire",IF(H2843&gt;EMPLOYES!P63*PARAMETRES!$C$218,"⚠ Avance élevée","OK"))))</f>
        <v/>
      </c>
      <c r="J2843" s="45" t="n"/>
      <c r="K2843" s="46" t="n"/>
      <c r="L2843" s="46" t="n"/>
      <c r="M2843" s="41">
        <f>IF($C2843="","",SUMPRODUCT((PARAMETRES!$B$38:$B$157=PARAMETRES!$C$29)*(PARAMETRES!$C$38:$C$157=12)*(IF(EMPLOYES!M63="5j",PARAMETRES!$I$38:$I$157,PARAMETRES!$H$38:$H$157))))</f>
        <v/>
      </c>
      <c r="N2843" s="41">
        <f>IF($C2843="","",SUMPRODUCT((O2843:AS2843="P")+(O2843:AS2843="F")+(O2843:AS2843="C")+0.5*(O2843:AS2843="D"),(1-((O2792:AS2792=6)*(EMPLOYES!M63="5j")))))</f>
        <v/>
      </c>
      <c r="O2843" s="46" t="n"/>
      <c r="P2843" s="46" t="n"/>
      <c r="Q2843" s="46" t="n"/>
      <c r="R2843" s="46" t="n"/>
      <c r="S2843" s="46" t="n"/>
      <c r="T2843" s="46" t="n"/>
      <c r="U2843" s="46" t="n"/>
      <c r="V2843" s="46" t="n"/>
      <c r="W2843" s="46" t="n"/>
      <c r="X2843" s="46" t="n"/>
      <c r="Y2843" s="46" t="n"/>
      <c r="Z2843" s="46" t="n"/>
      <c r="AA2843" s="46" t="n"/>
      <c r="AB2843" s="46" t="n"/>
      <c r="AC2843" s="46" t="n"/>
      <c r="AD2843" s="46" t="n"/>
      <c r="AE2843" s="46" t="n"/>
      <c r="AF2843" s="46" t="n"/>
      <c r="AG2843" s="46" t="n"/>
      <c r="AH2843" s="46" t="n"/>
      <c r="AI2843" s="46" t="n"/>
      <c r="AJ2843" s="46" t="n"/>
      <c r="AK2843" s="46" t="n"/>
      <c r="AL2843" s="46" t="n"/>
      <c r="AM2843" s="46" t="n"/>
      <c r="AN2843" s="46" t="n"/>
      <c r="AO2843" s="46" t="n"/>
      <c r="AP2843" s="46" t="n"/>
      <c r="AQ2843" s="46" t="n"/>
      <c r="AR2843" s="46" t="n"/>
      <c r="AS2843" s="46" t="n"/>
      <c r="AV2843" s="36">
        <f>IF($C2843="","",EMPLOYES!M63)</f>
        <v/>
      </c>
      <c r="AW2843" s="36">
        <f>IF($C2843="",0,SUMPRODUCT(--(O2843:AS2843="C")))</f>
        <v/>
      </c>
      <c r="AX2843" s="36">
        <f>IF($C2843="",0,SUMPRODUCT(--(O2843:AS2843="R")))</f>
        <v/>
      </c>
      <c r="AY2843" s="44" t="n"/>
    </row>
    <row r="2844" hidden="1" outlineLevel="1" ht="15" customHeight="1" s="15">
      <c r="B2844" s="41" t="n">
        <v>12</v>
      </c>
      <c r="C2844" s="42">
        <f>IF(EMPLOYES!C64="","",EMPLOYES!C64)</f>
        <v/>
      </c>
      <c r="D2844" s="43">
        <f>IF(EMPLOYES!C64="","",EMPLOYES!D64)</f>
        <v/>
      </c>
      <c r="E2844" s="44" t="n"/>
      <c r="F2844" s="42" t="n"/>
      <c r="G2844" s="41">
        <f>IF($C2844="",0,MAX(0,$M2844-$N2844))</f>
        <v/>
      </c>
      <c r="H2844" s="45" t="n"/>
      <c r="I2844" s="41">
        <f>IF($C2844="","",IF(H2844="","OK",IF(H2844&gt;EMPLOYES!P64,"⚠ Avance &gt; salaire",IF(H2844&gt;EMPLOYES!P64*PARAMETRES!$C$218,"⚠ Avance élevée","OK"))))</f>
        <v/>
      </c>
      <c r="J2844" s="45" t="n"/>
      <c r="K2844" s="46" t="n"/>
      <c r="L2844" s="46" t="n"/>
      <c r="M2844" s="41">
        <f>IF($C2844="","",SUMPRODUCT((PARAMETRES!$B$38:$B$157=PARAMETRES!$C$29)*(PARAMETRES!$C$38:$C$157=12)*(IF(EMPLOYES!M64="5j",PARAMETRES!$I$38:$I$157,PARAMETRES!$H$38:$H$157))))</f>
        <v/>
      </c>
      <c r="N2844" s="41">
        <f>IF($C2844="","",SUMPRODUCT((O2844:AS2844="P")+(O2844:AS2844="F")+(O2844:AS2844="C")+0.5*(O2844:AS2844="D"),(1-((O2792:AS2792=6)*(EMPLOYES!M64="5j")))))</f>
        <v/>
      </c>
      <c r="O2844" s="46" t="n"/>
      <c r="P2844" s="46" t="n"/>
      <c r="Q2844" s="46" t="n"/>
      <c r="R2844" s="46" t="n"/>
      <c r="S2844" s="46" t="n"/>
      <c r="T2844" s="46" t="n"/>
      <c r="U2844" s="46" t="n"/>
      <c r="V2844" s="46" t="n"/>
      <c r="W2844" s="46" t="n"/>
      <c r="X2844" s="46" t="n"/>
      <c r="Y2844" s="46" t="n"/>
      <c r="Z2844" s="46" t="n"/>
      <c r="AA2844" s="46" t="n"/>
      <c r="AB2844" s="46" t="n"/>
      <c r="AC2844" s="46" t="n"/>
      <c r="AD2844" s="46" t="n"/>
      <c r="AE2844" s="46" t="n"/>
      <c r="AF2844" s="46" t="n"/>
      <c r="AG2844" s="46" t="n"/>
      <c r="AH2844" s="46" t="n"/>
      <c r="AI2844" s="46" t="n"/>
      <c r="AJ2844" s="46" t="n"/>
      <c r="AK2844" s="46" t="n"/>
      <c r="AL2844" s="46" t="n"/>
      <c r="AM2844" s="46" t="n"/>
      <c r="AN2844" s="46" t="n"/>
      <c r="AO2844" s="46" t="n"/>
      <c r="AP2844" s="46" t="n"/>
      <c r="AQ2844" s="46" t="n"/>
      <c r="AR2844" s="46" t="n"/>
      <c r="AS2844" s="46" t="n"/>
      <c r="AV2844" s="36">
        <f>IF($C2844="","",EMPLOYES!M64)</f>
        <v/>
      </c>
      <c r="AW2844" s="36">
        <f>IF($C2844="",0,SUMPRODUCT(--(O2844:AS2844="C")))</f>
        <v/>
      </c>
      <c r="AX2844" s="36">
        <f>IF($C2844="",0,SUMPRODUCT(--(O2844:AS2844="R")))</f>
        <v/>
      </c>
      <c r="AY2844" s="44" t="n"/>
    </row>
    <row r="2845" hidden="1" outlineLevel="1" ht="15" customHeight="1" s="15">
      <c r="B2845" s="41" t="n">
        <v>12</v>
      </c>
      <c r="C2845" s="42">
        <f>IF(EMPLOYES!C65="","",EMPLOYES!C65)</f>
        <v/>
      </c>
      <c r="D2845" s="43">
        <f>IF(EMPLOYES!C65="","",EMPLOYES!D65)</f>
        <v/>
      </c>
      <c r="E2845" s="44" t="n"/>
      <c r="F2845" s="42" t="n"/>
      <c r="G2845" s="41">
        <f>IF($C2845="",0,MAX(0,$M2845-$N2845))</f>
        <v/>
      </c>
      <c r="H2845" s="45" t="n"/>
      <c r="I2845" s="41">
        <f>IF($C2845="","",IF(H2845="","OK",IF(H2845&gt;EMPLOYES!P65,"⚠ Avance &gt; salaire",IF(H2845&gt;EMPLOYES!P65*PARAMETRES!$C$218,"⚠ Avance élevée","OK"))))</f>
        <v/>
      </c>
      <c r="J2845" s="45" t="n"/>
      <c r="K2845" s="46" t="n"/>
      <c r="L2845" s="46" t="n"/>
      <c r="M2845" s="41">
        <f>IF($C2845="","",SUMPRODUCT((PARAMETRES!$B$38:$B$157=PARAMETRES!$C$29)*(PARAMETRES!$C$38:$C$157=12)*(IF(EMPLOYES!M65="5j",PARAMETRES!$I$38:$I$157,PARAMETRES!$H$38:$H$157))))</f>
        <v/>
      </c>
      <c r="N2845" s="41">
        <f>IF($C2845="","",SUMPRODUCT((O2845:AS2845="P")+(O2845:AS2845="F")+(O2845:AS2845="C")+0.5*(O2845:AS2845="D"),(1-((O2792:AS2792=6)*(EMPLOYES!M65="5j")))))</f>
        <v/>
      </c>
      <c r="O2845" s="46" t="n"/>
      <c r="P2845" s="46" t="n"/>
      <c r="Q2845" s="46" t="n"/>
      <c r="R2845" s="46" t="n"/>
      <c r="S2845" s="46" t="n"/>
      <c r="T2845" s="46" t="n"/>
      <c r="U2845" s="46" t="n"/>
      <c r="V2845" s="46" t="n"/>
      <c r="W2845" s="46" t="n"/>
      <c r="X2845" s="46" t="n"/>
      <c r="Y2845" s="46" t="n"/>
      <c r="Z2845" s="46" t="n"/>
      <c r="AA2845" s="46" t="n"/>
      <c r="AB2845" s="46" t="n"/>
      <c r="AC2845" s="46" t="n"/>
      <c r="AD2845" s="46" t="n"/>
      <c r="AE2845" s="46" t="n"/>
      <c r="AF2845" s="46" t="n"/>
      <c r="AG2845" s="46" t="n"/>
      <c r="AH2845" s="46" t="n"/>
      <c r="AI2845" s="46" t="n"/>
      <c r="AJ2845" s="46" t="n"/>
      <c r="AK2845" s="46" t="n"/>
      <c r="AL2845" s="46" t="n"/>
      <c r="AM2845" s="46" t="n"/>
      <c r="AN2845" s="46" t="n"/>
      <c r="AO2845" s="46" t="n"/>
      <c r="AP2845" s="46" t="n"/>
      <c r="AQ2845" s="46" t="n"/>
      <c r="AR2845" s="46" t="n"/>
      <c r="AS2845" s="46" t="n"/>
      <c r="AV2845" s="36">
        <f>IF($C2845="","",EMPLOYES!M65)</f>
        <v/>
      </c>
      <c r="AW2845" s="36">
        <f>IF($C2845="",0,SUMPRODUCT(--(O2845:AS2845="C")))</f>
        <v/>
      </c>
      <c r="AX2845" s="36">
        <f>IF($C2845="",0,SUMPRODUCT(--(O2845:AS2845="R")))</f>
        <v/>
      </c>
      <c r="AY2845" s="44" t="n"/>
    </row>
    <row r="2846" hidden="1" outlineLevel="1" ht="15" customHeight="1" s="15">
      <c r="B2846" s="41" t="n">
        <v>12</v>
      </c>
      <c r="C2846" s="42">
        <f>IF(EMPLOYES!C66="","",EMPLOYES!C66)</f>
        <v/>
      </c>
      <c r="D2846" s="43">
        <f>IF(EMPLOYES!C66="","",EMPLOYES!D66)</f>
        <v/>
      </c>
      <c r="E2846" s="44" t="n"/>
      <c r="F2846" s="42" t="n"/>
      <c r="G2846" s="41">
        <f>IF($C2846="",0,MAX(0,$M2846-$N2846))</f>
        <v/>
      </c>
      <c r="H2846" s="45" t="n"/>
      <c r="I2846" s="41">
        <f>IF($C2846="","",IF(H2846="","OK",IF(H2846&gt;EMPLOYES!P66,"⚠ Avance &gt; salaire",IF(H2846&gt;EMPLOYES!P66*PARAMETRES!$C$218,"⚠ Avance élevée","OK"))))</f>
        <v/>
      </c>
      <c r="J2846" s="45" t="n"/>
      <c r="K2846" s="46" t="n"/>
      <c r="L2846" s="46" t="n"/>
      <c r="M2846" s="41">
        <f>IF($C2846="","",SUMPRODUCT((PARAMETRES!$B$38:$B$157=PARAMETRES!$C$29)*(PARAMETRES!$C$38:$C$157=12)*(IF(EMPLOYES!M66="5j",PARAMETRES!$I$38:$I$157,PARAMETRES!$H$38:$H$157))))</f>
        <v/>
      </c>
      <c r="N2846" s="41">
        <f>IF($C2846="","",SUMPRODUCT((O2846:AS2846="P")+(O2846:AS2846="F")+(O2846:AS2846="C")+0.5*(O2846:AS2846="D"),(1-((O2792:AS2792=6)*(EMPLOYES!M66="5j")))))</f>
        <v/>
      </c>
      <c r="O2846" s="46" t="n"/>
      <c r="P2846" s="46" t="n"/>
      <c r="Q2846" s="46" t="n"/>
      <c r="R2846" s="46" t="n"/>
      <c r="S2846" s="46" t="n"/>
      <c r="T2846" s="46" t="n"/>
      <c r="U2846" s="46" t="n"/>
      <c r="V2846" s="46" t="n"/>
      <c r="W2846" s="46" t="n"/>
      <c r="X2846" s="46" t="n"/>
      <c r="Y2846" s="46" t="n"/>
      <c r="Z2846" s="46" t="n"/>
      <c r="AA2846" s="46" t="n"/>
      <c r="AB2846" s="46" t="n"/>
      <c r="AC2846" s="46" t="n"/>
      <c r="AD2846" s="46" t="n"/>
      <c r="AE2846" s="46" t="n"/>
      <c r="AF2846" s="46" t="n"/>
      <c r="AG2846" s="46" t="n"/>
      <c r="AH2846" s="46" t="n"/>
      <c r="AI2846" s="46" t="n"/>
      <c r="AJ2846" s="46" t="n"/>
      <c r="AK2846" s="46" t="n"/>
      <c r="AL2846" s="46" t="n"/>
      <c r="AM2846" s="46" t="n"/>
      <c r="AN2846" s="46" t="n"/>
      <c r="AO2846" s="46" t="n"/>
      <c r="AP2846" s="46" t="n"/>
      <c r="AQ2846" s="46" t="n"/>
      <c r="AR2846" s="46" t="n"/>
      <c r="AS2846" s="46" t="n"/>
      <c r="AV2846" s="36">
        <f>IF($C2846="","",EMPLOYES!M66)</f>
        <v/>
      </c>
      <c r="AW2846" s="36">
        <f>IF($C2846="",0,SUMPRODUCT(--(O2846:AS2846="C")))</f>
        <v/>
      </c>
      <c r="AX2846" s="36">
        <f>IF($C2846="",0,SUMPRODUCT(--(O2846:AS2846="R")))</f>
        <v/>
      </c>
      <c r="AY2846" s="44" t="n"/>
    </row>
    <row r="2847" hidden="1" outlineLevel="1" ht="15" customHeight="1" s="15">
      <c r="B2847" s="41" t="n">
        <v>12</v>
      </c>
      <c r="C2847" s="42">
        <f>IF(EMPLOYES!C67="","",EMPLOYES!C67)</f>
        <v/>
      </c>
      <c r="D2847" s="43">
        <f>IF(EMPLOYES!C67="","",EMPLOYES!D67)</f>
        <v/>
      </c>
      <c r="E2847" s="44" t="n"/>
      <c r="F2847" s="42" t="n"/>
      <c r="G2847" s="41">
        <f>IF($C2847="",0,MAX(0,$M2847-$N2847))</f>
        <v/>
      </c>
      <c r="H2847" s="45" t="n"/>
      <c r="I2847" s="41">
        <f>IF($C2847="","",IF(H2847="","OK",IF(H2847&gt;EMPLOYES!P67,"⚠ Avance &gt; salaire",IF(H2847&gt;EMPLOYES!P67*PARAMETRES!$C$218,"⚠ Avance élevée","OK"))))</f>
        <v/>
      </c>
      <c r="J2847" s="45" t="n"/>
      <c r="K2847" s="46" t="n"/>
      <c r="L2847" s="46" t="n"/>
      <c r="M2847" s="41">
        <f>IF($C2847="","",SUMPRODUCT((PARAMETRES!$B$38:$B$157=PARAMETRES!$C$29)*(PARAMETRES!$C$38:$C$157=12)*(IF(EMPLOYES!M67="5j",PARAMETRES!$I$38:$I$157,PARAMETRES!$H$38:$H$157))))</f>
        <v/>
      </c>
      <c r="N2847" s="41">
        <f>IF($C2847="","",SUMPRODUCT((O2847:AS2847="P")+(O2847:AS2847="F")+(O2847:AS2847="C")+0.5*(O2847:AS2847="D"),(1-((O2792:AS2792=6)*(EMPLOYES!M67="5j")))))</f>
        <v/>
      </c>
      <c r="O2847" s="46" t="n"/>
      <c r="P2847" s="46" t="n"/>
      <c r="Q2847" s="46" t="n"/>
      <c r="R2847" s="46" t="n"/>
      <c r="S2847" s="46" t="n"/>
      <c r="T2847" s="46" t="n"/>
      <c r="U2847" s="46" t="n"/>
      <c r="V2847" s="46" t="n"/>
      <c r="W2847" s="46" t="n"/>
      <c r="X2847" s="46" t="n"/>
      <c r="Y2847" s="46" t="n"/>
      <c r="Z2847" s="46" t="n"/>
      <c r="AA2847" s="46" t="n"/>
      <c r="AB2847" s="46" t="n"/>
      <c r="AC2847" s="46" t="n"/>
      <c r="AD2847" s="46" t="n"/>
      <c r="AE2847" s="46" t="n"/>
      <c r="AF2847" s="46" t="n"/>
      <c r="AG2847" s="46" t="n"/>
      <c r="AH2847" s="46" t="n"/>
      <c r="AI2847" s="46" t="n"/>
      <c r="AJ2847" s="46" t="n"/>
      <c r="AK2847" s="46" t="n"/>
      <c r="AL2847" s="46" t="n"/>
      <c r="AM2847" s="46" t="n"/>
      <c r="AN2847" s="46" t="n"/>
      <c r="AO2847" s="46" t="n"/>
      <c r="AP2847" s="46" t="n"/>
      <c r="AQ2847" s="46" t="n"/>
      <c r="AR2847" s="46" t="n"/>
      <c r="AS2847" s="46" t="n"/>
      <c r="AV2847" s="36">
        <f>IF($C2847="","",EMPLOYES!M67)</f>
        <v/>
      </c>
      <c r="AW2847" s="36">
        <f>IF($C2847="",0,SUMPRODUCT(--(O2847:AS2847="C")))</f>
        <v/>
      </c>
      <c r="AX2847" s="36">
        <f>IF($C2847="",0,SUMPRODUCT(--(O2847:AS2847="R")))</f>
        <v/>
      </c>
      <c r="AY2847" s="44" t="n"/>
    </row>
    <row r="2848" hidden="1" outlineLevel="1" ht="15" customHeight="1" s="15">
      <c r="B2848" s="41" t="n">
        <v>12</v>
      </c>
      <c r="C2848" s="42">
        <f>IF(EMPLOYES!C68="","",EMPLOYES!C68)</f>
        <v/>
      </c>
      <c r="D2848" s="43">
        <f>IF(EMPLOYES!C68="","",EMPLOYES!D68)</f>
        <v/>
      </c>
      <c r="E2848" s="44" t="n"/>
      <c r="F2848" s="42" t="n"/>
      <c r="G2848" s="41">
        <f>IF($C2848="",0,MAX(0,$M2848-$N2848))</f>
        <v/>
      </c>
      <c r="H2848" s="45" t="n"/>
      <c r="I2848" s="41">
        <f>IF($C2848="","",IF(H2848="","OK",IF(H2848&gt;EMPLOYES!P68,"⚠ Avance &gt; salaire",IF(H2848&gt;EMPLOYES!P68*PARAMETRES!$C$218,"⚠ Avance élevée","OK"))))</f>
        <v/>
      </c>
      <c r="J2848" s="45" t="n"/>
      <c r="K2848" s="46" t="n"/>
      <c r="L2848" s="46" t="n"/>
      <c r="M2848" s="41">
        <f>IF($C2848="","",SUMPRODUCT((PARAMETRES!$B$38:$B$157=PARAMETRES!$C$29)*(PARAMETRES!$C$38:$C$157=12)*(IF(EMPLOYES!M68="5j",PARAMETRES!$I$38:$I$157,PARAMETRES!$H$38:$H$157))))</f>
        <v/>
      </c>
      <c r="N2848" s="41">
        <f>IF($C2848="","",SUMPRODUCT((O2848:AS2848="P")+(O2848:AS2848="F")+(O2848:AS2848="C")+0.5*(O2848:AS2848="D"),(1-((O2792:AS2792=6)*(EMPLOYES!M68="5j")))))</f>
        <v/>
      </c>
      <c r="O2848" s="46" t="n"/>
      <c r="P2848" s="46" t="n"/>
      <c r="Q2848" s="46" t="n"/>
      <c r="R2848" s="46" t="n"/>
      <c r="S2848" s="46" t="n"/>
      <c r="T2848" s="46" t="n"/>
      <c r="U2848" s="46" t="n"/>
      <c r="V2848" s="46" t="n"/>
      <c r="W2848" s="46" t="n"/>
      <c r="X2848" s="46" t="n"/>
      <c r="Y2848" s="46" t="n"/>
      <c r="Z2848" s="46" t="n"/>
      <c r="AA2848" s="46" t="n"/>
      <c r="AB2848" s="46" t="n"/>
      <c r="AC2848" s="46" t="n"/>
      <c r="AD2848" s="46" t="n"/>
      <c r="AE2848" s="46" t="n"/>
      <c r="AF2848" s="46" t="n"/>
      <c r="AG2848" s="46" t="n"/>
      <c r="AH2848" s="46" t="n"/>
      <c r="AI2848" s="46" t="n"/>
      <c r="AJ2848" s="46" t="n"/>
      <c r="AK2848" s="46" t="n"/>
      <c r="AL2848" s="46" t="n"/>
      <c r="AM2848" s="46" t="n"/>
      <c r="AN2848" s="46" t="n"/>
      <c r="AO2848" s="46" t="n"/>
      <c r="AP2848" s="46" t="n"/>
      <c r="AQ2848" s="46" t="n"/>
      <c r="AR2848" s="46" t="n"/>
      <c r="AS2848" s="46" t="n"/>
      <c r="AV2848" s="36">
        <f>IF($C2848="","",EMPLOYES!M68)</f>
        <v/>
      </c>
      <c r="AW2848" s="36">
        <f>IF($C2848="",0,SUMPRODUCT(--(O2848:AS2848="C")))</f>
        <v/>
      </c>
      <c r="AX2848" s="36">
        <f>IF($C2848="",0,SUMPRODUCT(--(O2848:AS2848="R")))</f>
        <v/>
      </c>
      <c r="AY2848" s="44" t="n"/>
    </row>
    <row r="2849" hidden="1" outlineLevel="1" ht="15" customHeight="1" s="15">
      <c r="B2849" s="41" t="n">
        <v>12</v>
      </c>
      <c r="C2849" s="42">
        <f>IF(EMPLOYES!C69="","",EMPLOYES!C69)</f>
        <v/>
      </c>
      <c r="D2849" s="43">
        <f>IF(EMPLOYES!C69="","",EMPLOYES!D69)</f>
        <v/>
      </c>
      <c r="E2849" s="44" t="n"/>
      <c r="F2849" s="42" t="n"/>
      <c r="G2849" s="41">
        <f>IF($C2849="",0,MAX(0,$M2849-$N2849))</f>
        <v/>
      </c>
      <c r="H2849" s="45" t="n"/>
      <c r="I2849" s="41">
        <f>IF($C2849="","",IF(H2849="","OK",IF(H2849&gt;EMPLOYES!P69,"⚠ Avance &gt; salaire",IF(H2849&gt;EMPLOYES!P69*PARAMETRES!$C$218,"⚠ Avance élevée","OK"))))</f>
        <v/>
      </c>
      <c r="J2849" s="45" t="n"/>
      <c r="K2849" s="46" t="n"/>
      <c r="L2849" s="46" t="n"/>
      <c r="M2849" s="41">
        <f>IF($C2849="","",SUMPRODUCT((PARAMETRES!$B$38:$B$157=PARAMETRES!$C$29)*(PARAMETRES!$C$38:$C$157=12)*(IF(EMPLOYES!M69="5j",PARAMETRES!$I$38:$I$157,PARAMETRES!$H$38:$H$157))))</f>
        <v/>
      </c>
      <c r="N2849" s="41">
        <f>IF($C2849="","",SUMPRODUCT((O2849:AS2849="P")+(O2849:AS2849="F")+(O2849:AS2849="C")+0.5*(O2849:AS2849="D"),(1-((O2792:AS2792=6)*(EMPLOYES!M69="5j")))))</f>
        <v/>
      </c>
      <c r="O2849" s="46" t="n"/>
      <c r="P2849" s="46" t="n"/>
      <c r="Q2849" s="46" t="n"/>
      <c r="R2849" s="46" t="n"/>
      <c r="S2849" s="46" t="n"/>
      <c r="T2849" s="46" t="n"/>
      <c r="U2849" s="46" t="n"/>
      <c r="V2849" s="46" t="n"/>
      <c r="W2849" s="46" t="n"/>
      <c r="X2849" s="46" t="n"/>
      <c r="Y2849" s="46" t="n"/>
      <c r="Z2849" s="46" t="n"/>
      <c r="AA2849" s="46" t="n"/>
      <c r="AB2849" s="46" t="n"/>
      <c r="AC2849" s="46" t="n"/>
      <c r="AD2849" s="46" t="n"/>
      <c r="AE2849" s="46" t="n"/>
      <c r="AF2849" s="46" t="n"/>
      <c r="AG2849" s="46" t="n"/>
      <c r="AH2849" s="46" t="n"/>
      <c r="AI2849" s="46" t="n"/>
      <c r="AJ2849" s="46" t="n"/>
      <c r="AK2849" s="46" t="n"/>
      <c r="AL2849" s="46" t="n"/>
      <c r="AM2849" s="46" t="n"/>
      <c r="AN2849" s="46" t="n"/>
      <c r="AO2849" s="46" t="n"/>
      <c r="AP2849" s="46" t="n"/>
      <c r="AQ2849" s="46" t="n"/>
      <c r="AR2849" s="46" t="n"/>
      <c r="AS2849" s="46" t="n"/>
      <c r="AV2849" s="36">
        <f>IF($C2849="","",EMPLOYES!M69)</f>
        <v/>
      </c>
      <c r="AW2849" s="36">
        <f>IF($C2849="",0,SUMPRODUCT(--(O2849:AS2849="C")))</f>
        <v/>
      </c>
      <c r="AX2849" s="36">
        <f>IF($C2849="",0,SUMPRODUCT(--(O2849:AS2849="R")))</f>
        <v/>
      </c>
      <c r="AY2849" s="44" t="n"/>
    </row>
    <row r="2850" hidden="1" outlineLevel="1" ht="15" customHeight="1" s="15">
      <c r="B2850" s="41" t="n">
        <v>12</v>
      </c>
      <c r="C2850" s="42">
        <f>IF(EMPLOYES!C70="","",EMPLOYES!C70)</f>
        <v/>
      </c>
      <c r="D2850" s="43">
        <f>IF(EMPLOYES!C70="","",EMPLOYES!D70)</f>
        <v/>
      </c>
      <c r="E2850" s="44" t="n"/>
      <c r="F2850" s="42" t="n"/>
      <c r="G2850" s="41">
        <f>IF($C2850="",0,MAX(0,$M2850-$N2850))</f>
        <v/>
      </c>
      <c r="H2850" s="45" t="n"/>
      <c r="I2850" s="41">
        <f>IF($C2850="","",IF(H2850="","OK",IF(H2850&gt;EMPLOYES!P70,"⚠ Avance &gt; salaire",IF(H2850&gt;EMPLOYES!P70*PARAMETRES!$C$218,"⚠ Avance élevée","OK"))))</f>
        <v/>
      </c>
      <c r="J2850" s="45" t="n"/>
      <c r="K2850" s="46" t="n"/>
      <c r="L2850" s="46" t="n"/>
      <c r="M2850" s="41">
        <f>IF($C2850="","",SUMPRODUCT((PARAMETRES!$B$38:$B$157=PARAMETRES!$C$29)*(PARAMETRES!$C$38:$C$157=12)*(IF(EMPLOYES!M70="5j",PARAMETRES!$I$38:$I$157,PARAMETRES!$H$38:$H$157))))</f>
        <v/>
      </c>
      <c r="N2850" s="41">
        <f>IF($C2850="","",SUMPRODUCT((O2850:AS2850="P")+(O2850:AS2850="F")+(O2850:AS2850="C")+0.5*(O2850:AS2850="D"),(1-((O2792:AS2792=6)*(EMPLOYES!M70="5j")))))</f>
        <v/>
      </c>
      <c r="O2850" s="46" t="n"/>
      <c r="P2850" s="46" t="n"/>
      <c r="Q2850" s="46" t="n"/>
      <c r="R2850" s="46" t="n"/>
      <c r="S2850" s="46" t="n"/>
      <c r="T2850" s="46" t="n"/>
      <c r="U2850" s="46" t="n"/>
      <c r="V2850" s="46" t="n"/>
      <c r="W2850" s="46" t="n"/>
      <c r="X2850" s="46" t="n"/>
      <c r="Y2850" s="46" t="n"/>
      <c r="Z2850" s="46" t="n"/>
      <c r="AA2850" s="46" t="n"/>
      <c r="AB2850" s="46" t="n"/>
      <c r="AC2850" s="46" t="n"/>
      <c r="AD2850" s="46" t="n"/>
      <c r="AE2850" s="46" t="n"/>
      <c r="AF2850" s="46" t="n"/>
      <c r="AG2850" s="46" t="n"/>
      <c r="AH2850" s="46" t="n"/>
      <c r="AI2850" s="46" t="n"/>
      <c r="AJ2850" s="46" t="n"/>
      <c r="AK2850" s="46" t="n"/>
      <c r="AL2850" s="46" t="n"/>
      <c r="AM2850" s="46" t="n"/>
      <c r="AN2850" s="46" t="n"/>
      <c r="AO2850" s="46" t="n"/>
      <c r="AP2850" s="46" t="n"/>
      <c r="AQ2850" s="46" t="n"/>
      <c r="AR2850" s="46" t="n"/>
      <c r="AS2850" s="46" t="n"/>
      <c r="AV2850" s="36">
        <f>IF($C2850="","",EMPLOYES!M70)</f>
        <v/>
      </c>
      <c r="AW2850" s="36">
        <f>IF($C2850="",0,SUMPRODUCT(--(O2850:AS2850="C")))</f>
        <v/>
      </c>
      <c r="AX2850" s="36">
        <f>IF($C2850="",0,SUMPRODUCT(--(O2850:AS2850="R")))</f>
        <v/>
      </c>
      <c r="AY2850" s="44" t="n"/>
    </row>
    <row r="2851" hidden="1" outlineLevel="1" ht="15" customHeight="1" s="15">
      <c r="B2851" s="41" t="n">
        <v>12</v>
      </c>
      <c r="C2851" s="42">
        <f>IF(EMPLOYES!C71="","",EMPLOYES!C71)</f>
        <v/>
      </c>
      <c r="D2851" s="43">
        <f>IF(EMPLOYES!C71="","",EMPLOYES!D71)</f>
        <v/>
      </c>
      <c r="E2851" s="44" t="n"/>
      <c r="F2851" s="42" t="n"/>
      <c r="G2851" s="41">
        <f>IF($C2851="",0,MAX(0,$M2851-$N2851))</f>
        <v/>
      </c>
      <c r="H2851" s="45" t="n"/>
      <c r="I2851" s="41">
        <f>IF($C2851="","",IF(H2851="","OK",IF(H2851&gt;EMPLOYES!P71,"⚠ Avance &gt; salaire",IF(H2851&gt;EMPLOYES!P71*PARAMETRES!$C$218,"⚠ Avance élevée","OK"))))</f>
        <v/>
      </c>
      <c r="J2851" s="45" t="n"/>
      <c r="K2851" s="46" t="n"/>
      <c r="L2851" s="46" t="n"/>
      <c r="M2851" s="41">
        <f>IF($C2851="","",SUMPRODUCT((PARAMETRES!$B$38:$B$157=PARAMETRES!$C$29)*(PARAMETRES!$C$38:$C$157=12)*(IF(EMPLOYES!M71="5j",PARAMETRES!$I$38:$I$157,PARAMETRES!$H$38:$H$157))))</f>
        <v/>
      </c>
      <c r="N2851" s="41">
        <f>IF($C2851="","",SUMPRODUCT((O2851:AS2851="P")+(O2851:AS2851="F")+(O2851:AS2851="C")+0.5*(O2851:AS2851="D"),(1-((O2792:AS2792=6)*(EMPLOYES!M71="5j")))))</f>
        <v/>
      </c>
      <c r="O2851" s="46" t="n"/>
      <c r="P2851" s="46" t="n"/>
      <c r="Q2851" s="46" t="n"/>
      <c r="R2851" s="46" t="n"/>
      <c r="S2851" s="46" t="n"/>
      <c r="T2851" s="46" t="n"/>
      <c r="U2851" s="46" t="n"/>
      <c r="V2851" s="46" t="n"/>
      <c r="W2851" s="46" t="n"/>
      <c r="X2851" s="46" t="n"/>
      <c r="Y2851" s="46" t="n"/>
      <c r="Z2851" s="46" t="n"/>
      <c r="AA2851" s="46" t="n"/>
      <c r="AB2851" s="46" t="n"/>
      <c r="AC2851" s="46" t="n"/>
      <c r="AD2851" s="46" t="n"/>
      <c r="AE2851" s="46" t="n"/>
      <c r="AF2851" s="46" t="n"/>
      <c r="AG2851" s="46" t="n"/>
      <c r="AH2851" s="46" t="n"/>
      <c r="AI2851" s="46" t="n"/>
      <c r="AJ2851" s="46" t="n"/>
      <c r="AK2851" s="46" t="n"/>
      <c r="AL2851" s="46" t="n"/>
      <c r="AM2851" s="46" t="n"/>
      <c r="AN2851" s="46" t="n"/>
      <c r="AO2851" s="46" t="n"/>
      <c r="AP2851" s="46" t="n"/>
      <c r="AQ2851" s="46" t="n"/>
      <c r="AR2851" s="46" t="n"/>
      <c r="AS2851" s="46" t="n"/>
      <c r="AV2851" s="36">
        <f>IF($C2851="","",EMPLOYES!M71)</f>
        <v/>
      </c>
      <c r="AW2851" s="36">
        <f>IF($C2851="",0,SUMPRODUCT(--(O2851:AS2851="C")))</f>
        <v/>
      </c>
      <c r="AX2851" s="36">
        <f>IF($C2851="",0,SUMPRODUCT(--(O2851:AS2851="R")))</f>
        <v/>
      </c>
      <c r="AY2851" s="44" t="n"/>
    </row>
    <row r="2852" hidden="1" outlineLevel="1" ht="15" customHeight="1" s="15">
      <c r="B2852" s="41" t="n">
        <v>12</v>
      </c>
      <c r="C2852" s="42">
        <f>IF(EMPLOYES!C72="","",EMPLOYES!C72)</f>
        <v/>
      </c>
      <c r="D2852" s="43">
        <f>IF(EMPLOYES!C72="","",EMPLOYES!D72)</f>
        <v/>
      </c>
      <c r="E2852" s="44" t="n"/>
      <c r="F2852" s="42" t="n"/>
      <c r="G2852" s="41">
        <f>IF($C2852="",0,MAX(0,$M2852-$N2852))</f>
        <v/>
      </c>
      <c r="H2852" s="45" t="n"/>
      <c r="I2852" s="41">
        <f>IF($C2852="","",IF(H2852="","OK",IF(H2852&gt;EMPLOYES!P72,"⚠ Avance &gt; salaire",IF(H2852&gt;EMPLOYES!P72*PARAMETRES!$C$218,"⚠ Avance élevée","OK"))))</f>
        <v/>
      </c>
      <c r="J2852" s="45" t="n"/>
      <c r="K2852" s="46" t="n"/>
      <c r="L2852" s="46" t="n"/>
      <c r="M2852" s="41">
        <f>IF($C2852="","",SUMPRODUCT((PARAMETRES!$B$38:$B$157=PARAMETRES!$C$29)*(PARAMETRES!$C$38:$C$157=12)*(IF(EMPLOYES!M72="5j",PARAMETRES!$I$38:$I$157,PARAMETRES!$H$38:$H$157))))</f>
        <v/>
      </c>
      <c r="N2852" s="41">
        <f>IF($C2852="","",SUMPRODUCT((O2852:AS2852="P")+(O2852:AS2852="F")+(O2852:AS2852="C")+0.5*(O2852:AS2852="D"),(1-((O2792:AS2792=6)*(EMPLOYES!M72="5j")))))</f>
        <v/>
      </c>
      <c r="O2852" s="46" t="n"/>
      <c r="P2852" s="46" t="n"/>
      <c r="Q2852" s="46" t="n"/>
      <c r="R2852" s="46" t="n"/>
      <c r="S2852" s="46" t="n"/>
      <c r="T2852" s="46" t="n"/>
      <c r="U2852" s="46" t="n"/>
      <c r="V2852" s="46" t="n"/>
      <c r="W2852" s="46" t="n"/>
      <c r="X2852" s="46" t="n"/>
      <c r="Y2852" s="46" t="n"/>
      <c r="Z2852" s="46" t="n"/>
      <c r="AA2852" s="46" t="n"/>
      <c r="AB2852" s="46" t="n"/>
      <c r="AC2852" s="46" t="n"/>
      <c r="AD2852" s="46" t="n"/>
      <c r="AE2852" s="46" t="n"/>
      <c r="AF2852" s="46" t="n"/>
      <c r="AG2852" s="46" t="n"/>
      <c r="AH2852" s="46" t="n"/>
      <c r="AI2852" s="46" t="n"/>
      <c r="AJ2852" s="46" t="n"/>
      <c r="AK2852" s="46" t="n"/>
      <c r="AL2852" s="46" t="n"/>
      <c r="AM2852" s="46" t="n"/>
      <c r="AN2852" s="46" t="n"/>
      <c r="AO2852" s="46" t="n"/>
      <c r="AP2852" s="46" t="n"/>
      <c r="AQ2852" s="46" t="n"/>
      <c r="AR2852" s="46" t="n"/>
      <c r="AS2852" s="46" t="n"/>
      <c r="AV2852" s="36">
        <f>IF($C2852="","",EMPLOYES!M72)</f>
        <v/>
      </c>
      <c r="AW2852" s="36">
        <f>IF($C2852="",0,SUMPRODUCT(--(O2852:AS2852="C")))</f>
        <v/>
      </c>
      <c r="AX2852" s="36">
        <f>IF($C2852="",0,SUMPRODUCT(--(O2852:AS2852="R")))</f>
        <v/>
      </c>
      <c r="AY2852" s="44" t="n"/>
    </row>
    <row r="2853" hidden="1" outlineLevel="1" ht="15" customHeight="1" s="15">
      <c r="B2853" s="41" t="n">
        <v>12</v>
      </c>
      <c r="C2853" s="42">
        <f>IF(EMPLOYES!C73="","",EMPLOYES!C73)</f>
        <v/>
      </c>
      <c r="D2853" s="43">
        <f>IF(EMPLOYES!C73="","",EMPLOYES!D73)</f>
        <v/>
      </c>
      <c r="E2853" s="44" t="n"/>
      <c r="F2853" s="42" t="n"/>
      <c r="G2853" s="41">
        <f>IF($C2853="",0,MAX(0,$M2853-$N2853))</f>
        <v/>
      </c>
      <c r="H2853" s="45" t="n"/>
      <c r="I2853" s="41">
        <f>IF($C2853="","",IF(H2853="","OK",IF(H2853&gt;EMPLOYES!P73,"⚠ Avance &gt; salaire",IF(H2853&gt;EMPLOYES!P73*PARAMETRES!$C$218,"⚠ Avance élevée","OK"))))</f>
        <v/>
      </c>
      <c r="J2853" s="45" t="n"/>
      <c r="K2853" s="46" t="n"/>
      <c r="L2853" s="46" t="n"/>
      <c r="M2853" s="41">
        <f>IF($C2853="","",SUMPRODUCT((PARAMETRES!$B$38:$B$157=PARAMETRES!$C$29)*(PARAMETRES!$C$38:$C$157=12)*(IF(EMPLOYES!M73="5j",PARAMETRES!$I$38:$I$157,PARAMETRES!$H$38:$H$157))))</f>
        <v/>
      </c>
      <c r="N2853" s="41">
        <f>IF($C2853="","",SUMPRODUCT((O2853:AS2853="P")+(O2853:AS2853="F")+(O2853:AS2853="C")+0.5*(O2853:AS2853="D"),(1-((O2792:AS2792=6)*(EMPLOYES!M73="5j")))))</f>
        <v/>
      </c>
      <c r="O2853" s="46" t="n"/>
      <c r="P2853" s="46" t="n"/>
      <c r="Q2853" s="46" t="n"/>
      <c r="R2853" s="46" t="n"/>
      <c r="S2853" s="46" t="n"/>
      <c r="T2853" s="46" t="n"/>
      <c r="U2853" s="46" t="n"/>
      <c r="V2853" s="46" t="n"/>
      <c r="W2853" s="46" t="n"/>
      <c r="X2853" s="46" t="n"/>
      <c r="Y2853" s="46" t="n"/>
      <c r="Z2853" s="46" t="n"/>
      <c r="AA2853" s="46" t="n"/>
      <c r="AB2853" s="46" t="n"/>
      <c r="AC2853" s="46" t="n"/>
      <c r="AD2853" s="46" t="n"/>
      <c r="AE2853" s="46" t="n"/>
      <c r="AF2853" s="46" t="n"/>
      <c r="AG2853" s="46" t="n"/>
      <c r="AH2853" s="46" t="n"/>
      <c r="AI2853" s="46" t="n"/>
      <c r="AJ2853" s="46" t="n"/>
      <c r="AK2853" s="46" t="n"/>
      <c r="AL2853" s="46" t="n"/>
      <c r="AM2853" s="46" t="n"/>
      <c r="AN2853" s="46" t="n"/>
      <c r="AO2853" s="46" t="n"/>
      <c r="AP2853" s="46" t="n"/>
      <c r="AQ2853" s="46" t="n"/>
      <c r="AR2853" s="46" t="n"/>
      <c r="AS2853" s="46" t="n"/>
      <c r="AV2853" s="36">
        <f>IF($C2853="","",EMPLOYES!M73)</f>
        <v/>
      </c>
      <c r="AW2853" s="36">
        <f>IF($C2853="",0,SUMPRODUCT(--(O2853:AS2853="C")))</f>
        <v/>
      </c>
      <c r="AX2853" s="36">
        <f>IF($C2853="",0,SUMPRODUCT(--(O2853:AS2853="R")))</f>
        <v/>
      </c>
      <c r="AY2853" s="44" t="n"/>
    </row>
    <row r="2854" hidden="1" outlineLevel="1" ht="15" customHeight="1" s="15">
      <c r="B2854" s="41" t="n">
        <v>12</v>
      </c>
      <c r="C2854" s="42">
        <f>IF(EMPLOYES!C74="","",EMPLOYES!C74)</f>
        <v/>
      </c>
      <c r="D2854" s="43">
        <f>IF(EMPLOYES!C74="","",EMPLOYES!D74)</f>
        <v/>
      </c>
      <c r="E2854" s="44" t="n"/>
      <c r="F2854" s="42" t="n"/>
      <c r="G2854" s="41">
        <f>IF($C2854="",0,MAX(0,$M2854-$N2854))</f>
        <v/>
      </c>
      <c r="H2854" s="45" t="n"/>
      <c r="I2854" s="41">
        <f>IF($C2854="","",IF(H2854="","OK",IF(H2854&gt;EMPLOYES!P74,"⚠ Avance &gt; salaire",IF(H2854&gt;EMPLOYES!P74*PARAMETRES!$C$218,"⚠ Avance élevée","OK"))))</f>
        <v/>
      </c>
      <c r="J2854" s="45" t="n"/>
      <c r="K2854" s="46" t="n"/>
      <c r="L2854" s="46" t="n"/>
      <c r="M2854" s="41">
        <f>IF($C2854="","",SUMPRODUCT((PARAMETRES!$B$38:$B$157=PARAMETRES!$C$29)*(PARAMETRES!$C$38:$C$157=12)*(IF(EMPLOYES!M74="5j",PARAMETRES!$I$38:$I$157,PARAMETRES!$H$38:$H$157))))</f>
        <v/>
      </c>
      <c r="N2854" s="41">
        <f>IF($C2854="","",SUMPRODUCT((O2854:AS2854="P")+(O2854:AS2854="F")+(O2854:AS2854="C")+0.5*(O2854:AS2854="D"),(1-((O2792:AS2792=6)*(EMPLOYES!M74="5j")))))</f>
        <v/>
      </c>
      <c r="O2854" s="46" t="n"/>
      <c r="P2854" s="46" t="n"/>
      <c r="Q2854" s="46" t="n"/>
      <c r="R2854" s="46" t="n"/>
      <c r="S2854" s="46" t="n"/>
      <c r="T2854" s="46" t="n"/>
      <c r="U2854" s="46" t="n"/>
      <c r="V2854" s="46" t="n"/>
      <c r="W2854" s="46" t="n"/>
      <c r="X2854" s="46" t="n"/>
      <c r="Y2854" s="46" t="n"/>
      <c r="Z2854" s="46" t="n"/>
      <c r="AA2854" s="46" t="n"/>
      <c r="AB2854" s="46" t="n"/>
      <c r="AC2854" s="46" t="n"/>
      <c r="AD2854" s="46" t="n"/>
      <c r="AE2854" s="46" t="n"/>
      <c r="AF2854" s="46" t="n"/>
      <c r="AG2854" s="46" t="n"/>
      <c r="AH2854" s="46" t="n"/>
      <c r="AI2854" s="46" t="n"/>
      <c r="AJ2854" s="46" t="n"/>
      <c r="AK2854" s="46" t="n"/>
      <c r="AL2854" s="46" t="n"/>
      <c r="AM2854" s="46" t="n"/>
      <c r="AN2854" s="46" t="n"/>
      <c r="AO2854" s="46" t="n"/>
      <c r="AP2854" s="46" t="n"/>
      <c r="AQ2854" s="46" t="n"/>
      <c r="AR2854" s="46" t="n"/>
      <c r="AS2854" s="46" t="n"/>
      <c r="AV2854" s="36">
        <f>IF($C2854="","",EMPLOYES!M74)</f>
        <v/>
      </c>
      <c r="AW2854" s="36">
        <f>IF($C2854="",0,SUMPRODUCT(--(O2854:AS2854="C")))</f>
        <v/>
      </c>
      <c r="AX2854" s="36">
        <f>IF($C2854="",0,SUMPRODUCT(--(O2854:AS2854="R")))</f>
        <v/>
      </c>
      <c r="AY2854" s="44" t="n"/>
    </row>
    <row r="2855" hidden="1" ht="15" customHeight="1" s="15">
      <c r="B2855" s="36" t="inlineStr">
        <is>
          <t>Jour sem. (réf. grisage)</t>
        </is>
      </c>
      <c r="O2855" s="37">
        <f>IF(1&gt;DAY(EOMONTH(DATE(PARAMETRES!$C$29,12,1),0)),"",WEEKDAY(DATE(PARAMETRES!$C$29,12,1),2))</f>
        <v/>
      </c>
      <c r="P2855" s="37">
        <f>IF(2&gt;DAY(EOMONTH(DATE(PARAMETRES!$C$29,12,1),0)),"",WEEKDAY(DATE(PARAMETRES!$C$29,12,2),2))</f>
        <v/>
      </c>
      <c r="Q2855" s="37">
        <f>IF(3&gt;DAY(EOMONTH(DATE(PARAMETRES!$C$29,12,1),0)),"",WEEKDAY(DATE(PARAMETRES!$C$29,12,3),2))</f>
        <v/>
      </c>
      <c r="R2855" s="37">
        <f>IF(4&gt;DAY(EOMONTH(DATE(PARAMETRES!$C$29,12,1),0)),"",WEEKDAY(DATE(PARAMETRES!$C$29,12,4),2))</f>
        <v/>
      </c>
      <c r="S2855" s="37">
        <f>IF(5&gt;DAY(EOMONTH(DATE(PARAMETRES!$C$29,12,1),0)),"",WEEKDAY(DATE(PARAMETRES!$C$29,12,5),2))</f>
        <v/>
      </c>
      <c r="T2855" s="37">
        <f>IF(6&gt;DAY(EOMONTH(DATE(PARAMETRES!$C$29,12,1),0)),"",WEEKDAY(DATE(PARAMETRES!$C$29,12,6),2))</f>
        <v/>
      </c>
      <c r="U2855" s="37">
        <f>IF(7&gt;DAY(EOMONTH(DATE(PARAMETRES!$C$29,12,1),0)),"",WEEKDAY(DATE(PARAMETRES!$C$29,12,7),2))</f>
        <v/>
      </c>
      <c r="V2855" s="37">
        <f>IF(8&gt;DAY(EOMONTH(DATE(PARAMETRES!$C$29,12,1),0)),"",WEEKDAY(DATE(PARAMETRES!$C$29,12,8),2))</f>
        <v/>
      </c>
      <c r="W2855" s="37">
        <f>IF(9&gt;DAY(EOMONTH(DATE(PARAMETRES!$C$29,12,1),0)),"",WEEKDAY(DATE(PARAMETRES!$C$29,12,9),2))</f>
        <v/>
      </c>
      <c r="X2855" s="37">
        <f>IF(10&gt;DAY(EOMONTH(DATE(PARAMETRES!$C$29,12,1),0)),"",WEEKDAY(DATE(PARAMETRES!$C$29,12,10),2))</f>
        <v/>
      </c>
      <c r="Y2855" s="37">
        <f>IF(11&gt;DAY(EOMONTH(DATE(PARAMETRES!$C$29,12,1),0)),"",WEEKDAY(DATE(PARAMETRES!$C$29,12,11),2))</f>
        <v/>
      </c>
      <c r="Z2855" s="37">
        <f>IF(12&gt;DAY(EOMONTH(DATE(PARAMETRES!$C$29,12,1),0)),"",WEEKDAY(DATE(PARAMETRES!$C$29,12,12),2))</f>
        <v/>
      </c>
      <c r="AA2855" s="37">
        <f>IF(13&gt;DAY(EOMONTH(DATE(PARAMETRES!$C$29,12,1),0)),"",WEEKDAY(DATE(PARAMETRES!$C$29,12,13),2))</f>
        <v/>
      </c>
      <c r="AB2855" s="37">
        <f>IF(14&gt;DAY(EOMONTH(DATE(PARAMETRES!$C$29,12,1),0)),"",WEEKDAY(DATE(PARAMETRES!$C$29,12,14),2))</f>
        <v/>
      </c>
      <c r="AC2855" s="37">
        <f>IF(15&gt;DAY(EOMONTH(DATE(PARAMETRES!$C$29,12,1),0)),"",WEEKDAY(DATE(PARAMETRES!$C$29,12,15),2))</f>
        <v/>
      </c>
      <c r="AD2855" s="37">
        <f>IF(16&gt;DAY(EOMONTH(DATE(PARAMETRES!$C$29,12,1),0)),"",WEEKDAY(DATE(PARAMETRES!$C$29,12,16),2))</f>
        <v/>
      </c>
      <c r="AE2855" s="37">
        <f>IF(17&gt;DAY(EOMONTH(DATE(PARAMETRES!$C$29,12,1),0)),"",WEEKDAY(DATE(PARAMETRES!$C$29,12,17),2))</f>
        <v/>
      </c>
      <c r="AF2855" s="37">
        <f>IF(18&gt;DAY(EOMONTH(DATE(PARAMETRES!$C$29,12,1),0)),"",WEEKDAY(DATE(PARAMETRES!$C$29,12,18),2))</f>
        <v/>
      </c>
      <c r="AG2855" s="37">
        <f>IF(19&gt;DAY(EOMONTH(DATE(PARAMETRES!$C$29,12,1),0)),"",WEEKDAY(DATE(PARAMETRES!$C$29,12,19),2))</f>
        <v/>
      </c>
      <c r="AH2855" s="37">
        <f>IF(20&gt;DAY(EOMONTH(DATE(PARAMETRES!$C$29,12,1),0)),"",WEEKDAY(DATE(PARAMETRES!$C$29,12,20),2))</f>
        <v/>
      </c>
      <c r="AI2855" s="37">
        <f>IF(21&gt;DAY(EOMONTH(DATE(PARAMETRES!$C$29,12,1),0)),"",WEEKDAY(DATE(PARAMETRES!$C$29,12,21),2))</f>
        <v/>
      </c>
      <c r="AJ2855" s="37">
        <f>IF(22&gt;DAY(EOMONTH(DATE(PARAMETRES!$C$29,12,1),0)),"",WEEKDAY(DATE(PARAMETRES!$C$29,12,22),2))</f>
        <v/>
      </c>
      <c r="AK2855" s="37">
        <f>IF(23&gt;DAY(EOMONTH(DATE(PARAMETRES!$C$29,12,1),0)),"",WEEKDAY(DATE(PARAMETRES!$C$29,12,23),2))</f>
        <v/>
      </c>
      <c r="AL2855" s="37">
        <f>IF(24&gt;DAY(EOMONTH(DATE(PARAMETRES!$C$29,12,1),0)),"",WEEKDAY(DATE(PARAMETRES!$C$29,12,24),2))</f>
        <v/>
      </c>
      <c r="AM2855" s="37">
        <f>IF(25&gt;DAY(EOMONTH(DATE(PARAMETRES!$C$29,12,1),0)),"",WEEKDAY(DATE(PARAMETRES!$C$29,12,25),2))</f>
        <v/>
      </c>
      <c r="AN2855" s="37">
        <f>IF(26&gt;DAY(EOMONTH(DATE(PARAMETRES!$C$29,12,1),0)),"",WEEKDAY(DATE(PARAMETRES!$C$29,12,26),2))</f>
        <v/>
      </c>
      <c r="AO2855" s="37">
        <f>IF(27&gt;DAY(EOMONTH(DATE(PARAMETRES!$C$29,12,1),0)),"",WEEKDAY(DATE(PARAMETRES!$C$29,12,27),2))</f>
        <v/>
      </c>
      <c r="AP2855" s="37">
        <f>IF(28&gt;DAY(EOMONTH(DATE(PARAMETRES!$C$29,12,1),0)),"",WEEKDAY(DATE(PARAMETRES!$C$29,12,28),2))</f>
        <v/>
      </c>
      <c r="AQ2855" s="37">
        <f>IF(29&gt;DAY(EOMONTH(DATE(PARAMETRES!$C$29,12,1),0)),"",WEEKDAY(DATE(PARAMETRES!$C$29,12,29),2))</f>
        <v/>
      </c>
      <c r="AR2855" s="37">
        <f>IF(30&gt;DAY(EOMONTH(DATE(PARAMETRES!$C$29,12,1),0)),"",WEEKDAY(DATE(PARAMETRES!$C$29,12,30),2))</f>
        <v/>
      </c>
      <c r="AS2855" s="37">
        <f>IF(31&gt;DAY(EOMONTH(DATE(PARAMETRES!$C$29,12,1),0)),"",WEEKDAY(DATE(PARAMETRES!$C$29,12,31),2))</f>
        <v/>
      </c>
    </row>
    <row r="2856" hidden="1" outlineLevel="1" ht="15" customHeight="1" s="15">
      <c r="AT2856" s="36">
        <f>IF(OR(O2792="",O2792=7),"","P")</f>
        <v/>
      </c>
      <c r="AU2856" s="36">
        <f>IF(OR(O2792="",O2792&gt;=6),"","P")</f>
        <v/>
      </c>
    </row>
    <row r="2857" hidden="1" outlineLevel="1" ht="15" customHeight="1" s="15">
      <c r="AT2857" s="36">
        <f>IF(OR(O2792="",O2792=7),"","D")</f>
        <v/>
      </c>
      <c r="AU2857" s="36">
        <f>IF(OR(O2792="",O2792&gt;=6),"","D")</f>
        <v/>
      </c>
    </row>
    <row r="2858" hidden="1" outlineLevel="1" ht="15" customHeight="1" s="15">
      <c r="AT2858" s="36">
        <f>IF(OR(O2792="",O2792=7),"","A")</f>
        <v/>
      </c>
      <c r="AU2858" s="36">
        <f>IF(OR(O2792="",O2792&gt;=6),"","A")</f>
        <v/>
      </c>
    </row>
    <row r="2859" hidden="1" outlineLevel="1" ht="15" customHeight="1" s="15">
      <c r="AT2859" s="36">
        <f>IF(OR(O2792="",O2792=7),"","F")</f>
        <v/>
      </c>
      <c r="AU2859" s="36">
        <f>IF(OR(O2792="",O2792&gt;=6),"","F")</f>
        <v/>
      </c>
    </row>
    <row r="2860" hidden="1" outlineLevel="1" ht="15" customHeight="1" s="15">
      <c r="AT2860" s="36">
        <f>IF(OR(O2792="",O2792=7),"","C")</f>
        <v/>
      </c>
      <c r="AU2860" s="36">
        <f>IF(OR(O2792="",O2792&gt;=6),"","C")</f>
        <v/>
      </c>
    </row>
    <row r="2861" hidden="1" outlineLevel="1" ht="15" customHeight="1" s="15">
      <c r="AT2861" s="36">
        <f>IF(AND(O2792&lt;&gt;"",O2792=7),"R","")</f>
        <v/>
      </c>
      <c r="AU2861" s="36">
        <f>IF(AND(O2792&lt;&gt;"",O2792&gt;=6),"R","")</f>
        <v/>
      </c>
    </row>
    <row r="2862" hidden="1" outlineLevel="1" ht="15" customHeight="1" s="15">
      <c r="AT2862" s="36">
        <f>IF(OR(P2792="",P2792=7),"","P")</f>
        <v/>
      </c>
      <c r="AU2862" s="36">
        <f>IF(OR(P2792="",P2792&gt;=6),"","P")</f>
        <v/>
      </c>
    </row>
    <row r="2863" hidden="1" outlineLevel="1" ht="15" customHeight="1" s="15">
      <c r="AT2863" s="36">
        <f>IF(OR(P2792="",P2792=7),"","D")</f>
        <v/>
      </c>
      <c r="AU2863" s="36">
        <f>IF(OR(P2792="",P2792&gt;=6),"","D")</f>
        <v/>
      </c>
    </row>
    <row r="2864" hidden="1" outlineLevel="1" ht="15" customHeight="1" s="15">
      <c r="AT2864" s="36">
        <f>IF(OR(P2792="",P2792=7),"","A")</f>
        <v/>
      </c>
      <c r="AU2864" s="36">
        <f>IF(OR(P2792="",P2792&gt;=6),"","A")</f>
        <v/>
      </c>
    </row>
    <row r="2865" hidden="1" outlineLevel="1" ht="15" customHeight="1" s="15">
      <c r="AT2865" s="36">
        <f>IF(OR(P2792="",P2792=7),"","F")</f>
        <v/>
      </c>
      <c r="AU2865" s="36">
        <f>IF(OR(P2792="",P2792&gt;=6),"","F")</f>
        <v/>
      </c>
    </row>
    <row r="2866" hidden="1" outlineLevel="1" ht="15" customHeight="1" s="15">
      <c r="AT2866" s="36">
        <f>IF(OR(P2792="",P2792=7),"","C")</f>
        <v/>
      </c>
      <c r="AU2866" s="36">
        <f>IF(OR(P2792="",P2792&gt;=6),"","C")</f>
        <v/>
      </c>
    </row>
    <row r="2867" hidden="1" outlineLevel="1" ht="15" customHeight="1" s="15">
      <c r="AT2867" s="36">
        <f>IF(AND(P2792&lt;&gt;"",P2792=7),"R","")</f>
        <v/>
      </c>
      <c r="AU2867" s="36">
        <f>IF(AND(P2792&lt;&gt;"",P2792&gt;=6),"R","")</f>
        <v/>
      </c>
    </row>
    <row r="2868" hidden="1" outlineLevel="1" ht="15" customHeight="1" s="15">
      <c r="AT2868" s="36">
        <f>IF(OR(Q2792="",Q2792=7),"","P")</f>
        <v/>
      </c>
      <c r="AU2868" s="36">
        <f>IF(OR(Q2792="",Q2792&gt;=6),"","P")</f>
        <v/>
      </c>
    </row>
    <row r="2869" hidden="1" outlineLevel="1" ht="15" customHeight="1" s="15">
      <c r="AT2869" s="36">
        <f>IF(OR(Q2792="",Q2792=7),"","D")</f>
        <v/>
      </c>
      <c r="AU2869" s="36">
        <f>IF(OR(Q2792="",Q2792&gt;=6),"","D")</f>
        <v/>
      </c>
    </row>
    <row r="2870" hidden="1" outlineLevel="1" ht="15" customHeight="1" s="15">
      <c r="AT2870" s="36">
        <f>IF(OR(Q2792="",Q2792=7),"","A")</f>
        <v/>
      </c>
      <c r="AU2870" s="36">
        <f>IF(OR(Q2792="",Q2792&gt;=6),"","A")</f>
        <v/>
      </c>
    </row>
    <row r="2871" hidden="1" outlineLevel="1" ht="15" customHeight="1" s="15">
      <c r="AT2871" s="36">
        <f>IF(OR(Q2792="",Q2792=7),"","F")</f>
        <v/>
      </c>
      <c r="AU2871" s="36">
        <f>IF(OR(Q2792="",Q2792&gt;=6),"","F")</f>
        <v/>
      </c>
    </row>
    <row r="2872" hidden="1" outlineLevel="1" ht="15" customHeight="1" s="15">
      <c r="AT2872" s="36">
        <f>IF(OR(Q2792="",Q2792=7),"","C")</f>
        <v/>
      </c>
      <c r="AU2872" s="36">
        <f>IF(OR(Q2792="",Q2792&gt;=6),"","C")</f>
        <v/>
      </c>
    </row>
    <row r="2873" hidden="1" outlineLevel="1" ht="15" customHeight="1" s="15">
      <c r="AT2873" s="36">
        <f>IF(AND(Q2792&lt;&gt;"",Q2792=7),"R","")</f>
        <v/>
      </c>
      <c r="AU2873" s="36">
        <f>IF(AND(Q2792&lt;&gt;"",Q2792&gt;=6),"R","")</f>
        <v/>
      </c>
    </row>
    <row r="2874" hidden="1" outlineLevel="1" ht="15" customHeight="1" s="15">
      <c r="AT2874" s="36">
        <f>IF(OR(R2792="",R2792=7),"","P")</f>
        <v/>
      </c>
      <c r="AU2874" s="36">
        <f>IF(OR(R2792="",R2792&gt;=6),"","P")</f>
        <v/>
      </c>
    </row>
    <row r="2875" hidden="1" outlineLevel="1" ht="15" customHeight="1" s="15">
      <c r="AT2875" s="36">
        <f>IF(OR(R2792="",R2792=7),"","D")</f>
        <v/>
      </c>
      <c r="AU2875" s="36">
        <f>IF(OR(R2792="",R2792&gt;=6),"","D")</f>
        <v/>
      </c>
    </row>
    <row r="2876" hidden="1" outlineLevel="1" ht="15" customHeight="1" s="15">
      <c r="AT2876" s="36">
        <f>IF(OR(R2792="",R2792=7),"","A")</f>
        <v/>
      </c>
      <c r="AU2876" s="36">
        <f>IF(OR(R2792="",R2792&gt;=6),"","A")</f>
        <v/>
      </c>
    </row>
    <row r="2877" hidden="1" outlineLevel="1" ht="15" customHeight="1" s="15">
      <c r="AT2877" s="36">
        <f>IF(OR(R2792="",R2792=7),"","F")</f>
        <v/>
      </c>
      <c r="AU2877" s="36">
        <f>IF(OR(R2792="",R2792&gt;=6),"","F")</f>
        <v/>
      </c>
    </row>
    <row r="2878" hidden="1" outlineLevel="1" ht="15" customHeight="1" s="15">
      <c r="AT2878" s="36">
        <f>IF(OR(R2792="",R2792=7),"","C")</f>
        <v/>
      </c>
      <c r="AU2878" s="36">
        <f>IF(OR(R2792="",R2792&gt;=6),"","C")</f>
        <v/>
      </c>
    </row>
    <row r="2879" hidden="1" outlineLevel="1" ht="15" customHeight="1" s="15">
      <c r="AT2879" s="36">
        <f>IF(AND(R2792&lt;&gt;"",R2792=7),"R","")</f>
        <v/>
      </c>
      <c r="AU2879" s="36">
        <f>IF(AND(R2792&lt;&gt;"",R2792&gt;=6),"R","")</f>
        <v/>
      </c>
    </row>
    <row r="2880" hidden="1" outlineLevel="1" ht="15" customHeight="1" s="15">
      <c r="AT2880" s="36">
        <f>IF(OR(S2792="",S2792=7),"","P")</f>
        <v/>
      </c>
      <c r="AU2880" s="36">
        <f>IF(OR(S2792="",S2792&gt;=6),"","P")</f>
        <v/>
      </c>
    </row>
    <row r="2881" hidden="1" outlineLevel="1" ht="15" customHeight="1" s="15">
      <c r="AT2881" s="36">
        <f>IF(OR(S2792="",S2792=7),"","D")</f>
        <v/>
      </c>
      <c r="AU2881" s="36">
        <f>IF(OR(S2792="",S2792&gt;=6),"","D")</f>
        <v/>
      </c>
    </row>
    <row r="2882" hidden="1" outlineLevel="1" ht="15" customHeight="1" s="15">
      <c r="AT2882" s="36">
        <f>IF(OR(S2792="",S2792=7),"","A")</f>
        <v/>
      </c>
      <c r="AU2882" s="36">
        <f>IF(OR(S2792="",S2792&gt;=6),"","A")</f>
        <v/>
      </c>
    </row>
    <row r="2883" hidden="1" outlineLevel="1" ht="15" customHeight="1" s="15">
      <c r="AT2883" s="36">
        <f>IF(OR(S2792="",S2792=7),"","F")</f>
        <v/>
      </c>
      <c r="AU2883" s="36">
        <f>IF(OR(S2792="",S2792&gt;=6),"","F")</f>
        <v/>
      </c>
    </row>
    <row r="2884" hidden="1" outlineLevel="1" ht="15" customHeight="1" s="15">
      <c r="AT2884" s="36">
        <f>IF(OR(S2792="",S2792=7),"","C")</f>
        <v/>
      </c>
      <c r="AU2884" s="36">
        <f>IF(OR(S2792="",S2792&gt;=6),"","C")</f>
        <v/>
      </c>
    </row>
    <row r="2885" hidden="1" outlineLevel="1" ht="15" customHeight="1" s="15">
      <c r="AT2885" s="36">
        <f>IF(AND(S2792&lt;&gt;"",S2792=7),"R","")</f>
        <v/>
      </c>
      <c r="AU2885" s="36">
        <f>IF(AND(S2792&lt;&gt;"",S2792&gt;=6),"R","")</f>
        <v/>
      </c>
    </row>
    <row r="2886" hidden="1" outlineLevel="1" ht="15" customHeight="1" s="15">
      <c r="AT2886" s="36">
        <f>IF(OR(T2792="",T2792=7),"","P")</f>
        <v/>
      </c>
      <c r="AU2886" s="36">
        <f>IF(OR(T2792="",T2792&gt;=6),"","P")</f>
        <v/>
      </c>
    </row>
    <row r="2887" hidden="1" outlineLevel="1" ht="15" customHeight="1" s="15">
      <c r="AT2887" s="36">
        <f>IF(OR(T2792="",T2792=7),"","D")</f>
        <v/>
      </c>
      <c r="AU2887" s="36">
        <f>IF(OR(T2792="",T2792&gt;=6),"","D")</f>
        <v/>
      </c>
    </row>
    <row r="2888" hidden="1" outlineLevel="1" ht="15" customHeight="1" s="15">
      <c r="AT2888" s="36">
        <f>IF(OR(T2792="",T2792=7),"","A")</f>
        <v/>
      </c>
      <c r="AU2888" s="36">
        <f>IF(OR(T2792="",T2792&gt;=6),"","A")</f>
        <v/>
      </c>
    </row>
    <row r="2889" hidden="1" outlineLevel="1" ht="15" customHeight="1" s="15">
      <c r="AT2889" s="36">
        <f>IF(OR(T2792="",T2792=7),"","F")</f>
        <v/>
      </c>
      <c r="AU2889" s="36">
        <f>IF(OR(T2792="",T2792&gt;=6),"","F")</f>
        <v/>
      </c>
    </row>
    <row r="2890" hidden="1" outlineLevel="1" ht="15" customHeight="1" s="15">
      <c r="AT2890" s="36">
        <f>IF(OR(T2792="",T2792=7),"","C")</f>
        <v/>
      </c>
      <c r="AU2890" s="36">
        <f>IF(OR(T2792="",T2792&gt;=6),"","C")</f>
        <v/>
      </c>
    </row>
    <row r="2891" hidden="1" outlineLevel="1" ht="15" customHeight="1" s="15">
      <c r="AT2891" s="36">
        <f>IF(AND(T2792&lt;&gt;"",T2792=7),"R","")</f>
        <v/>
      </c>
      <c r="AU2891" s="36">
        <f>IF(AND(T2792&lt;&gt;"",T2792&gt;=6),"R","")</f>
        <v/>
      </c>
    </row>
    <row r="2892" hidden="1" outlineLevel="1" ht="15" customHeight="1" s="15">
      <c r="AT2892" s="36">
        <f>IF(OR(U2792="",U2792=7),"","P")</f>
        <v/>
      </c>
      <c r="AU2892" s="36">
        <f>IF(OR(U2792="",U2792&gt;=6),"","P")</f>
        <v/>
      </c>
    </row>
    <row r="2893" hidden="1" outlineLevel="1" ht="15" customHeight="1" s="15">
      <c r="AT2893" s="36">
        <f>IF(OR(U2792="",U2792=7),"","D")</f>
        <v/>
      </c>
      <c r="AU2893" s="36">
        <f>IF(OR(U2792="",U2792&gt;=6),"","D")</f>
        <v/>
      </c>
    </row>
    <row r="2894" hidden="1" outlineLevel="1" ht="15" customHeight="1" s="15">
      <c r="AT2894" s="36">
        <f>IF(OR(U2792="",U2792=7),"","A")</f>
        <v/>
      </c>
      <c r="AU2894" s="36">
        <f>IF(OR(U2792="",U2792&gt;=6),"","A")</f>
        <v/>
      </c>
    </row>
    <row r="2895" hidden="1" outlineLevel="1" ht="15" customHeight="1" s="15">
      <c r="AT2895" s="36">
        <f>IF(OR(U2792="",U2792=7),"","F")</f>
        <v/>
      </c>
      <c r="AU2895" s="36">
        <f>IF(OR(U2792="",U2792&gt;=6),"","F")</f>
        <v/>
      </c>
    </row>
    <row r="2896" hidden="1" outlineLevel="1" ht="15" customHeight="1" s="15">
      <c r="AT2896" s="36">
        <f>IF(OR(U2792="",U2792=7),"","C")</f>
        <v/>
      </c>
      <c r="AU2896" s="36">
        <f>IF(OR(U2792="",U2792&gt;=6),"","C")</f>
        <v/>
      </c>
    </row>
    <row r="2897" hidden="1" outlineLevel="1" ht="15" customHeight="1" s="15">
      <c r="AT2897" s="36">
        <f>IF(AND(U2792&lt;&gt;"",U2792=7),"R","")</f>
        <v/>
      </c>
      <c r="AU2897" s="36">
        <f>IF(AND(U2792&lt;&gt;"",U2792&gt;=6),"R","")</f>
        <v/>
      </c>
    </row>
    <row r="2898" hidden="1" outlineLevel="1" ht="15" customHeight="1" s="15">
      <c r="AT2898" s="36">
        <f>IF(OR(V2792="",V2792=7),"","P")</f>
        <v/>
      </c>
      <c r="AU2898" s="36">
        <f>IF(OR(V2792="",V2792&gt;=6),"","P")</f>
        <v/>
      </c>
    </row>
    <row r="2899" hidden="1" outlineLevel="1" ht="15" customHeight="1" s="15">
      <c r="AT2899" s="36">
        <f>IF(OR(V2792="",V2792=7),"","D")</f>
        <v/>
      </c>
      <c r="AU2899" s="36">
        <f>IF(OR(V2792="",V2792&gt;=6),"","D")</f>
        <v/>
      </c>
    </row>
    <row r="2900" hidden="1" outlineLevel="1" ht="15" customHeight="1" s="15">
      <c r="AT2900" s="36">
        <f>IF(OR(V2792="",V2792=7),"","A")</f>
        <v/>
      </c>
      <c r="AU2900" s="36">
        <f>IF(OR(V2792="",V2792&gt;=6),"","A")</f>
        <v/>
      </c>
    </row>
    <row r="2901" hidden="1" outlineLevel="1" ht="15" customHeight="1" s="15">
      <c r="AT2901" s="36">
        <f>IF(OR(V2792="",V2792=7),"","F")</f>
        <v/>
      </c>
      <c r="AU2901" s="36">
        <f>IF(OR(V2792="",V2792&gt;=6),"","F")</f>
        <v/>
      </c>
    </row>
    <row r="2902" hidden="1" outlineLevel="1" ht="15" customHeight="1" s="15">
      <c r="AT2902" s="36">
        <f>IF(OR(V2792="",V2792=7),"","C")</f>
        <v/>
      </c>
      <c r="AU2902" s="36">
        <f>IF(OR(V2792="",V2792&gt;=6),"","C")</f>
        <v/>
      </c>
    </row>
    <row r="2903" hidden="1" outlineLevel="1" ht="15" customHeight="1" s="15">
      <c r="AT2903" s="36">
        <f>IF(AND(V2792&lt;&gt;"",V2792=7),"R","")</f>
        <v/>
      </c>
      <c r="AU2903" s="36">
        <f>IF(AND(V2792&lt;&gt;"",V2792&gt;=6),"R","")</f>
        <v/>
      </c>
    </row>
    <row r="2904" hidden="1" outlineLevel="1" ht="15" customHeight="1" s="15">
      <c r="AT2904" s="36">
        <f>IF(OR(W2792="",W2792=7),"","P")</f>
        <v/>
      </c>
      <c r="AU2904" s="36">
        <f>IF(OR(W2792="",W2792&gt;=6),"","P")</f>
        <v/>
      </c>
    </row>
    <row r="2905" hidden="1" outlineLevel="1" ht="15" customHeight="1" s="15">
      <c r="AT2905" s="36">
        <f>IF(OR(W2792="",W2792=7),"","D")</f>
        <v/>
      </c>
      <c r="AU2905" s="36">
        <f>IF(OR(W2792="",W2792&gt;=6),"","D")</f>
        <v/>
      </c>
    </row>
    <row r="2906" hidden="1" outlineLevel="1" ht="15" customHeight="1" s="15">
      <c r="AT2906" s="36">
        <f>IF(OR(W2792="",W2792=7),"","A")</f>
        <v/>
      </c>
      <c r="AU2906" s="36">
        <f>IF(OR(W2792="",W2792&gt;=6),"","A")</f>
        <v/>
      </c>
    </row>
    <row r="2907" hidden="1" outlineLevel="1" ht="15" customHeight="1" s="15">
      <c r="AT2907" s="36">
        <f>IF(OR(W2792="",W2792=7),"","F")</f>
        <v/>
      </c>
      <c r="AU2907" s="36">
        <f>IF(OR(W2792="",W2792&gt;=6),"","F")</f>
        <v/>
      </c>
    </row>
    <row r="2908" hidden="1" outlineLevel="1" ht="15" customHeight="1" s="15">
      <c r="AT2908" s="36">
        <f>IF(OR(W2792="",W2792=7),"","C")</f>
        <v/>
      </c>
      <c r="AU2908" s="36">
        <f>IF(OR(W2792="",W2792&gt;=6),"","C")</f>
        <v/>
      </c>
    </row>
    <row r="2909" hidden="1" outlineLevel="1" ht="15" customHeight="1" s="15">
      <c r="AT2909" s="36">
        <f>IF(AND(W2792&lt;&gt;"",W2792=7),"R","")</f>
        <v/>
      </c>
      <c r="AU2909" s="36">
        <f>IF(AND(W2792&lt;&gt;"",W2792&gt;=6),"R","")</f>
        <v/>
      </c>
    </row>
    <row r="2910" hidden="1" outlineLevel="1" ht="15" customHeight="1" s="15">
      <c r="AT2910" s="36">
        <f>IF(OR(X2792="",X2792=7),"","P")</f>
        <v/>
      </c>
      <c r="AU2910" s="36">
        <f>IF(OR(X2792="",X2792&gt;=6),"","P")</f>
        <v/>
      </c>
    </row>
    <row r="2911" hidden="1" outlineLevel="1" ht="15" customHeight="1" s="15">
      <c r="AT2911" s="36">
        <f>IF(OR(X2792="",X2792=7),"","D")</f>
        <v/>
      </c>
      <c r="AU2911" s="36">
        <f>IF(OR(X2792="",X2792&gt;=6),"","D")</f>
        <v/>
      </c>
    </row>
    <row r="2912" hidden="1" outlineLevel="1" ht="15" customHeight="1" s="15">
      <c r="AT2912" s="36">
        <f>IF(OR(X2792="",X2792=7),"","A")</f>
        <v/>
      </c>
      <c r="AU2912" s="36">
        <f>IF(OR(X2792="",X2792&gt;=6),"","A")</f>
        <v/>
      </c>
    </row>
    <row r="2913" hidden="1" outlineLevel="1" ht="15" customHeight="1" s="15">
      <c r="AT2913" s="36">
        <f>IF(OR(X2792="",X2792=7),"","F")</f>
        <v/>
      </c>
      <c r="AU2913" s="36">
        <f>IF(OR(X2792="",X2792&gt;=6),"","F")</f>
        <v/>
      </c>
    </row>
    <row r="2914" hidden="1" outlineLevel="1" ht="15" customHeight="1" s="15">
      <c r="AT2914" s="36">
        <f>IF(OR(X2792="",X2792=7),"","C")</f>
        <v/>
      </c>
      <c r="AU2914" s="36">
        <f>IF(OR(X2792="",X2792&gt;=6),"","C")</f>
        <v/>
      </c>
    </row>
    <row r="2915" hidden="1" outlineLevel="1" ht="15" customHeight="1" s="15">
      <c r="AT2915" s="36">
        <f>IF(AND(X2792&lt;&gt;"",X2792=7),"R","")</f>
        <v/>
      </c>
      <c r="AU2915" s="36">
        <f>IF(AND(X2792&lt;&gt;"",X2792&gt;=6),"R","")</f>
        <v/>
      </c>
    </row>
    <row r="2916" hidden="1" outlineLevel="1" ht="15" customHeight="1" s="15">
      <c r="AT2916" s="36">
        <f>IF(OR(Y2792="",Y2792=7),"","P")</f>
        <v/>
      </c>
      <c r="AU2916" s="36">
        <f>IF(OR(Y2792="",Y2792&gt;=6),"","P")</f>
        <v/>
      </c>
    </row>
    <row r="2917" hidden="1" outlineLevel="1" ht="15" customHeight="1" s="15">
      <c r="AT2917" s="36">
        <f>IF(OR(Y2792="",Y2792=7),"","D")</f>
        <v/>
      </c>
      <c r="AU2917" s="36">
        <f>IF(OR(Y2792="",Y2792&gt;=6),"","D")</f>
        <v/>
      </c>
    </row>
    <row r="2918" hidden="1" outlineLevel="1" ht="15" customHeight="1" s="15">
      <c r="AT2918" s="36">
        <f>IF(OR(Y2792="",Y2792=7),"","A")</f>
        <v/>
      </c>
      <c r="AU2918" s="36">
        <f>IF(OR(Y2792="",Y2792&gt;=6),"","A")</f>
        <v/>
      </c>
    </row>
    <row r="2919" hidden="1" outlineLevel="1" ht="15" customHeight="1" s="15">
      <c r="AT2919" s="36">
        <f>IF(OR(Y2792="",Y2792=7),"","F")</f>
        <v/>
      </c>
      <c r="AU2919" s="36">
        <f>IF(OR(Y2792="",Y2792&gt;=6),"","F")</f>
        <v/>
      </c>
    </row>
    <row r="2920" hidden="1" outlineLevel="1" ht="15" customHeight="1" s="15">
      <c r="AT2920" s="36">
        <f>IF(OR(Y2792="",Y2792=7),"","C")</f>
        <v/>
      </c>
      <c r="AU2920" s="36">
        <f>IF(OR(Y2792="",Y2792&gt;=6),"","C")</f>
        <v/>
      </c>
    </row>
    <row r="2921" hidden="1" outlineLevel="1" ht="15" customHeight="1" s="15">
      <c r="AT2921" s="36">
        <f>IF(AND(Y2792&lt;&gt;"",Y2792=7),"R","")</f>
        <v/>
      </c>
      <c r="AU2921" s="36">
        <f>IF(AND(Y2792&lt;&gt;"",Y2792&gt;=6),"R","")</f>
        <v/>
      </c>
    </row>
    <row r="2922" hidden="1" outlineLevel="1" ht="15" customHeight="1" s="15">
      <c r="AT2922" s="36">
        <f>IF(OR(Z2792="",Z2792=7),"","P")</f>
        <v/>
      </c>
      <c r="AU2922" s="36">
        <f>IF(OR(Z2792="",Z2792&gt;=6),"","P")</f>
        <v/>
      </c>
    </row>
    <row r="2923" hidden="1" outlineLevel="1" ht="15" customHeight="1" s="15">
      <c r="AT2923" s="36">
        <f>IF(OR(Z2792="",Z2792=7),"","D")</f>
        <v/>
      </c>
      <c r="AU2923" s="36">
        <f>IF(OR(Z2792="",Z2792&gt;=6),"","D")</f>
        <v/>
      </c>
    </row>
    <row r="2924" hidden="1" outlineLevel="1" ht="15" customHeight="1" s="15">
      <c r="AT2924" s="36">
        <f>IF(OR(Z2792="",Z2792=7),"","A")</f>
        <v/>
      </c>
      <c r="AU2924" s="36">
        <f>IF(OR(Z2792="",Z2792&gt;=6),"","A")</f>
        <v/>
      </c>
    </row>
    <row r="2925" hidden="1" outlineLevel="1" ht="15" customHeight="1" s="15">
      <c r="AT2925" s="36">
        <f>IF(OR(Z2792="",Z2792=7),"","F")</f>
        <v/>
      </c>
      <c r="AU2925" s="36">
        <f>IF(OR(Z2792="",Z2792&gt;=6),"","F")</f>
        <v/>
      </c>
    </row>
    <row r="2926" hidden="1" outlineLevel="1" ht="15" customHeight="1" s="15">
      <c r="AT2926" s="36">
        <f>IF(OR(Z2792="",Z2792=7),"","C")</f>
        <v/>
      </c>
      <c r="AU2926" s="36">
        <f>IF(OR(Z2792="",Z2792&gt;=6),"","C")</f>
        <v/>
      </c>
    </row>
    <row r="2927" hidden="1" outlineLevel="1" ht="15" customHeight="1" s="15">
      <c r="AT2927" s="36">
        <f>IF(AND(Z2792&lt;&gt;"",Z2792=7),"R","")</f>
        <v/>
      </c>
      <c r="AU2927" s="36">
        <f>IF(AND(Z2792&lt;&gt;"",Z2792&gt;=6),"R","")</f>
        <v/>
      </c>
    </row>
    <row r="2928" hidden="1" outlineLevel="1" ht="15" customHeight="1" s="15">
      <c r="AT2928" s="36">
        <f>IF(OR(AA2792="",AA2792=7),"","P")</f>
        <v/>
      </c>
      <c r="AU2928" s="36">
        <f>IF(OR(AA2792="",AA2792&gt;=6),"","P")</f>
        <v/>
      </c>
    </row>
    <row r="2929" hidden="1" outlineLevel="1" ht="15" customHeight="1" s="15">
      <c r="AT2929" s="36">
        <f>IF(OR(AA2792="",AA2792=7),"","D")</f>
        <v/>
      </c>
      <c r="AU2929" s="36">
        <f>IF(OR(AA2792="",AA2792&gt;=6),"","D")</f>
        <v/>
      </c>
    </row>
    <row r="2930" hidden="1" outlineLevel="1" ht="15" customHeight="1" s="15">
      <c r="AT2930" s="36">
        <f>IF(OR(AA2792="",AA2792=7),"","A")</f>
        <v/>
      </c>
      <c r="AU2930" s="36">
        <f>IF(OR(AA2792="",AA2792&gt;=6),"","A")</f>
        <v/>
      </c>
    </row>
    <row r="2931" hidden="1" outlineLevel="1" ht="15" customHeight="1" s="15">
      <c r="AT2931" s="36">
        <f>IF(OR(AA2792="",AA2792=7),"","F")</f>
        <v/>
      </c>
      <c r="AU2931" s="36">
        <f>IF(OR(AA2792="",AA2792&gt;=6),"","F")</f>
        <v/>
      </c>
    </row>
    <row r="2932" hidden="1" outlineLevel="1" ht="15" customHeight="1" s="15">
      <c r="AT2932" s="36">
        <f>IF(OR(AA2792="",AA2792=7),"","C")</f>
        <v/>
      </c>
      <c r="AU2932" s="36">
        <f>IF(OR(AA2792="",AA2792&gt;=6),"","C")</f>
        <v/>
      </c>
    </row>
    <row r="2933" hidden="1" outlineLevel="1" ht="15" customHeight="1" s="15">
      <c r="AT2933" s="36">
        <f>IF(AND(AA2792&lt;&gt;"",AA2792=7),"R","")</f>
        <v/>
      </c>
      <c r="AU2933" s="36">
        <f>IF(AND(AA2792&lt;&gt;"",AA2792&gt;=6),"R","")</f>
        <v/>
      </c>
    </row>
    <row r="2934" hidden="1" outlineLevel="1" ht="15" customHeight="1" s="15">
      <c r="AT2934" s="36">
        <f>IF(OR(AB2792="",AB2792=7),"","P")</f>
        <v/>
      </c>
      <c r="AU2934" s="36">
        <f>IF(OR(AB2792="",AB2792&gt;=6),"","P")</f>
        <v/>
      </c>
    </row>
    <row r="2935" hidden="1" outlineLevel="1" ht="15" customHeight="1" s="15">
      <c r="AT2935" s="36">
        <f>IF(OR(AB2792="",AB2792=7),"","D")</f>
        <v/>
      </c>
      <c r="AU2935" s="36">
        <f>IF(OR(AB2792="",AB2792&gt;=6),"","D")</f>
        <v/>
      </c>
    </row>
    <row r="2936" hidden="1" outlineLevel="1" ht="15" customHeight="1" s="15">
      <c r="AT2936" s="36">
        <f>IF(OR(AB2792="",AB2792=7),"","A")</f>
        <v/>
      </c>
      <c r="AU2936" s="36">
        <f>IF(OR(AB2792="",AB2792&gt;=6),"","A")</f>
        <v/>
      </c>
    </row>
    <row r="2937" hidden="1" outlineLevel="1" ht="15" customHeight="1" s="15">
      <c r="AT2937" s="36">
        <f>IF(OR(AB2792="",AB2792=7),"","F")</f>
        <v/>
      </c>
      <c r="AU2937" s="36">
        <f>IF(OR(AB2792="",AB2792&gt;=6),"","F")</f>
        <v/>
      </c>
    </row>
    <row r="2938" hidden="1" outlineLevel="1" ht="15" customHeight="1" s="15">
      <c r="AT2938" s="36">
        <f>IF(OR(AB2792="",AB2792=7),"","C")</f>
        <v/>
      </c>
      <c r="AU2938" s="36">
        <f>IF(OR(AB2792="",AB2792&gt;=6),"","C")</f>
        <v/>
      </c>
    </row>
    <row r="2939" hidden="1" outlineLevel="1" ht="15" customHeight="1" s="15">
      <c r="AT2939" s="36">
        <f>IF(AND(AB2792&lt;&gt;"",AB2792=7),"R","")</f>
        <v/>
      </c>
      <c r="AU2939" s="36">
        <f>IF(AND(AB2792&lt;&gt;"",AB2792&gt;=6),"R","")</f>
        <v/>
      </c>
    </row>
    <row r="2940" hidden="1" outlineLevel="1" ht="15" customHeight="1" s="15">
      <c r="AT2940" s="36">
        <f>IF(OR(AC2792="",AC2792=7),"","P")</f>
        <v/>
      </c>
      <c r="AU2940" s="36">
        <f>IF(OR(AC2792="",AC2792&gt;=6),"","P")</f>
        <v/>
      </c>
    </row>
    <row r="2941" hidden="1" outlineLevel="1" ht="15" customHeight="1" s="15">
      <c r="AT2941" s="36">
        <f>IF(OR(AC2792="",AC2792=7),"","D")</f>
        <v/>
      </c>
      <c r="AU2941" s="36">
        <f>IF(OR(AC2792="",AC2792&gt;=6),"","D")</f>
        <v/>
      </c>
    </row>
    <row r="2942" hidden="1" outlineLevel="1" ht="15" customHeight="1" s="15">
      <c r="AT2942" s="36">
        <f>IF(OR(AC2792="",AC2792=7),"","A")</f>
        <v/>
      </c>
      <c r="AU2942" s="36">
        <f>IF(OR(AC2792="",AC2792&gt;=6),"","A")</f>
        <v/>
      </c>
    </row>
    <row r="2943" hidden="1" outlineLevel="1" ht="15" customHeight="1" s="15">
      <c r="AT2943" s="36">
        <f>IF(OR(AC2792="",AC2792=7),"","F")</f>
        <v/>
      </c>
      <c r="AU2943" s="36">
        <f>IF(OR(AC2792="",AC2792&gt;=6),"","F")</f>
        <v/>
      </c>
    </row>
    <row r="2944" hidden="1" outlineLevel="1" ht="15" customHeight="1" s="15">
      <c r="AT2944" s="36">
        <f>IF(OR(AC2792="",AC2792=7),"","C")</f>
        <v/>
      </c>
      <c r="AU2944" s="36">
        <f>IF(OR(AC2792="",AC2792&gt;=6),"","C")</f>
        <v/>
      </c>
    </row>
    <row r="2945" hidden="1" outlineLevel="1" ht="15" customHeight="1" s="15">
      <c r="AT2945" s="36">
        <f>IF(AND(AC2792&lt;&gt;"",AC2792=7),"R","")</f>
        <v/>
      </c>
      <c r="AU2945" s="36">
        <f>IF(AND(AC2792&lt;&gt;"",AC2792&gt;=6),"R","")</f>
        <v/>
      </c>
    </row>
    <row r="2946" hidden="1" outlineLevel="1" ht="15" customHeight="1" s="15">
      <c r="AT2946" s="36">
        <f>IF(OR(AD2792="",AD2792=7),"","P")</f>
        <v/>
      </c>
      <c r="AU2946" s="36">
        <f>IF(OR(AD2792="",AD2792&gt;=6),"","P")</f>
        <v/>
      </c>
    </row>
    <row r="2947" hidden="1" outlineLevel="1" ht="15" customHeight="1" s="15">
      <c r="AT2947" s="36">
        <f>IF(OR(AD2792="",AD2792=7),"","D")</f>
        <v/>
      </c>
      <c r="AU2947" s="36">
        <f>IF(OR(AD2792="",AD2792&gt;=6),"","D")</f>
        <v/>
      </c>
    </row>
    <row r="2948" hidden="1" outlineLevel="1" ht="15" customHeight="1" s="15">
      <c r="AT2948" s="36">
        <f>IF(OR(AD2792="",AD2792=7),"","A")</f>
        <v/>
      </c>
      <c r="AU2948" s="36">
        <f>IF(OR(AD2792="",AD2792&gt;=6),"","A")</f>
        <v/>
      </c>
    </row>
    <row r="2949" hidden="1" outlineLevel="1" ht="15" customHeight="1" s="15">
      <c r="AT2949" s="36">
        <f>IF(OR(AD2792="",AD2792=7),"","F")</f>
        <v/>
      </c>
      <c r="AU2949" s="36">
        <f>IF(OR(AD2792="",AD2792&gt;=6),"","F")</f>
        <v/>
      </c>
    </row>
    <row r="2950" hidden="1" outlineLevel="1" ht="15" customHeight="1" s="15">
      <c r="AT2950" s="36">
        <f>IF(OR(AD2792="",AD2792=7),"","C")</f>
        <v/>
      </c>
      <c r="AU2950" s="36">
        <f>IF(OR(AD2792="",AD2792&gt;=6),"","C")</f>
        <v/>
      </c>
    </row>
    <row r="2951" hidden="1" outlineLevel="1" ht="15" customHeight="1" s="15">
      <c r="AT2951" s="36">
        <f>IF(AND(AD2792&lt;&gt;"",AD2792=7),"R","")</f>
        <v/>
      </c>
      <c r="AU2951" s="36">
        <f>IF(AND(AD2792&lt;&gt;"",AD2792&gt;=6),"R","")</f>
        <v/>
      </c>
    </row>
    <row r="2952" hidden="1" outlineLevel="1" ht="15" customHeight="1" s="15">
      <c r="AT2952" s="36">
        <f>IF(OR(AE2792="",AE2792=7),"","P")</f>
        <v/>
      </c>
      <c r="AU2952" s="36">
        <f>IF(OR(AE2792="",AE2792&gt;=6),"","P")</f>
        <v/>
      </c>
    </row>
    <row r="2953" hidden="1" outlineLevel="1" ht="15" customHeight="1" s="15">
      <c r="AT2953" s="36">
        <f>IF(OR(AE2792="",AE2792=7),"","D")</f>
        <v/>
      </c>
      <c r="AU2953" s="36">
        <f>IF(OR(AE2792="",AE2792&gt;=6),"","D")</f>
        <v/>
      </c>
    </row>
    <row r="2954" hidden="1" outlineLevel="1" ht="15" customHeight="1" s="15">
      <c r="AT2954" s="36">
        <f>IF(OR(AE2792="",AE2792=7),"","A")</f>
        <v/>
      </c>
      <c r="AU2954" s="36">
        <f>IF(OR(AE2792="",AE2792&gt;=6),"","A")</f>
        <v/>
      </c>
    </row>
    <row r="2955" hidden="1" outlineLevel="1" ht="15" customHeight="1" s="15">
      <c r="AT2955" s="36">
        <f>IF(OR(AE2792="",AE2792=7),"","F")</f>
        <v/>
      </c>
      <c r="AU2955" s="36">
        <f>IF(OR(AE2792="",AE2792&gt;=6),"","F")</f>
        <v/>
      </c>
    </row>
    <row r="2956" hidden="1" outlineLevel="1" ht="15" customHeight="1" s="15">
      <c r="AT2956" s="36">
        <f>IF(OR(AE2792="",AE2792=7),"","C")</f>
        <v/>
      </c>
      <c r="AU2956" s="36">
        <f>IF(OR(AE2792="",AE2792&gt;=6),"","C")</f>
        <v/>
      </c>
    </row>
    <row r="2957" hidden="1" outlineLevel="1" ht="15" customHeight="1" s="15">
      <c r="AT2957" s="36">
        <f>IF(AND(AE2792&lt;&gt;"",AE2792=7),"R","")</f>
        <v/>
      </c>
      <c r="AU2957" s="36">
        <f>IF(AND(AE2792&lt;&gt;"",AE2792&gt;=6),"R","")</f>
        <v/>
      </c>
    </row>
    <row r="2958" hidden="1" outlineLevel="1" ht="15" customHeight="1" s="15">
      <c r="AT2958" s="36">
        <f>IF(OR(AF2792="",AF2792=7),"","P")</f>
        <v/>
      </c>
      <c r="AU2958" s="36">
        <f>IF(OR(AF2792="",AF2792&gt;=6),"","P")</f>
        <v/>
      </c>
    </row>
    <row r="2959" hidden="1" outlineLevel="1" ht="15" customHeight="1" s="15">
      <c r="AT2959" s="36">
        <f>IF(OR(AF2792="",AF2792=7),"","D")</f>
        <v/>
      </c>
      <c r="AU2959" s="36">
        <f>IF(OR(AF2792="",AF2792&gt;=6),"","D")</f>
        <v/>
      </c>
    </row>
    <row r="2960" hidden="1" outlineLevel="1" ht="15" customHeight="1" s="15">
      <c r="AT2960" s="36">
        <f>IF(OR(AF2792="",AF2792=7),"","A")</f>
        <v/>
      </c>
      <c r="AU2960" s="36">
        <f>IF(OR(AF2792="",AF2792&gt;=6),"","A")</f>
        <v/>
      </c>
    </row>
    <row r="2961" hidden="1" outlineLevel="1" ht="15" customHeight="1" s="15">
      <c r="AT2961" s="36">
        <f>IF(OR(AF2792="",AF2792=7),"","F")</f>
        <v/>
      </c>
      <c r="AU2961" s="36">
        <f>IF(OR(AF2792="",AF2792&gt;=6),"","F")</f>
        <v/>
      </c>
    </row>
    <row r="2962" hidden="1" outlineLevel="1" ht="15" customHeight="1" s="15">
      <c r="AT2962" s="36">
        <f>IF(OR(AF2792="",AF2792=7),"","C")</f>
        <v/>
      </c>
      <c r="AU2962" s="36">
        <f>IF(OR(AF2792="",AF2792&gt;=6),"","C")</f>
        <v/>
      </c>
    </row>
    <row r="2963" hidden="1" outlineLevel="1" ht="15" customHeight="1" s="15">
      <c r="AT2963" s="36">
        <f>IF(AND(AF2792&lt;&gt;"",AF2792=7),"R","")</f>
        <v/>
      </c>
      <c r="AU2963" s="36">
        <f>IF(AND(AF2792&lt;&gt;"",AF2792&gt;=6),"R","")</f>
        <v/>
      </c>
    </row>
    <row r="2964" hidden="1" outlineLevel="1" ht="15" customHeight="1" s="15">
      <c r="AT2964" s="36">
        <f>IF(OR(AG2792="",AG2792=7),"","P")</f>
        <v/>
      </c>
      <c r="AU2964" s="36">
        <f>IF(OR(AG2792="",AG2792&gt;=6),"","P")</f>
        <v/>
      </c>
    </row>
    <row r="2965" hidden="1" outlineLevel="1" ht="15" customHeight="1" s="15">
      <c r="AT2965" s="36">
        <f>IF(OR(AG2792="",AG2792=7),"","D")</f>
        <v/>
      </c>
      <c r="AU2965" s="36">
        <f>IF(OR(AG2792="",AG2792&gt;=6),"","D")</f>
        <v/>
      </c>
    </row>
    <row r="2966" hidden="1" outlineLevel="1" ht="15" customHeight="1" s="15">
      <c r="AT2966" s="36">
        <f>IF(OR(AG2792="",AG2792=7),"","A")</f>
        <v/>
      </c>
      <c r="AU2966" s="36">
        <f>IF(OR(AG2792="",AG2792&gt;=6),"","A")</f>
        <v/>
      </c>
    </row>
    <row r="2967" hidden="1" outlineLevel="1" ht="15" customHeight="1" s="15">
      <c r="AT2967" s="36">
        <f>IF(OR(AG2792="",AG2792=7),"","F")</f>
        <v/>
      </c>
      <c r="AU2967" s="36">
        <f>IF(OR(AG2792="",AG2792&gt;=6),"","F")</f>
        <v/>
      </c>
    </row>
    <row r="2968" hidden="1" outlineLevel="1" ht="15" customHeight="1" s="15">
      <c r="AT2968" s="36">
        <f>IF(OR(AG2792="",AG2792=7),"","C")</f>
        <v/>
      </c>
      <c r="AU2968" s="36">
        <f>IF(OR(AG2792="",AG2792&gt;=6),"","C")</f>
        <v/>
      </c>
    </row>
    <row r="2969" hidden="1" outlineLevel="1" ht="15" customHeight="1" s="15">
      <c r="AT2969" s="36">
        <f>IF(AND(AG2792&lt;&gt;"",AG2792=7),"R","")</f>
        <v/>
      </c>
      <c r="AU2969" s="36">
        <f>IF(AND(AG2792&lt;&gt;"",AG2792&gt;=6),"R","")</f>
        <v/>
      </c>
    </row>
    <row r="2970" hidden="1" outlineLevel="1" ht="15" customHeight="1" s="15">
      <c r="AT2970" s="36">
        <f>IF(OR(AH2792="",AH2792=7),"","P")</f>
        <v/>
      </c>
      <c r="AU2970" s="36">
        <f>IF(OR(AH2792="",AH2792&gt;=6),"","P")</f>
        <v/>
      </c>
    </row>
    <row r="2971" hidden="1" outlineLevel="1" ht="15" customHeight="1" s="15">
      <c r="AT2971" s="36">
        <f>IF(OR(AH2792="",AH2792=7),"","D")</f>
        <v/>
      </c>
      <c r="AU2971" s="36">
        <f>IF(OR(AH2792="",AH2792&gt;=6),"","D")</f>
        <v/>
      </c>
    </row>
    <row r="2972" hidden="1" outlineLevel="1" ht="15" customHeight="1" s="15">
      <c r="AT2972" s="36">
        <f>IF(OR(AH2792="",AH2792=7),"","A")</f>
        <v/>
      </c>
      <c r="AU2972" s="36">
        <f>IF(OR(AH2792="",AH2792&gt;=6),"","A")</f>
        <v/>
      </c>
    </row>
    <row r="2973" hidden="1" outlineLevel="1" ht="15" customHeight="1" s="15">
      <c r="AT2973" s="36">
        <f>IF(OR(AH2792="",AH2792=7),"","F")</f>
        <v/>
      </c>
      <c r="AU2973" s="36">
        <f>IF(OR(AH2792="",AH2792&gt;=6),"","F")</f>
        <v/>
      </c>
    </row>
    <row r="2974" hidden="1" outlineLevel="1" ht="15" customHeight="1" s="15">
      <c r="AT2974" s="36">
        <f>IF(OR(AH2792="",AH2792=7),"","C")</f>
        <v/>
      </c>
      <c r="AU2974" s="36">
        <f>IF(OR(AH2792="",AH2792&gt;=6),"","C")</f>
        <v/>
      </c>
    </row>
    <row r="2975" hidden="1" outlineLevel="1" ht="15" customHeight="1" s="15">
      <c r="AT2975" s="36">
        <f>IF(AND(AH2792&lt;&gt;"",AH2792=7),"R","")</f>
        <v/>
      </c>
      <c r="AU2975" s="36">
        <f>IF(AND(AH2792&lt;&gt;"",AH2792&gt;=6),"R","")</f>
        <v/>
      </c>
    </row>
    <row r="2976" hidden="1" outlineLevel="1" ht="15" customHeight="1" s="15">
      <c r="AT2976" s="36">
        <f>IF(OR(AI2792="",AI2792=7),"","P")</f>
        <v/>
      </c>
      <c r="AU2976" s="36">
        <f>IF(OR(AI2792="",AI2792&gt;=6),"","P")</f>
        <v/>
      </c>
    </row>
    <row r="2977" hidden="1" outlineLevel="1" ht="15" customHeight="1" s="15">
      <c r="AT2977" s="36">
        <f>IF(OR(AI2792="",AI2792=7),"","D")</f>
        <v/>
      </c>
      <c r="AU2977" s="36">
        <f>IF(OR(AI2792="",AI2792&gt;=6),"","D")</f>
        <v/>
      </c>
    </row>
    <row r="2978" hidden="1" outlineLevel="1" ht="15" customHeight="1" s="15">
      <c r="AT2978" s="36">
        <f>IF(OR(AI2792="",AI2792=7),"","A")</f>
        <v/>
      </c>
      <c r="AU2978" s="36">
        <f>IF(OR(AI2792="",AI2792&gt;=6),"","A")</f>
        <v/>
      </c>
    </row>
    <row r="2979" hidden="1" outlineLevel="1" ht="15" customHeight="1" s="15">
      <c r="AT2979" s="36">
        <f>IF(OR(AI2792="",AI2792=7),"","F")</f>
        <v/>
      </c>
      <c r="AU2979" s="36">
        <f>IF(OR(AI2792="",AI2792&gt;=6),"","F")</f>
        <v/>
      </c>
    </row>
    <row r="2980" hidden="1" outlineLevel="1" ht="15" customHeight="1" s="15">
      <c r="AT2980" s="36">
        <f>IF(OR(AI2792="",AI2792=7),"","C")</f>
        <v/>
      </c>
      <c r="AU2980" s="36">
        <f>IF(OR(AI2792="",AI2792&gt;=6),"","C")</f>
        <v/>
      </c>
    </row>
    <row r="2981" hidden="1" outlineLevel="1" ht="15" customHeight="1" s="15">
      <c r="AT2981" s="36">
        <f>IF(AND(AI2792&lt;&gt;"",AI2792=7),"R","")</f>
        <v/>
      </c>
      <c r="AU2981" s="36">
        <f>IF(AND(AI2792&lt;&gt;"",AI2792&gt;=6),"R","")</f>
        <v/>
      </c>
    </row>
    <row r="2982" hidden="1" outlineLevel="1" ht="15" customHeight="1" s="15">
      <c r="AT2982" s="36">
        <f>IF(OR(AJ2792="",AJ2792=7),"","P")</f>
        <v/>
      </c>
      <c r="AU2982" s="36">
        <f>IF(OR(AJ2792="",AJ2792&gt;=6),"","P")</f>
        <v/>
      </c>
    </row>
    <row r="2983" hidden="1" outlineLevel="1" ht="15" customHeight="1" s="15">
      <c r="AT2983" s="36">
        <f>IF(OR(AJ2792="",AJ2792=7),"","D")</f>
        <v/>
      </c>
      <c r="AU2983" s="36">
        <f>IF(OR(AJ2792="",AJ2792&gt;=6),"","D")</f>
        <v/>
      </c>
    </row>
    <row r="2984" hidden="1" outlineLevel="1" ht="15" customHeight="1" s="15">
      <c r="AT2984" s="36">
        <f>IF(OR(AJ2792="",AJ2792=7),"","A")</f>
        <v/>
      </c>
      <c r="AU2984" s="36">
        <f>IF(OR(AJ2792="",AJ2792&gt;=6),"","A")</f>
        <v/>
      </c>
    </row>
    <row r="2985" hidden="1" outlineLevel="1" ht="15" customHeight="1" s="15">
      <c r="AT2985" s="36">
        <f>IF(OR(AJ2792="",AJ2792=7),"","F")</f>
        <v/>
      </c>
      <c r="AU2985" s="36">
        <f>IF(OR(AJ2792="",AJ2792&gt;=6),"","F")</f>
        <v/>
      </c>
    </row>
    <row r="2986" hidden="1" outlineLevel="1" ht="15" customHeight="1" s="15">
      <c r="AT2986" s="36">
        <f>IF(OR(AJ2792="",AJ2792=7),"","C")</f>
        <v/>
      </c>
      <c r="AU2986" s="36">
        <f>IF(OR(AJ2792="",AJ2792&gt;=6),"","C")</f>
        <v/>
      </c>
    </row>
    <row r="2987" hidden="1" outlineLevel="1" ht="15" customHeight="1" s="15">
      <c r="AT2987" s="36">
        <f>IF(AND(AJ2792&lt;&gt;"",AJ2792=7),"R","")</f>
        <v/>
      </c>
      <c r="AU2987" s="36">
        <f>IF(AND(AJ2792&lt;&gt;"",AJ2792&gt;=6),"R","")</f>
        <v/>
      </c>
    </row>
    <row r="2988" hidden="1" outlineLevel="1" ht="15" customHeight="1" s="15">
      <c r="AT2988" s="36">
        <f>IF(OR(AK2792="",AK2792=7),"","P")</f>
        <v/>
      </c>
      <c r="AU2988" s="36">
        <f>IF(OR(AK2792="",AK2792&gt;=6),"","P")</f>
        <v/>
      </c>
    </row>
    <row r="2989" hidden="1" outlineLevel="1" ht="15" customHeight="1" s="15">
      <c r="AT2989" s="36">
        <f>IF(OR(AK2792="",AK2792=7),"","D")</f>
        <v/>
      </c>
      <c r="AU2989" s="36">
        <f>IF(OR(AK2792="",AK2792&gt;=6),"","D")</f>
        <v/>
      </c>
    </row>
    <row r="2990" hidden="1" outlineLevel="1" ht="15" customHeight="1" s="15">
      <c r="AT2990" s="36">
        <f>IF(OR(AK2792="",AK2792=7),"","A")</f>
        <v/>
      </c>
      <c r="AU2990" s="36">
        <f>IF(OR(AK2792="",AK2792&gt;=6),"","A")</f>
        <v/>
      </c>
    </row>
    <row r="2991" hidden="1" outlineLevel="1" ht="15" customHeight="1" s="15">
      <c r="AT2991" s="36">
        <f>IF(OR(AK2792="",AK2792=7),"","F")</f>
        <v/>
      </c>
      <c r="AU2991" s="36">
        <f>IF(OR(AK2792="",AK2792&gt;=6),"","F")</f>
        <v/>
      </c>
    </row>
    <row r="2992" hidden="1" outlineLevel="1" ht="15" customHeight="1" s="15">
      <c r="AT2992" s="36">
        <f>IF(OR(AK2792="",AK2792=7),"","C")</f>
        <v/>
      </c>
      <c r="AU2992" s="36">
        <f>IF(OR(AK2792="",AK2792&gt;=6),"","C")</f>
        <v/>
      </c>
    </row>
    <row r="2993" hidden="1" outlineLevel="1" ht="15" customHeight="1" s="15">
      <c r="AT2993" s="36">
        <f>IF(AND(AK2792&lt;&gt;"",AK2792=7),"R","")</f>
        <v/>
      </c>
      <c r="AU2993" s="36">
        <f>IF(AND(AK2792&lt;&gt;"",AK2792&gt;=6),"R","")</f>
        <v/>
      </c>
    </row>
    <row r="2994" hidden="1" outlineLevel="1" ht="15" customHeight="1" s="15">
      <c r="AT2994" s="36">
        <f>IF(OR(AL2792="",AL2792=7),"","P")</f>
        <v/>
      </c>
      <c r="AU2994" s="36">
        <f>IF(OR(AL2792="",AL2792&gt;=6),"","P")</f>
        <v/>
      </c>
    </row>
    <row r="2995" hidden="1" outlineLevel="1" ht="15" customHeight="1" s="15">
      <c r="AT2995" s="36">
        <f>IF(OR(AL2792="",AL2792=7),"","D")</f>
        <v/>
      </c>
      <c r="AU2995" s="36">
        <f>IF(OR(AL2792="",AL2792&gt;=6),"","D")</f>
        <v/>
      </c>
    </row>
    <row r="2996" hidden="1" outlineLevel="1" ht="15" customHeight="1" s="15">
      <c r="AT2996" s="36">
        <f>IF(OR(AL2792="",AL2792=7),"","A")</f>
        <v/>
      </c>
      <c r="AU2996" s="36">
        <f>IF(OR(AL2792="",AL2792&gt;=6),"","A")</f>
        <v/>
      </c>
    </row>
    <row r="2997" hidden="1" outlineLevel="1" ht="15" customHeight="1" s="15">
      <c r="AT2997" s="36">
        <f>IF(OR(AL2792="",AL2792=7),"","F")</f>
        <v/>
      </c>
      <c r="AU2997" s="36">
        <f>IF(OR(AL2792="",AL2792&gt;=6),"","F")</f>
        <v/>
      </c>
    </row>
    <row r="2998" hidden="1" outlineLevel="1" ht="15" customHeight="1" s="15">
      <c r="AT2998" s="36">
        <f>IF(OR(AL2792="",AL2792=7),"","C")</f>
        <v/>
      </c>
      <c r="AU2998" s="36">
        <f>IF(OR(AL2792="",AL2792&gt;=6),"","C")</f>
        <v/>
      </c>
    </row>
    <row r="2999" hidden="1" outlineLevel="1" ht="15" customHeight="1" s="15">
      <c r="AT2999" s="36">
        <f>IF(AND(AL2792&lt;&gt;"",AL2792=7),"R","")</f>
        <v/>
      </c>
      <c r="AU2999" s="36">
        <f>IF(AND(AL2792&lt;&gt;"",AL2792&gt;=6),"R","")</f>
        <v/>
      </c>
    </row>
    <row r="3000" hidden="1" outlineLevel="1" ht="15" customHeight="1" s="15">
      <c r="AT3000" s="36">
        <f>IF(OR(AM2792="",AM2792=7),"","P")</f>
        <v/>
      </c>
      <c r="AU3000" s="36">
        <f>IF(OR(AM2792="",AM2792&gt;=6),"","P")</f>
        <v/>
      </c>
    </row>
    <row r="3001" hidden="1" outlineLevel="1" ht="15" customHeight="1" s="15">
      <c r="AT3001" s="36">
        <f>IF(OR(AM2792="",AM2792=7),"","D")</f>
        <v/>
      </c>
      <c r="AU3001" s="36">
        <f>IF(OR(AM2792="",AM2792&gt;=6),"","D")</f>
        <v/>
      </c>
    </row>
    <row r="3002" hidden="1" outlineLevel="1" ht="15" customHeight="1" s="15">
      <c r="AT3002" s="36">
        <f>IF(OR(AM2792="",AM2792=7),"","A")</f>
        <v/>
      </c>
      <c r="AU3002" s="36">
        <f>IF(OR(AM2792="",AM2792&gt;=6),"","A")</f>
        <v/>
      </c>
    </row>
    <row r="3003" hidden="1" outlineLevel="1" ht="15" customHeight="1" s="15">
      <c r="AT3003" s="36">
        <f>IF(OR(AM2792="",AM2792=7),"","F")</f>
        <v/>
      </c>
      <c r="AU3003" s="36">
        <f>IF(OR(AM2792="",AM2792&gt;=6),"","F")</f>
        <v/>
      </c>
    </row>
    <row r="3004" hidden="1" outlineLevel="1" ht="15" customHeight="1" s="15">
      <c r="AT3004" s="36">
        <f>IF(OR(AM2792="",AM2792=7),"","C")</f>
        <v/>
      </c>
      <c r="AU3004" s="36">
        <f>IF(OR(AM2792="",AM2792&gt;=6),"","C")</f>
        <v/>
      </c>
    </row>
    <row r="3005" hidden="1" outlineLevel="1" ht="15" customHeight="1" s="15">
      <c r="AT3005" s="36">
        <f>IF(AND(AM2792&lt;&gt;"",AM2792=7),"R","")</f>
        <v/>
      </c>
      <c r="AU3005" s="36">
        <f>IF(AND(AM2792&lt;&gt;"",AM2792&gt;=6),"R","")</f>
        <v/>
      </c>
    </row>
    <row r="3006" hidden="1" outlineLevel="1" ht="15" customHeight="1" s="15">
      <c r="AT3006" s="36">
        <f>IF(OR(AN2792="",AN2792=7),"","P")</f>
        <v/>
      </c>
      <c r="AU3006" s="36">
        <f>IF(OR(AN2792="",AN2792&gt;=6),"","P")</f>
        <v/>
      </c>
    </row>
    <row r="3007" hidden="1" outlineLevel="1" ht="15" customHeight="1" s="15">
      <c r="AT3007" s="36">
        <f>IF(OR(AN2792="",AN2792=7),"","D")</f>
        <v/>
      </c>
      <c r="AU3007" s="36">
        <f>IF(OR(AN2792="",AN2792&gt;=6),"","D")</f>
        <v/>
      </c>
    </row>
    <row r="3008" hidden="1" outlineLevel="1" ht="15" customHeight="1" s="15">
      <c r="AT3008" s="36">
        <f>IF(OR(AN2792="",AN2792=7),"","A")</f>
        <v/>
      </c>
      <c r="AU3008" s="36">
        <f>IF(OR(AN2792="",AN2792&gt;=6),"","A")</f>
        <v/>
      </c>
    </row>
    <row r="3009" hidden="1" outlineLevel="1" ht="15" customHeight="1" s="15">
      <c r="AT3009" s="36">
        <f>IF(OR(AN2792="",AN2792=7),"","F")</f>
        <v/>
      </c>
      <c r="AU3009" s="36">
        <f>IF(OR(AN2792="",AN2792&gt;=6),"","F")</f>
        <v/>
      </c>
    </row>
    <row r="3010" hidden="1" outlineLevel="1" ht="15" customHeight="1" s="15">
      <c r="AT3010" s="36">
        <f>IF(OR(AN2792="",AN2792=7),"","C")</f>
        <v/>
      </c>
      <c r="AU3010" s="36">
        <f>IF(OR(AN2792="",AN2792&gt;=6),"","C")</f>
        <v/>
      </c>
    </row>
    <row r="3011" hidden="1" outlineLevel="1" ht="15" customHeight="1" s="15">
      <c r="AT3011" s="36">
        <f>IF(AND(AN2792&lt;&gt;"",AN2792=7),"R","")</f>
        <v/>
      </c>
      <c r="AU3011" s="36">
        <f>IF(AND(AN2792&lt;&gt;"",AN2792&gt;=6),"R","")</f>
        <v/>
      </c>
    </row>
    <row r="3012" hidden="1" outlineLevel="1" ht="15" customHeight="1" s="15">
      <c r="AT3012" s="36">
        <f>IF(OR(AO2792="",AO2792=7),"","P")</f>
        <v/>
      </c>
      <c r="AU3012" s="36">
        <f>IF(OR(AO2792="",AO2792&gt;=6),"","P")</f>
        <v/>
      </c>
    </row>
    <row r="3013" hidden="1" outlineLevel="1" ht="15" customHeight="1" s="15">
      <c r="AT3013" s="36">
        <f>IF(OR(AO2792="",AO2792=7),"","D")</f>
        <v/>
      </c>
      <c r="AU3013" s="36">
        <f>IF(OR(AO2792="",AO2792&gt;=6),"","D")</f>
        <v/>
      </c>
    </row>
    <row r="3014" hidden="1" outlineLevel="1" ht="15" customHeight="1" s="15">
      <c r="AT3014" s="36">
        <f>IF(OR(AO2792="",AO2792=7),"","A")</f>
        <v/>
      </c>
      <c r="AU3014" s="36">
        <f>IF(OR(AO2792="",AO2792&gt;=6),"","A")</f>
        <v/>
      </c>
    </row>
    <row r="3015" hidden="1" outlineLevel="1" ht="15" customHeight="1" s="15">
      <c r="AT3015" s="36">
        <f>IF(OR(AO2792="",AO2792=7),"","F")</f>
        <v/>
      </c>
      <c r="AU3015" s="36">
        <f>IF(OR(AO2792="",AO2792&gt;=6),"","F")</f>
        <v/>
      </c>
    </row>
    <row r="3016" hidden="1" outlineLevel="1" ht="15" customHeight="1" s="15">
      <c r="AT3016" s="36">
        <f>IF(OR(AO2792="",AO2792=7),"","C")</f>
        <v/>
      </c>
      <c r="AU3016" s="36">
        <f>IF(OR(AO2792="",AO2792&gt;=6),"","C")</f>
        <v/>
      </c>
    </row>
    <row r="3017" hidden="1" outlineLevel="1" ht="15" customHeight="1" s="15">
      <c r="AT3017" s="36">
        <f>IF(AND(AO2792&lt;&gt;"",AO2792=7),"R","")</f>
        <v/>
      </c>
      <c r="AU3017" s="36">
        <f>IF(AND(AO2792&lt;&gt;"",AO2792&gt;=6),"R","")</f>
        <v/>
      </c>
    </row>
    <row r="3018" hidden="1" outlineLevel="1" ht="15" customHeight="1" s="15">
      <c r="AT3018" s="36">
        <f>IF(OR(AP2792="",AP2792=7),"","P")</f>
        <v/>
      </c>
      <c r="AU3018" s="36">
        <f>IF(OR(AP2792="",AP2792&gt;=6),"","P")</f>
        <v/>
      </c>
    </row>
    <row r="3019" hidden="1" outlineLevel="1" ht="15" customHeight="1" s="15">
      <c r="AT3019" s="36">
        <f>IF(OR(AP2792="",AP2792=7),"","D")</f>
        <v/>
      </c>
      <c r="AU3019" s="36">
        <f>IF(OR(AP2792="",AP2792&gt;=6),"","D")</f>
        <v/>
      </c>
    </row>
    <row r="3020" hidden="1" outlineLevel="1" ht="15" customHeight="1" s="15">
      <c r="AT3020" s="36">
        <f>IF(OR(AP2792="",AP2792=7),"","A")</f>
        <v/>
      </c>
      <c r="AU3020" s="36">
        <f>IF(OR(AP2792="",AP2792&gt;=6),"","A")</f>
        <v/>
      </c>
    </row>
    <row r="3021" hidden="1" outlineLevel="1" ht="15" customHeight="1" s="15">
      <c r="AT3021" s="36">
        <f>IF(OR(AP2792="",AP2792=7),"","F")</f>
        <v/>
      </c>
      <c r="AU3021" s="36">
        <f>IF(OR(AP2792="",AP2792&gt;=6),"","F")</f>
        <v/>
      </c>
    </row>
    <row r="3022" hidden="1" outlineLevel="1" ht="15" customHeight="1" s="15">
      <c r="AT3022" s="36">
        <f>IF(OR(AP2792="",AP2792=7),"","C")</f>
        <v/>
      </c>
      <c r="AU3022" s="36">
        <f>IF(OR(AP2792="",AP2792&gt;=6),"","C")</f>
        <v/>
      </c>
    </row>
    <row r="3023" hidden="1" outlineLevel="1" ht="15" customHeight="1" s="15">
      <c r="AT3023" s="36">
        <f>IF(AND(AP2792&lt;&gt;"",AP2792=7),"R","")</f>
        <v/>
      </c>
      <c r="AU3023" s="36">
        <f>IF(AND(AP2792&lt;&gt;"",AP2792&gt;=6),"R","")</f>
        <v/>
      </c>
    </row>
    <row r="3024" hidden="1" outlineLevel="1" ht="15" customHeight="1" s="15">
      <c r="AT3024" s="36">
        <f>IF(OR(AQ2792="",AQ2792=7),"","P")</f>
        <v/>
      </c>
      <c r="AU3024" s="36">
        <f>IF(OR(AQ2792="",AQ2792&gt;=6),"","P")</f>
        <v/>
      </c>
    </row>
    <row r="3025" hidden="1" outlineLevel="1" ht="15" customHeight="1" s="15">
      <c r="AT3025" s="36">
        <f>IF(OR(AQ2792="",AQ2792=7),"","D")</f>
        <v/>
      </c>
      <c r="AU3025" s="36">
        <f>IF(OR(AQ2792="",AQ2792&gt;=6),"","D")</f>
        <v/>
      </c>
    </row>
    <row r="3026" hidden="1" outlineLevel="1" ht="15" customHeight="1" s="15">
      <c r="AT3026" s="36">
        <f>IF(OR(AQ2792="",AQ2792=7),"","A")</f>
        <v/>
      </c>
      <c r="AU3026" s="36">
        <f>IF(OR(AQ2792="",AQ2792&gt;=6),"","A")</f>
        <v/>
      </c>
    </row>
    <row r="3027" hidden="1" outlineLevel="1" ht="15" customHeight="1" s="15">
      <c r="AT3027" s="36">
        <f>IF(OR(AQ2792="",AQ2792=7),"","F")</f>
        <v/>
      </c>
      <c r="AU3027" s="36">
        <f>IF(OR(AQ2792="",AQ2792&gt;=6),"","F")</f>
        <v/>
      </c>
    </row>
    <row r="3028" hidden="1" outlineLevel="1" ht="15" customHeight="1" s="15">
      <c r="AT3028" s="36">
        <f>IF(OR(AQ2792="",AQ2792=7),"","C")</f>
        <v/>
      </c>
      <c r="AU3028" s="36">
        <f>IF(OR(AQ2792="",AQ2792&gt;=6),"","C")</f>
        <v/>
      </c>
    </row>
    <row r="3029" hidden="1" outlineLevel="1" ht="15" customHeight="1" s="15">
      <c r="AT3029" s="36">
        <f>IF(AND(AQ2792&lt;&gt;"",AQ2792=7),"R","")</f>
        <v/>
      </c>
      <c r="AU3029" s="36">
        <f>IF(AND(AQ2792&lt;&gt;"",AQ2792&gt;=6),"R","")</f>
        <v/>
      </c>
    </row>
    <row r="3030" hidden="1" outlineLevel="1" ht="15" customHeight="1" s="15">
      <c r="AT3030" s="36">
        <f>IF(OR(AR2792="",AR2792=7),"","P")</f>
        <v/>
      </c>
      <c r="AU3030" s="36">
        <f>IF(OR(AR2792="",AR2792&gt;=6),"","P")</f>
        <v/>
      </c>
    </row>
    <row r="3031" hidden="1" outlineLevel="1" ht="15" customHeight="1" s="15">
      <c r="AT3031" s="36">
        <f>IF(OR(AR2792="",AR2792=7),"","D")</f>
        <v/>
      </c>
      <c r="AU3031" s="36">
        <f>IF(OR(AR2792="",AR2792&gt;=6),"","D")</f>
        <v/>
      </c>
    </row>
    <row r="3032" hidden="1" outlineLevel="1" ht="15" customHeight="1" s="15">
      <c r="AT3032" s="36">
        <f>IF(OR(AR2792="",AR2792=7),"","A")</f>
        <v/>
      </c>
      <c r="AU3032" s="36">
        <f>IF(OR(AR2792="",AR2792&gt;=6),"","A")</f>
        <v/>
      </c>
    </row>
    <row r="3033" hidden="1" outlineLevel="1" ht="15" customHeight="1" s="15">
      <c r="AT3033" s="36">
        <f>IF(OR(AR2792="",AR2792=7),"","F")</f>
        <v/>
      </c>
      <c r="AU3033" s="36">
        <f>IF(OR(AR2792="",AR2792&gt;=6),"","F")</f>
        <v/>
      </c>
    </row>
    <row r="3034" hidden="1" outlineLevel="1" ht="15" customHeight="1" s="15">
      <c r="AT3034" s="36">
        <f>IF(OR(AR2792="",AR2792=7),"","C")</f>
        <v/>
      </c>
      <c r="AU3034" s="36">
        <f>IF(OR(AR2792="",AR2792&gt;=6),"","C")</f>
        <v/>
      </c>
    </row>
    <row r="3035" hidden="1" outlineLevel="1" ht="15" customHeight="1" s="15">
      <c r="AT3035" s="36">
        <f>IF(AND(AR2792&lt;&gt;"",AR2792=7),"R","")</f>
        <v/>
      </c>
      <c r="AU3035" s="36">
        <f>IF(AND(AR2792&lt;&gt;"",AR2792&gt;=6),"R","")</f>
        <v/>
      </c>
    </row>
    <row r="3036" hidden="1" outlineLevel="1" ht="15" customHeight="1" s="15">
      <c r="AT3036" s="36">
        <f>IF(OR(AS2792="",AS2792=7),"","P")</f>
        <v/>
      </c>
      <c r="AU3036" s="36">
        <f>IF(OR(AS2792="",AS2792&gt;=6),"","P")</f>
        <v/>
      </c>
    </row>
    <row r="3037" hidden="1" outlineLevel="1" ht="15" customHeight="1" s="15">
      <c r="AT3037" s="36">
        <f>IF(OR(AS2792="",AS2792=7),"","D")</f>
        <v/>
      </c>
      <c r="AU3037" s="36">
        <f>IF(OR(AS2792="",AS2792&gt;=6),"","D")</f>
        <v/>
      </c>
    </row>
    <row r="3038" hidden="1" outlineLevel="1" ht="15" customHeight="1" s="15">
      <c r="AT3038" s="36">
        <f>IF(OR(AS2792="",AS2792=7),"","A")</f>
        <v/>
      </c>
      <c r="AU3038" s="36">
        <f>IF(OR(AS2792="",AS2792&gt;=6),"","A")</f>
        <v/>
      </c>
    </row>
    <row r="3039" hidden="1" outlineLevel="1" ht="15" customHeight="1" s="15">
      <c r="AT3039" s="36">
        <f>IF(OR(AS2792="",AS2792=7),"","F")</f>
        <v/>
      </c>
      <c r="AU3039" s="36">
        <f>IF(OR(AS2792="",AS2792&gt;=6),"","F")</f>
        <v/>
      </c>
    </row>
    <row r="3040" hidden="1" outlineLevel="1" ht="15" customHeight="1" s="15">
      <c r="AT3040" s="36">
        <f>IF(OR(AS2792="",AS2792=7),"","C")</f>
        <v/>
      </c>
      <c r="AU3040" s="36">
        <f>IF(OR(AS2792="",AS2792&gt;=6),"","C")</f>
        <v/>
      </c>
    </row>
    <row r="3041" hidden="1" outlineLevel="1" ht="15" customHeight="1" s="15">
      <c r="AT3041" s="36">
        <f>IF(AND(AS2792&lt;&gt;"",AS2792=7),"R","")</f>
        <v/>
      </c>
      <c r="AU3041" s="36">
        <f>IF(AND(AS2792&lt;&gt;"",AS2792&gt;=6),"R","")</f>
        <v/>
      </c>
    </row>
    <row r="3042" ht="21.75" customHeight="1" s="15">
      <c r="B3042" s="6" t="inlineStr">
        <is>
          <t>ℹ  Grille de pointage Décembre — P/D/A/F/C/R, jours prévus/réels/absence calculés (jours ouvrables réels, WEEKDAY). R ne se propose que le jour de repos (repos exceptionnellement travaillé, +majoration). Listes techniques et ligne de calendrier repliées par défaut.</t>
        </is>
      </c>
    </row>
  </sheetData>
  <mergeCells count="29">
    <mergeCell ref="B514:AX514"/>
    <mergeCell ref="B8:AX8"/>
    <mergeCell ref="B259:M259"/>
    <mergeCell ref="B2791:AX2791"/>
    <mergeCell ref="B2285:AX2285"/>
    <mergeCell ref="B1526:AX1526"/>
    <mergeCell ref="B2030:M2030"/>
    <mergeCell ref="B2032:AX2032"/>
    <mergeCell ref="B765:M765"/>
    <mergeCell ref="B2536:M2536"/>
    <mergeCell ref="A2:L2"/>
    <mergeCell ref="B1777:M1777"/>
    <mergeCell ref="B1271:M1271"/>
    <mergeCell ref="B3042:M3042"/>
    <mergeCell ref="B1273:AX1273"/>
    <mergeCell ref="B767:AX767"/>
    <mergeCell ref="B2789:M2789"/>
    <mergeCell ref="B2283:M2283"/>
    <mergeCell ref="B2538:AX2538"/>
    <mergeCell ref="B6:J6"/>
    <mergeCell ref="B1018:M1018"/>
    <mergeCell ref="A4:L4"/>
    <mergeCell ref="B5:J5"/>
    <mergeCell ref="B1524:M1524"/>
    <mergeCell ref="B261:AX261"/>
    <mergeCell ref="B1779:AX1779"/>
    <mergeCell ref="A1:L1"/>
    <mergeCell ref="B1020:AX1020"/>
    <mergeCell ref="B512:M512"/>
  </mergeCells>
  <conditionalFormatting sqref="O12:AS71">
    <cfRule type="expression" priority="2" dxfId="0">
      <formula>O$72=7</formula>
    </cfRule>
    <cfRule type="expression" priority="3" dxfId="0">
      <formula>AND(O$72=6,$AV12="5j")</formula>
    </cfRule>
  </conditionalFormatting>
  <conditionalFormatting sqref="O265:AS324">
    <cfRule type="expression" priority="4" dxfId="0">
      <formula>O$325=7</formula>
    </cfRule>
    <cfRule type="expression" priority="5" dxfId="0">
      <formula>AND(O$325=6,$AV265="5j")</formula>
    </cfRule>
  </conditionalFormatting>
  <conditionalFormatting sqref="O518:AS577">
    <cfRule type="expression" priority="6" dxfId="0">
      <formula>O$578=7</formula>
    </cfRule>
    <cfRule type="expression" priority="7" dxfId="0">
      <formula>AND(O$578=6,$AV518="5j")</formula>
    </cfRule>
  </conditionalFormatting>
  <conditionalFormatting sqref="O771:AS830">
    <cfRule type="expression" priority="8" dxfId="0">
      <formula>O$831=7</formula>
    </cfRule>
    <cfRule type="expression" priority="9" dxfId="0">
      <formula>AND(O$831=6,$AV771="5j")</formula>
    </cfRule>
  </conditionalFormatting>
  <conditionalFormatting sqref="O1024:AS1083">
    <cfRule type="expression" priority="10" dxfId="0">
      <formula>O$1084=7</formula>
    </cfRule>
    <cfRule type="expression" priority="11" dxfId="0">
      <formula>AND(O$1084=6,$AV1024="5j")</formula>
    </cfRule>
  </conditionalFormatting>
  <conditionalFormatting sqref="O1277:AS1336">
    <cfRule type="expression" priority="12" dxfId="0">
      <formula>O$1337=7</formula>
    </cfRule>
    <cfRule type="expression" priority="13" dxfId="0">
      <formula>AND(O$1337=6,$AV1277="5j")</formula>
    </cfRule>
  </conditionalFormatting>
  <conditionalFormatting sqref="O1530:AS1589">
    <cfRule type="expression" priority="14" dxfId="0">
      <formula>O$1590=7</formula>
    </cfRule>
    <cfRule type="expression" priority="15" dxfId="0">
      <formula>AND(O$1590=6,$AV1530="5j")</formula>
    </cfRule>
  </conditionalFormatting>
  <conditionalFormatting sqref="O1783:AS1842">
    <cfRule type="expression" priority="16" dxfId="0">
      <formula>O$1843=7</formula>
    </cfRule>
    <cfRule type="expression" priority="17" dxfId="0">
      <formula>AND(O$1843=6,$AV1783="5j")</formula>
    </cfRule>
  </conditionalFormatting>
  <conditionalFormatting sqref="O2036:AS2095">
    <cfRule type="expression" priority="18" dxfId="0">
      <formula>O$2096=7</formula>
    </cfRule>
    <cfRule type="expression" priority="19" dxfId="0">
      <formula>AND(O$2096=6,$AV2036="5j")</formula>
    </cfRule>
  </conditionalFormatting>
  <conditionalFormatting sqref="O2289:AS2348">
    <cfRule type="expression" priority="20" dxfId="0">
      <formula>O$2349=7</formula>
    </cfRule>
    <cfRule type="expression" priority="21" dxfId="0">
      <formula>AND(O$2349=6,$AV2289="5j")</formula>
    </cfRule>
  </conditionalFormatting>
  <conditionalFormatting sqref="O2542:AS2601">
    <cfRule type="expression" priority="22" dxfId="0">
      <formula>O$2602=7</formula>
    </cfRule>
    <cfRule type="expression" priority="23" dxfId="0">
      <formula>AND(O$2602=6,$AV2542="5j")</formula>
    </cfRule>
  </conditionalFormatting>
  <conditionalFormatting sqref="O2795:AS2854">
    <cfRule type="expression" priority="24" dxfId="0">
      <formula>O$2855=7</formula>
    </cfRule>
    <cfRule type="expression" priority="25" dxfId="0">
      <formula>AND(O$2855=6,$AV2795="5j")</formula>
    </cfRule>
  </conditionalFormatting>
  <dataValidations count="372">
    <dataValidation sqref="O12:O71" showDropDown="0" showInputMessage="0" showErrorMessage="0" allowBlank="1" type="list">
      <formula1>IF($AV12="5j",$AU$73:$AU$78,$AT$73:$AT$78)</formula1>
      <formula2>0</formula2>
    </dataValidation>
    <dataValidation sqref="P12:P71" showDropDown="0" showInputMessage="0" showErrorMessage="0" allowBlank="1" type="list">
      <formula1>IF($AV12="5j",$AU$79:$AU$84,$AT$79:$AT$84)</formula1>
      <formula2>0</formula2>
    </dataValidation>
    <dataValidation sqref="Q12:Q71" showDropDown="0" showInputMessage="0" showErrorMessage="0" allowBlank="1" type="list">
      <formula1>IF($AV12="5j",$AU$85:$AU$90,$AT$85:$AT$90)</formula1>
      <formula2>0</formula2>
    </dataValidation>
    <dataValidation sqref="R12:R71" showDropDown="0" showInputMessage="0" showErrorMessage="0" allowBlank="1" type="list">
      <formula1>IF($AV12="5j",$AU$91:$AU$96,$AT$91:$AT$96)</formula1>
      <formula2>0</formula2>
    </dataValidation>
    <dataValidation sqref="S12:S71" showDropDown="0" showInputMessage="0" showErrorMessage="0" allowBlank="1" type="list">
      <formula1>IF($AV12="5j",$AU$97:$AU$102,$AT$97:$AT$102)</formula1>
      <formula2>0</formula2>
    </dataValidation>
    <dataValidation sqref="T12:T71" showDropDown="0" showInputMessage="0" showErrorMessage="0" allowBlank="1" type="list">
      <formula1>IF($AV12="5j",$AU$103:$AU$108,$AT$103:$AT$108)</formula1>
      <formula2>0</formula2>
    </dataValidation>
    <dataValidation sqref="U12:U71" showDropDown="0" showInputMessage="0" showErrorMessage="0" allowBlank="1" type="list">
      <formula1>IF($AV12="5j",$AU$109:$AU$114,$AT$109:$AT$114)</formula1>
      <formula2>0</formula2>
    </dataValidation>
    <dataValidation sqref="V12:V71" showDropDown="0" showInputMessage="0" showErrorMessage="0" allowBlank="1" type="list">
      <formula1>IF($AV12="5j",$AU$115:$AU$120,$AT$115:$AT$120)</formula1>
      <formula2>0</formula2>
    </dataValidation>
    <dataValidation sqref="W12:W71" showDropDown="0" showInputMessage="0" showErrorMessage="0" allowBlank="1" type="list">
      <formula1>IF($AV12="5j",$AU$121:$AU$126,$AT$121:$AT$126)</formula1>
      <formula2>0</formula2>
    </dataValidation>
    <dataValidation sqref="X12:X71" showDropDown="0" showInputMessage="0" showErrorMessage="0" allowBlank="1" type="list">
      <formula1>IF($AV12="5j",$AU$127:$AU$132,$AT$127:$AT$132)</formula1>
      <formula2>0</formula2>
    </dataValidation>
    <dataValidation sqref="Y12:Y71" showDropDown="0" showInputMessage="0" showErrorMessage="0" allowBlank="1" type="list">
      <formula1>IF($AV12="5j",$AU$133:$AU$138,$AT$133:$AT$138)</formula1>
      <formula2>0</formula2>
    </dataValidation>
    <dataValidation sqref="Z12:Z71" showDropDown="0" showInputMessage="0" showErrorMessage="0" allowBlank="1" type="list">
      <formula1>IF($AV12="5j",$AU$139:$AU$144,$AT$139:$AT$144)</formula1>
      <formula2>0</formula2>
    </dataValidation>
    <dataValidation sqref="AA12:AA71" showDropDown="0" showInputMessage="0" showErrorMessage="0" allowBlank="1" type="list">
      <formula1>IF($AV12="5j",$AU$145:$AU$150,$AT$145:$AT$150)</formula1>
      <formula2>0</formula2>
    </dataValidation>
    <dataValidation sqref="AB12:AB71" showDropDown="0" showInputMessage="0" showErrorMessage="0" allowBlank="1" type="list">
      <formula1>IF($AV12="5j",$AU$151:$AU$156,$AT$151:$AT$156)</formula1>
      <formula2>0</formula2>
    </dataValidation>
    <dataValidation sqref="AC12:AC71" showDropDown="0" showInputMessage="0" showErrorMessage="0" allowBlank="1" type="list">
      <formula1>IF($AV12="5j",$AU$157:$AU$162,$AT$157:$AT$162)</formula1>
      <formula2>0</formula2>
    </dataValidation>
    <dataValidation sqref="AD12:AD71" showDropDown="0" showInputMessage="0" showErrorMessage="0" allowBlank="1" type="list">
      <formula1>IF($AV12="5j",$AU$163:$AU$168,$AT$163:$AT$168)</formula1>
      <formula2>0</formula2>
    </dataValidation>
    <dataValidation sqref="AE12:AE71" showDropDown="0" showInputMessage="0" showErrorMessage="0" allowBlank="1" type="list">
      <formula1>IF($AV12="5j",$AU$169:$AU$174,$AT$169:$AT$174)</formula1>
      <formula2>0</formula2>
    </dataValidation>
    <dataValidation sqref="AF12:AF71" showDropDown="0" showInputMessage="0" showErrorMessage="0" allowBlank="1" type="list">
      <formula1>IF($AV12="5j",$AU$175:$AU$180,$AT$175:$AT$180)</formula1>
      <formula2>0</formula2>
    </dataValidation>
    <dataValidation sqref="AG12:AG71" showDropDown="0" showInputMessage="0" showErrorMessage="0" allowBlank="1" type="list">
      <formula1>IF($AV12="5j",$AU$181:$AU$186,$AT$181:$AT$186)</formula1>
      <formula2>0</formula2>
    </dataValidation>
    <dataValidation sqref="AH12:AH71" showDropDown="0" showInputMessage="0" showErrorMessage="0" allowBlank="1" type="list">
      <formula1>IF($AV12="5j",$AU$187:$AU$192,$AT$187:$AT$192)</formula1>
      <formula2>0</formula2>
    </dataValidation>
    <dataValidation sqref="AI12:AI71" showDropDown="0" showInputMessage="0" showErrorMessage="0" allowBlank="1" type="list">
      <formula1>IF($AV12="5j",$AU$193:$AU$198,$AT$193:$AT$198)</formula1>
      <formula2>0</formula2>
    </dataValidation>
    <dataValidation sqref="AJ12:AJ71" showDropDown="0" showInputMessage="0" showErrorMessage="0" allowBlank="1" type="list">
      <formula1>IF($AV12="5j",$AU$199:$AU$204,$AT$199:$AT$204)</formula1>
      <formula2>0</formula2>
    </dataValidation>
    <dataValidation sqref="AK12:AK71" showDropDown="0" showInputMessage="0" showErrorMessage="0" allowBlank="1" type="list">
      <formula1>IF($AV12="5j",$AU$205:$AU$210,$AT$205:$AT$210)</formula1>
      <formula2>0</formula2>
    </dataValidation>
    <dataValidation sqref="AL12:AL71" showDropDown="0" showInputMessage="0" showErrorMessage="0" allowBlank="1" type="list">
      <formula1>IF($AV12="5j",$AU$211:$AU$216,$AT$211:$AT$216)</formula1>
      <formula2>0</formula2>
    </dataValidation>
    <dataValidation sqref="AM12:AM71" showDropDown="0" showInputMessage="0" showErrorMessage="0" allowBlank="1" type="list">
      <formula1>IF($AV12="5j",$AU$217:$AU$222,$AT$217:$AT$222)</formula1>
      <formula2>0</formula2>
    </dataValidation>
    <dataValidation sqref="AN12:AN71" showDropDown="0" showInputMessage="0" showErrorMessage="0" allowBlank="1" type="list">
      <formula1>IF($AV12="5j",$AU$223:$AU$228,$AT$223:$AT$228)</formula1>
      <formula2>0</formula2>
    </dataValidation>
    <dataValidation sqref="AO12:AO71" showDropDown="0" showInputMessage="0" showErrorMessage="0" allowBlank="1" type="list">
      <formula1>IF($AV12="5j",$AU$229:$AU$234,$AT$229:$AT$234)</formula1>
      <formula2>0</formula2>
    </dataValidation>
    <dataValidation sqref="AP12:AP71" showDropDown="0" showInputMessage="0" showErrorMessage="0" allowBlank="1" type="list">
      <formula1>IF($AV12="5j",$AU$235:$AU$240,$AT$235:$AT$240)</formula1>
      <formula2>0</formula2>
    </dataValidation>
    <dataValidation sqref="AQ12:AQ71" showDropDown="0" showInputMessage="0" showErrorMessage="0" allowBlank="1" type="list">
      <formula1>IF($AV12="5j",$AU$241:$AU$246,$AT$241:$AT$246)</formula1>
      <formula2>0</formula2>
    </dataValidation>
    <dataValidation sqref="AR12:AR71" showDropDown="0" showInputMessage="0" showErrorMessage="0" allowBlank="1" type="list">
      <formula1>IF($AV12="5j",$AU$247:$AU$252,$AT$247:$AT$252)</formula1>
      <formula2>0</formula2>
    </dataValidation>
    <dataValidation sqref="AS12:AS71" showDropDown="0" showInputMessage="0" showErrorMessage="0" allowBlank="1" type="list">
      <formula1>IF($AV12="5j",$AU$253:$AU$258,$AT$253:$AT$258)</formula1>
      <formula2>0</formula2>
    </dataValidation>
    <dataValidation sqref="O265:O324" showDropDown="0" showInputMessage="0" showErrorMessage="0" allowBlank="1" type="list">
      <formula1>IF($AV265="5j",$AU$326:$AU$331,$AT$326:$AT$331)</formula1>
      <formula2>0</formula2>
    </dataValidation>
    <dataValidation sqref="P265:P324" showDropDown="0" showInputMessage="0" showErrorMessage="0" allowBlank="1" type="list">
      <formula1>IF($AV265="5j",$AU$332:$AU$337,$AT$332:$AT$337)</formula1>
      <formula2>0</formula2>
    </dataValidation>
    <dataValidation sqref="Q265:Q324" showDropDown="0" showInputMessage="0" showErrorMessage="0" allowBlank="1" type="list">
      <formula1>IF($AV265="5j",$AU$338:$AU$343,$AT$338:$AT$343)</formula1>
      <formula2>0</formula2>
    </dataValidation>
    <dataValidation sqref="R265:R324" showDropDown="0" showInputMessage="0" showErrorMessage="0" allowBlank="1" type="list">
      <formula1>IF($AV265="5j",$AU$344:$AU$349,$AT$344:$AT$349)</formula1>
      <formula2>0</formula2>
    </dataValidation>
    <dataValidation sqref="S265:S324" showDropDown="0" showInputMessage="0" showErrorMessage="0" allowBlank="1" type="list">
      <formula1>IF($AV265="5j",$AU$350:$AU$355,$AT$350:$AT$355)</formula1>
      <formula2>0</formula2>
    </dataValidation>
    <dataValidation sqref="T265:T324" showDropDown="0" showInputMessage="0" showErrorMessage="0" allowBlank="1" type="list">
      <formula1>IF($AV265="5j",$AU$356:$AU$361,$AT$356:$AT$361)</formula1>
      <formula2>0</formula2>
    </dataValidation>
    <dataValidation sqref="U265:U324" showDropDown="0" showInputMessage="0" showErrorMessage="0" allowBlank="1" type="list">
      <formula1>IF($AV265="5j",$AU$362:$AU$367,$AT$362:$AT$367)</formula1>
      <formula2>0</formula2>
    </dataValidation>
    <dataValidation sqref="V265:V324" showDropDown="0" showInputMessage="0" showErrorMessage="0" allowBlank="1" type="list">
      <formula1>IF($AV265="5j",$AU$368:$AU$373,$AT$368:$AT$373)</formula1>
      <formula2>0</formula2>
    </dataValidation>
    <dataValidation sqref="W265:W324" showDropDown="0" showInputMessage="0" showErrorMessage="0" allowBlank="1" type="list">
      <formula1>IF($AV265="5j",$AU$374:$AU$379,$AT$374:$AT$379)</formula1>
      <formula2>0</formula2>
    </dataValidation>
    <dataValidation sqref="X265:X324" showDropDown="0" showInputMessage="0" showErrorMessage="0" allowBlank="1" type="list">
      <formula1>IF($AV265="5j",$AU$380:$AU$385,$AT$380:$AT$385)</formula1>
      <formula2>0</formula2>
    </dataValidation>
    <dataValidation sqref="Y265:Y324" showDropDown="0" showInputMessage="0" showErrorMessage="0" allowBlank="1" type="list">
      <formula1>IF($AV265="5j",$AU$386:$AU$391,$AT$386:$AT$391)</formula1>
      <formula2>0</formula2>
    </dataValidation>
    <dataValidation sqref="Z265:Z324" showDropDown="0" showInputMessage="0" showErrorMessage="0" allowBlank="1" type="list">
      <formula1>IF($AV265="5j",$AU$392:$AU$397,$AT$392:$AT$397)</formula1>
      <formula2>0</formula2>
    </dataValidation>
    <dataValidation sqref="AA265:AA324" showDropDown="0" showInputMessage="0" showErrorMessage="0" allowBlank="1" type="list">
      <formula1>IF($AV265="5j",$AU$398:$AU$403,$AT$398:$AT$403)</formula1>
      <formula2>0</formula2>
    </dataValidation>
    <dataValidation sqref="AB265:AB324" showDropDown="0" showInputMessage="0" showErrorMessage="0" allowBlank="1" type="list">
      <formula1>IF($AV265="5j",$AU$404:$AU$409,$AT$404:$AT$409)</formula1>
      <formula2>0</formula2>
    </dataValidation>
    <dataValidation sqref="AC265:AC324" showDropDown="0" showInputMessage="0" showErrorMessage="0" allowBlank="1" type="list">
      <formula1>IF($AV265="5j",$AU$410:$AU$415,$AT$410:$AT$415)</formula1>
      <formula2>0</formula2>
    </dataValidation>
    <dataValidation sqref="AD265:AD324" showDropDown="0" showInputMessage="0" showErrorMessage="0" allowBlank="1" type="list">
      <formula1>IF($AV265="5j",$AU$416:$AU$421,$AT$416:$AT$421)</formula1>
      <formula2>0</formula2>
    </dataValidation>
    <dataValidation sqref="AE265:AE324" showDropDown="0" showInputMessage="0" showErrorMessage="0" allowBlank="1" type="list">
      <formula1>IF($AV265="5j",$AU$422:$AU$427,$AT$422:$AT$427)</formula1>
      <formula2>0</formula2>
    </dataValidation>
    <dataValidation sqref="AF265:AF324" showDropDown="0" showInputMessage="0" showErrorMessage="0" allowBlank="1" type="list">
      <formula1>IF($AV265="5j",$AU$428:$AU$433,$AT$428:$AT$433)</formula1>
      <formula2>0</formula2>
    </dataValidation>
    <dataValidation sqref="AG265:AG324" showDropDown="0" showInputMessage="0" showErrorMessage="0" allowBlank="1" type="list">
      <formula1>IF($AV265="5j",$AU$434:$AU$439,$AT$434:$AT$439)</formula1>
      <formula2>0</formula2>
    </dataValidation>
    <dataValidation sqref="AH265:AH324" showDropDown="0" showInputMessage="0" showErrorMessage="0" allowBlank="1" type="list">
      <formula1>IF($AV265="5j",$AU$440:$AU$445,$AT$440:$AT$445)</formula1>
      <formula2>0</formula2>
    </dataValidation>
    <dataValidation sqref="AI265:AI324" showDropDown="0" showInputMessage="0" showErrorMessage="0" allowBlank="1" type="list">
      <formula1>IF($AV265="5j",$AU$446:$AU$451,$AT$446:$AT$451)</formula1>
      <formula2>0</formula2>
    </dataValidation>
    <dataValidation sqref="AJ265:AJ324" showDropDown="0" showInputMessage="0" showErrorMessage="0" allowBlank="1" type="list">
      <formula1>IF($AV265="5j",$AU$452:$AU$457,$AT$452:$AT$457)</formula1>
      <formula2>0</formula2>
    </dataValidation>
    <dataValidation sqref="AK265:AK324" showDropDown="0" showInputMessage="0" showErrorMessage="0" allowBlank="1" type="list">
      <formula1>IF($AV265="5j",$AU$458:$AU$463,$AT$458:$AT$463)</formula1>
      <formula2>0</formula2>
    </dataValidation>
    <dataValidation sqref="AL265:AL324" showDropDown="0" showInputMessage="0" showErrorMessage="0" allowBlank="1" type="list">
      <formula1>IF($AV265="5j",$AU$464:$AU$469,$AT$464:$AT$469)</formula1>
      <formula2>0</formula2>
    </dataValidation>
    <dataValidation sqref="AM265:AM324" showDropDown="0" showInputMessage="0" showErrorMessage="0" allowBlank="1" type="list">
      <formula1>IF($AV265="5j",$AU$470:$AU$475,$AT$470:$AT$475)</formula1>
      <formula2>0</formula2>
    </dataValidation>
    <dataValidation sqref="AN265:AN324" showDropDown="0" showInputMessage="0" showErrorMessage="0" allowBlank="1" type="list">
      <formula1>IF($AV265="5j",$AU$476:$AU$481,$AT$476:$AT$481)</formula1>
      <formula2>0</formula2>
    </dataValidation>
    <dataValidation sqref="AO265:AO324" showDropDown="0" showInputMessage="0" showErrorMessage="0" allowBlank="1" type="list">
      <formula1>IF($AV265="5j",$AU$482:$AU$487,$AT$482:$AT$487)</formula1>
      <formula2>0</formula2>
    </dataValidation>
    <dataValidation sqref="AP265:AP324" showDropDown="0" showInputMessage="0" showErrorMessage="0" allowBlank="1" type="list">
      <formula1>IF($AV265="5j",$AU$488:$AU$493,$AT$488:$AT$493)</formula1>
      <formula2>0</formula2>
    </dataValidation>
    <dataValidation sqref="AQ265:AQ324" showDropDown="0" showInputMessage="0" showErrorMessage="0" allowBlank="1" type="list">
      <formula1>IF($AV265="5j",$AU$494:$AU$499,$AT$494:$AT$499)</formula1>
      <formula2>0</formula2>
    </dataValidation>
    <dataValidation sqref="AR265:AR324" showDropDown="0" showInputMessage="0" showErrorMessage="0" allowBlank="1" type="list">
      <formula1>IF($AV265="5j",$AU$500:$AU$505,$AT$500:$AT$505)</formula1>
      <formula2>0</formula2>
    </dataValidation>
    <dataValidation sqref="AS265:AS324" showDropDown="0" showInputMessage="0" showErrorMessage="0" allowBlank="1" type="list">
      <formula1>IF($AV265="5j",$AU$506:$AU$511,$AT$506:$AT$511)</formula1>
      <formula2>0</formula2>
    </dataValidation>
    <dataValidation sqref="O518:O577" showDropDown="0" showInputMessage="0" showErrorMessage="0" allowBlank="1" type="list">
      <formula1>IF($AV518="5j",$AU$579:$AU$584,$AT$579:$AT$584)</formula1>
      <formula2>0</formula2>
    </dataValidation>
    <dataValidation sqref="P518:P577" showDropDown="0" showInputMessage="0" showErrorMessage="0" allowBlank="1" type="list">
      <formula1>IF($AV518="5j",$AU$585:$AU$590,$AT$585:$AT$590)</formula1>
      <formula2>0</formula2>
    </dataValidation>
    <dataValidation sqref="Q518:Q577" showDropDown="0" showInputMessage="0" showErrorMessage="0" allowBlank="1" type="list">
      <formula1>IF($AV518="5j",$AU$591:$AU$596,$AT$591:$AT$596)</formula1>
      <formula2>0</formula2>
    </dataValidation>
    <dataValidation sqref="R518:R577" showDropDown="0" showInputMessage="0" showErrorMessage="0" allowBlank="1" type="list">
      <formula1>IF($AV518="5j",$AU$597:$AU$602,$AT$597:$AT$602)</formula1>
      <formula2>0</formula2>
    </dataValidation>
    <dataValidation sqref="S518:S577" showDropDown="0" showInputMessage="0" showErrorMessage="0" allowBlank="1" type="list">
      <formula1>IF($AV518="5j",$AU$603:$AU$608,$AT$603:$AT$608)</formula1>
      <formula2>0</formula2>
    </dataValidation>
    <dataValidation sqref="T518:T577" showDropDown="0" showInputMessage="0" showErrorMessage="0" allowBlank="1" type="list">
      <formula1>IF($AV518="5j",$AU$609:$AU$614,$AT$609:$AT$614)</formula1>
      <formula2>0</formula2>
    </dataValidation>
    <dataValidation sqref="U518:U577" showDropDown="0" showInputMessage="0" showErrorMessage="0" allowBlank="1" type="list">
      <formula1>IF($AV518="5j",$AU$615:$AU$620,$AT$615:$AT$620)</formula1>
      <formula2>0</formula2>
    </dataValidation>
    <dataValidation sqref="V518:V577" showDropDown="0" showInputMessage="0" showErrorMessage="0" allowBlank="1" type="list">
      <formula1>IF($AV518="5j",$AU$621:$AU$626,$AT$621:$AT$626)</formula1>
      <formula2>0</formula2>
    </dataValidation>
    <dataValidation sqref="W518:W577" showDropDown="0" showInputMessage="0" showErrorMessage="0" allowBlank="1" type="list">
      <formula1>IF($AV518="5j",$AU$627:$AU$632,$AT$627:$AT$632)</formula1>
      <formula2>0</formula2>
    </dataValidation>
    <dataValidation sqref="X518:X577" showDropDown="0" showInputMessage="0" showErrorMessage="0" allowBlank="1" type="list">
      <formula1>IF($AV518="5j",$AU$633:$AU$638,$AT$633:$AT$638)</formula1>
      <formula2>0</formula2>
    </dataValidation>
    <dataValidation sqref="Y518:Y577" showDropDown="0" showInputMessage="0" showErrorMessage="0" allowBlank="1" type="list">
      <formula1>IF($AV518="5j",$AU$639:$AU$644,$AT$639:$AT$644)</formula1>
      <formula2>0</formula2>
    </dataValidation>
    <dataValidation sqref="Z518:Z577" showDropDown="0" showInputMessage="0" showErrorMessage="0" allowBlank="1" type="list">
      <formula1>IF($AV518="5j",$AU$645:$AU$650,$AT$645:$AT$650)</formula1>
      <formula2>0</formula2>
    </dataValidation>
    <dataValidation sqref="AA518:AA577" showDropDown="0" showInputMessage="0" showErrorMessage="0" allowBlank="1" type="list">
      <formula1>IF($AV518="5j",$AU$651:$AU$656,$AT$651:$AT$656)</formula1>
      <formula2>0</formula2>
    </dataValidation>
    <dataValidation sqref="AB518:AB577" showDropDown="0" showInputMessage="0" showErrorMessage="0" allowBlank="1" type="list">
      <formula1>IF($AV518="5j",$AU$657:$AU$662,$AT$657:$AT$662)</formula1>
      <formula2>0</formula2>
    </dataValidation>
    <dataValidation sqref="AC518:AC577" showDropDown="0" showInputMessage="0" showErrorMessage="0" allowBlank="1" type="list">
      <formula1>IF($AV518="5j",$AU$663:$AU$668,$AT$663:$AT$668)</formula1>
      <formula2>0</formula2>
    </dataValidation>
    <dataValidation sqref="AD518:AD577" showDropDown="0" showInputMessage="0" showErrorMessage="0" allowBlank="1" type="list">
      <formula1>IF($AV518="5j",$AU$669:$AU$674,$AT$669:$AT$674)</formula1>
      <formula2>0</formula2>
    </dataValidation>
    <dataValidation sqref="AE518:AE577" showDropDown="0" showInputMessage="0" showErrorMessage="0" allowBlank="1" type="list">
      <formula1>IF($AV518="5j",$AU$675:$AU$680,$AT$675:$AT$680)</formula1>
      <formula2>0</formula2>
    </dataValidation>
    <dataValidation sqref="AF518:AF577" showDropDown="0" showInputMessage="0" showErrorMessage="0" allowBlank="1" type="list">
      <formula1>IF($AV518="5j",$AU$681:$AU$686,$AT$681:$AT$686)</formula1>
      <formula2>0</formula2>
    </dataValidation>
    <dataValidation sqref="AG518:AG577" showDropDown="0" showInputMessage="0" showErrorMessage="0" allowBlank="1" type="list">
      <formula1>IF($AV518="5j",$AU$687:$AU$692,$AT$687:$AT$692)</formula1>
      <formula2>0</formula2>
    </dataValidation>
    <dataValidation sqref="AH518:AH577" showDropDown="0" showInputMessage="0" showErrorMessage="0" allowBlank="1" type="list">
      <formula1>IF($AV518="5j",$AU$693:$AU$698,$AT$693:$AT$698)</formula1>
      <formula2>0</formula2>
    </dataValidation>
    <dataValidation sqref="AI518:AI577" showDropDown="0" showInputMessage="0" showErrorMessage="0" allowBlank="1" type="list">
      <formula1>IF($AV518="5j",$AU$699:$AU$704,$AT$699:$AT$704)</formula1>
      <formula2>0</formula2>
    </dataValidation>
    <dataValidation sqref="AJ518:AJ577" showDropDown="0" showInputMessage="0" showErrorMessage="0" allowBlank="1" type="list">
      <formula1>IF($AV518="5j",$AU$705:$AU$710,$AT$705:$AT$710)</formula1>
      <formula2>0</formula2>
    </dataValidation>
    <dataValidation sqref="AK518:AK577" showDropDown="0" showInputMessage="0" showErrorMessage="0" allowBlank="1" type="list">
      <formula1>IF($AV518="5j",$AU$711:$AU$716,$AT$711:$AT$716)</formula1>
      <formula2>0</formula2>
    </dataValidation>
    <dataValidation sqref="AL518:AL577" showDropDown="0" showInputMessage="0" showErrorMessage="0" allowBlank="1" type="list">
      <formula1>IF($AV518="5j",$AU$717:$AU$722,$AT$717:$AT$722)</formula1>
      <formula2>0</formula2>
    </dataValidation>
    <dataValidation sqref="AM518:AM577" showDropDown="0" showInputMessage="0" showErrorMessage="0" allowBlank="1" type="list">
      <formula1>IF($AV518="5j",$AU$723:$AU$728,$AT$723:$AT$728)</formula1>
      <formula2>0</formula2>
    </dataValidation>
    <dataValidation sqref="AN518:AN577" showDropDown="0" showInputMessage="0" showErrorMessage="0" allowBlank="1" type="list">
      <formula1>IF($AV518="5j",$AU$729:$AU$734,$AT$729:$AT$734)</formula1>
      <formula2>0</formula2>
    </dataValidation>
    <dataValidation sqref="AO518:AO577" showDropDown="0" showInputMessage="0" showErrorMessage="0" allowBlank="1" type="list">
      <formula1>IF($AV518="5j",$AU$735:$AU$740,$AT$735:$AT$740)</formula1>
      <formula2>0</formula2>
    </dataValidation>
    <dataValidation sqref="AP518:AP577" showDropDown="0" showInputMessage="0" showErrorMessage="0" allowBlank="1" type="list">
      <formula1>IF($AV518="5j",$AU$741:$AU$746,$AT$741:$AT$746)</formula1>
      <formula2>0</formula2>
    </dataValidation>
    <dataValidation sqref="AQ518:AQ577" showDropDown="0" showInputMessage="0" showErrorMessage="0" allowBlank="1" type="list">
      <formula1>IF($AV518="5j",$AU$747:$AU$752,$AT$747:$AT$752)</formula1>
      <formula2>0</formula2>
    </dataValidation>
    <dataValidation sqref="AR518:AR577" showDropDown="0" showInputMessage="0" showErrorMessage="0" allowBlank="1" type="list">
      <formula1>IF($AV518="5j",$AU$753:$AU$758,$AT$753:$AT$758)</formula1>
      <formula2>0</formula2>
    </dataValidation>
    <dataValidation sqref="AS518:AS577" showDropDown="0" showInputMessage="0" showErrorMessage="0" allowBlank="1" type="list">
      <formula1>IF($AV518="5j",$AU$759:$AU$764,$AT$759:$AT$764)</formula1>
      <formula2>0</formula2>
    </dataValidation>
    <dataValidation sqref="O771:O830" showDropDown="0" showInputMessage="0" showErrorMessage="0" allowBlank="1" type="list">
      <formula1>IF($AV771="5j",$AU$832:$AU$837,$AT$832:$AT$837)</formula1>
      <formula2>0</formula2>
    </dataValidation>
    <dataValidation sqref="P771:P830" showDropDown="0" showInputMessage="0" showErrorMessage="0" allowBlank="1" type="list">
      <formula1>IF($AV771="5j",$AU$838:$AU$843,$AT$838:$AT$843)</formula1>
      <formula2>0</formula2>
    </dataValidation>
    <dataValidation sqref="Q771:Q830" showDropDown="0" showInputMessage="0" showErrorMessage="0" allowBlank="1" type="list">
      <formula1>IF($AV771="5j",$AU$844:$AU$849,$AT$844:$AT$849)</formula1>
      <formula2>0</formula2>
    </dataValidation>
    <dataValidation sqref="R771:R830" showDropDown="0" showInputMessage="0" showErrorMessage="0" allowBlank="1" type="list">
      <formula1>IF($AV771="5j",$AU$850:$AU$855,$AT$850:$AT$855)</formula1>
      <formula2>0</formula2>
    </dataValidation>
    <dataValidation sqref="S771:S830" showDropDown="0" showInputMessage="0" showErrorMessage="0" allowBlank="1" type="list">
      <formula1>IF($AV771="5j",$AU$856:$AU$861,$AT$856:$AT$861)</formula1>
      <formula2>0</formula2>
    </dataValidation>
    <dataValidation sqref="T771:T830" showDropDown="0" showInputMessage="0" showErrorMessage="0" allowBlank="1" type="list">
      <formula1>IF($AV771="5j",$AU$862:$AU$867,$AT$862:$AT$867)</formula1>
      <formula2>0</formula2>
    </dataValidation>
    <dataValidation sqref="U771:U830" showDropDown="0" showInputMessage="0" showErrorMessage="0" allowBlank="1" type="list">
      <formula1>IF($AV771="5j",$AU$868:$AU$873,$AT$868:$AT$873)</formula1>
      <formula2>0</formula2>
    </dataValidation>
    <dataValidation sqref="V771:V830" showDropDown="0" showInputMessage="0" showErrorMessage="0" allowBlank="1" type="list">
      <formula1>IF($AV771="5j",$AU$874:$AU$879,$AT$874:$AT$879)</formula1>
      <formula2>0</formula2>
    </dataValidation>
    <dataValidation sqref="W771:W830" showDropDown="0" showInputMessage="0" showErrorMessage="0" allowBlank="1" type="list">
      <formula1>IF($AV771="5j",$AU$880:$AU$885,$AT$880:$AT$885)</formula1>
      <formula2>0</formula2>
    </dataValidation>
    <dataValidation sqref="X771:X830" showDropDown="0" showInputMessage="0" showErrorMessage="0" allowBlank="1" type="list">
      <formula1>IF($AV771="5j",$AU$886:$AU$891,$AT$886:$AT$891)</formula1>
      <formula2>0</formula2>
    </dataValidation>
    <dataValidation sqref="Y771:Y830" showDropDown="0" showInputMessage="0" showErrorMessage="0" allowBlank="1" type="list">
      <formula1>IF($AV771="5j",$AU$892:$AU$897,$AT$892:$AT$897)</formula1>
      <formula2>0</formula2>
    </dataValidation>
    <dataValidation sqref="Z771:Z830" showDropDown="0" showInputMessage="0" showErrorMessage="0" allowBlank="1" type="list">
      <formula1>IF($AV771="5j",$AU$898:$AU$903,$AT$898:$AT$903)</formula1>
      <formula2>0</formula2>
    </dataValidation>
    <dataValidation sqref="AA771:AA830" showDropDown="0" showInputMessage="0" showErrorMessage="0" allowBlank="1" type="list">
      <formula1>IF($AV771="5j",$AU$904:$AU$909,$AT$904:$AT$909)</formula1>
      <formula2>0</formula2>
    </dataValidation>
    <dataValidation sqref="AB771:AB830" showDropDown="0" showInputMessage="0" showErrorMessage="0" allowBlank="1" type="list">
      <formula1>IF($AV771="5j",$AU$910:$AU$915,$AT$910:$AT$915)</formula1>
      <formula2>0</formula2>
    </dataValidation>
    <dataValidation sqref="AC771:AC830" showDropDown="0" showInputMessage="0" showErrorMessage="0" allowBlank="1" type="list">
      <formula1>IF($AV771="5j",$AU$916:$AU$921,$AT$916:$AT$921)</formula1>
      <formula2>0</formula2>
    </dataValidation>
    <dataValidation sqref="AD771:AD830" showDropDown="0" showInputMessage="0" showErrorMessage="0" allowBlank="1" type="list">
      <formula1>IF($AV771="5j",$AU$922:$AU$927,$AT$922:$AT$927)</formula1>
      <formula2>0</formula2>
    </dataValidation>
    <dataValidation sqref="AE771:AE830" showDropDown="0" showInputMessage="0" showErrorMessage="0" allowBlank="1" type="list">
      <formula1>IF($AV771="5j",$AU$928:$AU$933,$AT$928:$AT$933)</formula1>
      <formula2>0</formula2>
    </dataValidation>
    <dataValidation sqref="AF771:AF830" showDropDown="0" showInputMessage="0" showErrorMessage="0" allowBlank="1" type="list">
      <formula1>IF($AV771="5j",$AU$934:$AU$939,$AT$934:$AT$939)</formula1>
      <formula2>0</formula2>
    </dataValidation>
    <dataValidation sqref="AG771:AG830" showDropDown="0" showInputMessage="0" showErrorMessage="0" allowBlank="1" type="list">
      <formula1>IF($AV771="5j",$AU$940:$AU$945,$AT$940:$AT$945)</formula1>
      <formula2>0</formula2>
    </dataValidation>
    <dataValidation sqref="AH771:AH830" showDropDown="0" showInputMessage="0" showErrorMessage="0" allowBlank="1" type="list">
      <formula1>IF($AV771="5j",$AU$946:$AU$951,$AT$946:$AT$951)</formula1>
      <formula2>0</formula2>
    </dataValidation>
    <dataValidation sqref="AI771:AI830" showDropDown="0" showInputMessage="0" showErrorMessage="0" allowBlank="1" type="list">
      <formula1>IF($AV771="5j",$AU$952:$AU$957,$AT$952:$AT$957)</formula1>
      <formula2>0</formula2>
    </dataValidation>
    <dataValidation sqref="AJ771:AJ830" showDropDown="0" showInputMessage="0" showErrorMessage="0" allowBlank="1" type="list">
      <formula1>IF($AV771="5j",$AU$958:$AU$963,$AT$958:$AT$963)</formula1>
      <formula2>0</formula2>
    </dataValidation>
    <dataValidation sqref="AK771:AK830" showDropDown="0" showInputMessage="0" showErrorMessage="0" allowBlank="1" type="list">
      <formula1>IF($AV771="5j",$AU$964:$AU$969,$AT$964:$AT$969)</formula1>
      <formula2>0</formula2>
    </dataValidation>
    <dataValidation sqref="AL771:AL830" showDropDown="0" showInputMessage="0" showErrorMessage="0" allowBlank="1" type="list">
      <formula1>IF($AV771="5j",$AU$970:$AU$975,$AT$970:$AT$975)</formula1>
      <formula2>0</formula2>
    </dataValidation>
    <dataValidation sqref="AM771:AM830" showDropDown="0" showInputMessage="0" showErrorMessage="0" allowBlank="1" type="list">
      <formula1>IF($AV771="5j",$AU$976:$AU$981,$AT$976:$AT$981)</formula1>
      <formula2>0</formula2>
    </dataValidation>
    <dataValidation sqref="AN771:AN830" showDropDown="0" showInputMessage="0" showErrorMessage="0" allowBlank="1" type="list">
      <formula1>IF($AV771="5j",$AU$982:$AU$987,$AT$982:$AT$987)</formula1>
      <formula2>0</formula2>
    </dataValidation>
    <dataValidation sqref="AO771:AO830" showDropDown="0" showInputMessage="0" showErrorMessage="0" allowBlank="1" type="list">
      <formula1>IF($AV771="5j",$AU$988:$AU$993,$AT$988:$AT$993)</formula1>
      <formula2>0</formula2>
    </dataValidation>
    <dataValidation sqref="AP771:AP830" showDropDown="0" showInputMessage="0" showErrorMessage="0" allowBlank="1" type="list">
      <formula1>IF($AV771="5j",$AU$994:$AU$999,$AT$994:$AT$999)</formula1>
      <formula2>0</formula2>
    </dataValidation>
    <dataValidation sqref="AQ771:AQ830" showDropDown="0" showInputMessage="0" showErrorMessage="0" allowBlank="1" type="list">
      <formula1>IF($AV771="5j",$AU$1000:$AU$1005,$AT$1000:$AT$1005)</formula1>
      <formula2>0</formula2>
    </dataValidation>
    <dataValidation sqref="AR771:AR830" showDropDown="0" showInputMessage="0" showErrorMessage="0" allowBlank="1" type="list">
      <formula1>IF($AV771="5j",$AU$1006:$AU$1011,$AT$1006:$AT$1011)</formula1>
      <formula2>0</formula2>
    </dataValidation>
    <dataValidation sqref="AS771:AS830" showDropDown="0" showInputMessage="0" showErrorMessage="0" allowBlank="1" type="list">
      <formula1>IF($AV771="5j",$AU$1012:$AU$1017,$AT$1012:$AT$1017)</formula1>
      <formula2>0</formula2>
    </dataValidation>
    <dataValidation sqref="O1024:O1083" showDropDown="0" showInputMessage="0" showErrorMessage="0" allowBlank="1" type="list">
      <formula1>IF($AV1024="5j",$AU$1085:$AU$1090,$AT$1085:$AT$1090)</formula1>
      <formula2>0</formula2>
    </dataValidation>
    <dataValidation sqref="P1024:P1083" showDropDown="0" showInputMessage="0" showErrorMessage="0" allowBlank="1" type="list">
      <formula1>IF($AV1024="5j",$AU$1091:$AU$1096,$AT$1091:$AT$1096)</formula1>
      <formula2>0</formula2>
    </dataValidation>
    <dataValidation sqref="Q1024:Q1083" showDropDown="0" showInputMessage="0" showErrorMessage="0" allowBlank="1" type="list">
      <formula1>IF($AV1024="5j",$AU$1097:$AU$1102,$AT$1097:$AT$1102)</formula1>
      <formula2>0</formula2>
    </dataValidation>
    <dataValidation sqref="R1024:R1083" showDropDown="0" showInputMessage="0" showErrorMessage="0" allowBlank="1" type="list">
      <formula1>IF($AV1024="5j",$AU$1103:$AU$1108,$AT$1103:$AT$1108)</formula1>
      <formula2>0</formula2>
    </dataValidation>
    <dataValidation sqref="S1024:S1083" showDropDown="0" showInputMessage="0" showErrorMessage="0" allowBlank="1" type="list">
      <formula1>IF($AV1024="5j",$AU$1109:$AU$1114,$AT$1109:$AT$1114)</formula1>
      <formula2>0</formula2>
    </dataValidation>
    <dataValidation sqref="T1024:T1083" showDropDown="0" showInputMessage="0" showErrorMessage="0" allowBlank="1" type="list">
      <formula1>IF($AV1024="5j",$AU$1115:$AU$1120,$AT$1115:$AT$1120)</formula1>
      <formula2>0</formula2>
    </dataValidation>
    <dataValidation sqref="U1024:U1083" showDropDown="0" showInputMessage="0" showErrorMessage="0" allowBlank="1" type="list">
      <formula1>IF($AV1024="5j",$AU$1121:$AU$1126,$AT$1121:$AT$1126)</formula1>
      <formula2>0</formula2>
    </dataValidation>
    <dataValidation sqref="V1024:V1083" showDropDown="0" showInputMessage="0" showErrorMessage="0" allowBlank="1" type="list">
      <formula1>IF($AV1024="5j",$AU$1127:$AU$1132,$AT$1127:$AT$1132)</formula1>
      <formula2>0</formula2>
    </dataValidation>
    <dataValidation sqref="W1024:W1083" showDropDown="0" showInputMessage="0" showErrorMessage="0" allowBlank="1" type="list">
      <formula1>IF($AV1024="5j",$AU$1133:$AU$1138,$AT$1133:$AT$1138)</formula1>
      <formula2>0</formula2>
    </dataValidation>
    <dataValidation sqref="X1024:X1083" showDropDown="0" showInputMessage="0" showErrorMessage="0" allowBlank="1" type="list">
      <formula1>IF($AV1024="5j",$AU$1139:$AU$1144,$AT$1139:$AT$1144)</formula1>
      <formula2>0</formula2>
    </dataValidation>
    <dataValidation sqref="Y1024:Y1083" showDropDown="0" showInputMessage="0" showErrorMessage="0" allowBlank="1" type="list">
      <formula1>IF($AV1024="5j",$AU$1145:$AU$1150,$AT$1145:$AT$1150)</formula1>
      <formula2>0</formula2>
    </dataValidation>
    <dataValidation sqref="Z1024:Z1083" showDropDown="0" showInputMessage="0" showErrorMessage="0" allowBlank="1" type="list">
      <formula1>IF($AV1024="5j",$AU$1151:$AU$1156,$AT$1151:$AT$1156)</formula1>
      <formula2>0</formula2>
    </dataValidation>
    <dataValidation sqref="AA1024:AA1083" showDropDown="0" showInputMessage="0" showErrorMessage="0" allowBlank="1" type="list">
      <formula1>IF($AV1024="5j",$AU$1157:$AU$1162,$AT$1157:$AT$1162)</formula1>
      <formula2>0</formula2>
    </dataValidation>
    <dataValidation sqref="AB1024:AB1083" showDropDown="0" showInputMessage="0" showErrorMessage="0" allowBlank="1" type="list">
      <formula1>IF($AV1024="5j",$AU$1163:$AU$1168,$AT$1163:$AT$1168)</formula1>
      <formula2>0</formula2>
    </dataValidation>
    <dataValidation sqref="AC1024:AC1083" showDropDown="0" showInputMessage="0" showErrorMessage="0" allowBlank="1" type="list">
      <formula1>IF($AV1024="5j",$AU$1169:$AU$1174,$AT$1169:$AT$1174)</formula1>
      <formula2>0</formula2>
    </dataValidation>
    <dataValidation sqref="AD1024:AD1083" showDropDown="0" showInputMessage="0" showErrorMessage="0" allowBlank="1" type="list">
      <formula1>IF($AV1024="5j",$AU$1175:$AU$1180,$AT$1175:$AT$1180)</formula1>
      <formula2>0</formula2>
    </dataValidation>
    <dataValidation sqref="AE1024:AE1083" showDropDown="0" showInputMessage="0" showErrorMessage="0" allowBlank="1" type="list">
      <formula1>IF($AV1024="5j",$AU$1181:$AU$1186,$AT$1181:$AT$1186)</formula1>
      <formula2>0</formula2>
    </dataValidation>
    <dataValidation sqref="AF1024:AF1083" showDropDown="0" showInputMessage="0" showErrorMessage="0" allowBlank="1" type="list">
      <formula1>IF($AV1024="5j",$AU$1187:$AU$1192,$AT$1187:$AT$1192)</formula1>
      <formula2>0</formula2>
    </dataValidation>
    <dataValidation sqref="AG1024:AG1083" showDropDown="0" showInputMessage="0" showErrorMessage="0" allowBlank="1" type="list">
      <formula1>IF($AV1024="5j",$AU$1193:$AU$1198,$AT$1193:$AT$1198)</formula1>
      <formula2>0</formula2>
    </dataValidation>
    <dataValidation sqref="AH1024:AH1083" showDropDown="0" showInputMessage="0" showErrorMessage="0" allowBlank="1" type="list">
      <formula1>IF($AV1024="5j",$AU$1199:$AU$1204,$AT$1199:$AT$1204)</formula1>
      <formula2>0</formula2>
    </dataValidation>
    <dataValidation sqref="AI1024:AI1083" showDropDown="0" showInputMessage="0" showErrorMessage="0" allowBlank="1" type="list">
      <formula1>IF($AV1024="5j",$AU$1205:$AU$1210,$AT$1205:$AT$1210)</formula1>
      <formula2>0</formula2>
    </dataValidation>
    <dataValidation sqref="AJ1024:AJ1083" showDropDown="0" showInputMessage="0" showErrorMessage="0" allowBlank="1" type="list">
      <formula1>IF($AV1024="5j",$AU$1211:$AU$1216,$AT$1211:$AT$1216)</formula1>
      <formula2>0</formula2>
    </dataValidation>
    <dataValidation sqref="AK1024:AK1083" showDropDown="0" showInputMessage="0" showErrorMessage="0" allowBlank="1" type="list">
      <formula1>IF($AV1024="5j",$AU$1217:$AU$1222,$AT$1217:$AT$1222)</formula1>
      <formula2>0</formula2>
    </dataValidation>
    <dataValidation sqref="AL1024:AL1083" showDropDown="0" showInputMessage="0" showErrorMessage="0" allowBlank="1" type="list">
      <formula1>IF($AV1024="5j",$AU$1223:$AU$1228,$AT$1223:$AT$1228)</formula1>
      <formula2>0</formula2>
    </dataValidation>
    <dataValidation sqref="AM1024:AM1083" showDropDown="0" showInputMessage="0" showErrorMessage="0" allowBlank="1" type="list">
      <formula1>IF($AV1024="5j",$AU$1229:$AU$1234,$AT$1229:$AT$1234)</formula1>
      <formula2>0</formula2>
    </dataValidation>
    <dataValidation sqref="AN1024:AN1083" showDropDown="0" showInputMessage="0" showErrorMessage="0" allowBlank="1" type="list">
      <formula1>IF($AV1024="5j",$AU$1235:$AU$1240,$AT$1235:$AT$1240)</formula1>
      <formula2>0</formula2>
    </dataValidation>
    <dataValidation sqref="AO1024:AO1083" showDropDown="0" showInputMessage="0" showErrorMessage="0" allowBlank="1" type="list">
      <formula1>IF($AV1024="5j",$AU$1241:$AU$1246,$AT$1241:$AT$1246)</formula1>
      <formula2>0</formula2>
    </dataValidation>
    <dataValidation sqref="AP1024:AP1083" showDropDown="0" showInputMessage="0" showErrorMessage="0" allowBlank="1" type="list">
      <formula1>IF($AV1024="5j",$AU$1247:$AU$1252,$AT$1247:$AT$1252)</formula1>
      <formula2>0</formula2>
    </dataValidation>
    <dataValidation sqref="AQ1024:AQ1083" showDropDown="0" showInputMessage="0" showErrorMessage="0" allowBlank="1" type="list">
      <formula1>IF($AV1024="5j",$AU$1253:$AU$1258,$AT$1253:$AT$1258)</formula1>
      <formula2>0</formula2>
    </dataValidation>
    <dataValidation sqref="AR1024:AR1083" showDropDown="0" showInputMessage="0" showErrorMessage="0" allowBlank="1" type="list">
      <formula1>IF($AV1024="5j",$AU$1259:$AU$1264,$AT$1259:$AT$1264)</formula1>
      <formula2>0</formula2>
    </dataValidation>
    <dataValidation sqref="AS1024:AS1083" showDropDown="0" showInputMessage="0" showErrorMessage="0" allowBlank="1" type="list">
      <formula1>IF($AV1024="5j",$AU$1265:$AU$1270,$AT$1265:$AT$1270)</formula1>
      <formula2>0</formula2>
    </dataValidation>
    <dataValidation sqref="O1277:O1336" showDropDown="0" showInputMessage="0" showErrorMessage="0" allowBlank="1" type="list">
      <formula1>IF($AV1277="5j",$AU$1338:$AU$1343,$AT$1338:$AT$1343)</formula1>
      <formula2>0</formula2>
    </dataValidation>
    <dataValidation sqref="P1277:P1336" showDropDown="0" showInputMessage="0" showErrorMessage="0" allowBlank="1" type="list">
      <formula1>IF($AV1277="5j",$AU$1344:$AU$1349,$AT$1344:$AT$1349)</formula1>
      <formula2>0</formula2>
    </dataValidation>
    <dataValidation sqref="Q1277:Q1336" showDropDown="0" showInputMessage="0" showErrorMessage="0" allowBlank="1" type="list">
      <formula1>IF($AV1277="5j",$AU$1350:$AU$1355,$AT$1350:$AT$1355)</formula1>
      <formula2>0</formula2>
    </dataValidation>
    <dataValidation sqref="R1277:R1336" showDropDown="0" showInputMessage="0" showErrorMessage="0" allowBlank="1" type="list">
      <formula1>IF($AV1277="5j",$AU$1356:$AU$1361,$AT$1356:$AT$1361)</formula1>
      <formula2>0</formula2>
    </dataValidation>
    <dataValidation sqref="S1277:S1336" showDropDown="0" showInputMessage="0" showErrorMessage="0" allowBlank="1" type="list">
      <formula1>IF($AV1277="5j",$AU$1362:$AU$1367,$AT$1362:$AT$1367)</formula1>
      <formula2>0</formula2>
    </dataValidation>
    <dataValidation sqref="T1277:T1336" showDropDown="0" showInputMessage="0" showErrorMessage="0" allowBlank="1" type="list">
      <formula1>IF($AV1277="5j",$AU$1368:$AU$1373,$AT$1368:$AT$1373)</formula1>
      <formula2>0</formula2>
    </dataValidation>
    <dataValidation sqref="U1277:U1336" showDropDown="0" showInputMessage="0" showErrorMessage="0" allowBlank="1" type="list">
      <formula1>IF($AV1277="5j",$AU$1374:$AU$1379,$AT$1374:$AT$1379)</formula1>
      <formula2>0</formula2>
    </dataValidation>
    <dataValidation sqref="V1277:V1336" showDropDown="0" showInputMessage="0" showErrorMessage="0" allowBlank="1" type="list">
      <formula1>IF($AV1277="5j",$AU$1380:$AU$1385,$AT$1380:$AT$1385)</formula1>
      <formula2>0</formula2>
    </dataValidation>
    <dataValidation sqref="W1277:W1336" showDropDown="0" showInputMessage="0" showErrorMessage="0" allowBlank="1" type="list">
      <formula1>IF($AV1277="5j",$AU$1386:$AU$1391,$AT$1386:$AT$1391)</formula1>
      <formula2>0</formula2>
    </dataValidation>
    <dataValidation sqref="X1277:X1336" showDropDown="0" showInputMessage="0" showErrorMessage="0" allowBlank="1" type="list">
      <formula1>IF($AV1277="5j",$AU$1392:$AU$1397,$AT$1392:$AT$1397)</formula1>
      <formula2>0</formula2>
    </dataValidation>
    <dataValidation sqref="Y1277:Y1336" showDropDown="0" showInputMessage="0" showErrorMessage="0" allowBlank="1" type="list">
      <formula1>IF($AV1277="5j",$AU$1398:$AU$1403,$AT$1398:$AT$1403)</formula1>
      <formula2>0</formula2>
    </dataValidation>
    <dataValidation sqref="Z1277:Z1336" showDropDown="0" showInputMessage="0" showErrorMessage="0" allowBlank="1" type="list">
      <formula1>IF($AV1277="5j",$AU$1404:$AU$1409,$AT$1404:$AT$1409)</formula1>
      <formula2>0</formula2>
    </dataValidation>
    <dataValidation sqref="AA1277:AA1336" showDropDown="0" showInputMessage="0" showErrorMessage="0" allowBlank="1" type="list">
      <formula1>IF($AV1277="5j",$AU$1410:$AU$1415,$AT$1410:$AT$1415)</formula1>
      <formula2>0</formula2>
    </dataValidation>
    <dataValidation sqref="AB1277:AB1336" showDropDown="0" showInputMessage="0" showErrorMessage="0" allowBlank="1" type="list">
      <formula1>IF($AV1277="5j",$AU$1416:$AU$1421,$AT$1416:$AT$1421)</formula1>
      <formula2>0</formula2>
    </dataValidation>
    <dataValidation sqref="AC1277:AC1336" showDropDown="0" showInputMessage="0" showErrorMessage="0" allowBlank="1" type="list">
      <formula1>IF($AV1277="5j",$AU$1422:$AU$1427,$AT$1422:$AT$1427)</formula1>
      <formula2>0</formula2>
    </dataValidation>
    <dataValidation sqref="AD1277:AD1336" showDropDown="0" showInputMessage="0" showErrorMessage="0" allowBlank="1" type="list">
      <formula1>IF($AV1277="5j",$AU$1428:$AU$1433,$AT$1428:$AT$1433)</formula1>
      <formula2>0</formula2>
    </dataValidation>
    <dataValidation sqref="AE1277:AE1336" showDropDown="0" showInputMessage="0" showErrorMessage="0" allowBlank="1" type="list">
      <formula1>IF($AV1277="5j",$AU$1434:$AU$1439,$AT$1434:$AT$1439)</formula1>
      <formula2>0</formula2>
    </dataValidation>
    <dataValidation sqref="AF1277:AF1336" showDropDown="0" showInputMessage="0" showErrorMessage="0" allowBlank="1" type="list">
      <formula1>IF($AV1277="5j",$AU$1440:$AU$1445,$AT$1440:$AT$1445)</formula1>
      <formula2>0</formula2>
    </dataValidation>
    <dataValidation sqref="AG1277:AG1336" showDropDown="0" showInputMessage="0" showErrorMessage="0" allowBlank="1" type="list">
      <formula1>IF($AV1277="5j",$AU$1446:$AU$1451,$AT$1446:$AT$1451)</formula1>
      <formula2>0</formula2>
    </dataValidation>
    <dataValidation sqref="AH1277:AH1336" showDropDown="0" showInputMessage="0" showErrorMessage="0" allowBlank="1" type="list">
      <formula1>IF($AV1277="5j",$AU$1452:$AU$1457,$AT$1452:$AT$1457)</formula1>
      <formula2>0</formula2>
    </dataValidation>
    <dataValidation sqref="AI1277:AI1336" showDropDown="0" showInputMessage="0" showErrorMessage="0" allowBlank="1" type="list">
      <formula1>IF($AV1277="5j",$AU$1458:$AU$1463,$AT$1458:$AT$1463)</formula1>
      <formula2>0</formula2>
    </dataValidation>
    <dataValidation sqref="AJ1277:AJ1336" showDropDown="0" showInputMessage="0" showErrorMessage="0" allowBlank="1" type="list">
      <formula1>IF($AV1277="5j",$AU$1464:$AU$1469,$AT$1464:$AT$1469)</formula1>
      <formula2>0</formula2>
    </dataValidation>
    <dataValidation sqref="AK1277:AK1336" showDropDown="0" showInputMessage="0" showErrorMessage="0" allowBlank="1" type="list">
      <formula1>IF($AV1277="5j",$AU$1470:$AU$1475,$AT$1470:$AT$1475)</formula1>
      <formula2>0</formula2>
    </dataValidation>
    <dataValidation sqref="AL1277:AL1336" showDropDown="0" showInputMessage="0" showErrorMessage="0" allowBlank="1" type="list">
      <formula1>IF($AV1277="5j",$AU$1476:$AU$1481,$AT$1476:$AT$1481)</formula1>
      <formula2>0</formula2>
    </dataValidation>
    <dataValidation sqref="AM1277:AM1336" showDropDown="0" showInputMessage="0" showErrorMessage="0" allowBlank="1" type="list">
      <formula1>IF($AV1277="5j",$AU$1482:$AU$1487,$AT$1482:$AT$1487)</formula1>
      <formula2>0</formula2>
    </dataValidation>
    <dataValidation sqref="AN1277:AN1336" showDropDown="0" showInputMessage="0" showErrorMessage="0" allowBlank="1" type="list">
      <formula1>IF($AV1277="5j",$AU$1488:$AU$1493,$AT$1488:$AT$1493)</formula1>
      <formula2>0</formula2>
    </dataValidation>
    <dataValidation sqref="AO1277:AO1336" showDropDown="0" showInputMessage="0" showErrorMessage="0" allowBlank="1" type="list">
      <formula1>IF($AV1277="5j",$AU$1494:$AU$1499,$AT$1494:$AT$1499)</formula1>
      <formula2>0</formula2>
    </dataValidation>
    <dataValidation sqref="AP1277:AP1336" showDropDown="0" showInputMessage="0" showErrorMessage="0" allowBlank="1" type="list">
      <formula1>IF($AV1277="5j",$AU$1500:$AU$1505,$AT$1500:$AT$1505)</formula1>
      <formula2>0</formula2>
    </dataValidation>
    <dataValidation sqref="AQ1277:AQ1336" showDropDown="0" showInputMessage="0" showErrorMessage="0" allowBlank="1" type="list">
      <formula1>IF($AV1277="5j",$AU$1506:$AU$1511,$AT$1506:$AT$1511)</formula1>
      <formula2>0</formula2>
    </dataValidation>
    <dataValidation sqref="AR1277:AR1336" showDropDown="0" showInputMessage="0" showErrorMessage="0" allowBlank="1" type="list">
      <formula1>IF($AV1277="5j",$AU$1512:$AU$1517,$AT$1512:$AT$1517)</formula1>
      <formula2>0</formula2>
    </dataValidation>
    <dataValidation sqref="AS1277:AS1336" showDropDown="0" showInputMessage="0" showErrorMessage="0" allowBlank="1" type="list">
      <formula1>IF($AV1277="5j",$AU$1518:$AU$1523,$AT$1518:$AT$1523)</formula1>
      <formula2>0</formula2>
    </dataValidation>
    <dataValidation sqref="O1530:O1589" showDropDown="0" showInputMessage="0" showErrorMessage="0" allowBlank="1" type="list">
      <formula1>IF($AV1530="5j",$AU$1591:$AU$1596,$AT$1591:$AT$1596)</formula1>
      <formula2>0</formula2>
    </dataValidation>
    <dataValidation sqref="P1530:P1589" showDropDown="0" showInputMessage="0" showErrorMessage="0" allowBlank="1" type="list">
      <formula1>IF($AV1530="5j",$AU$1597:$AU$1602,$AT$1597:$AT$1602)</formula1>
      <formula2>0</formula2>
    </dataValidation>
    <dataValidation sqref="Q1530:Q1589" showDropDown="0" showInputMessage="0" showErrorMessage="0" allowBlank="1" type="list">
      <formula1>IF($AV1530="5j",$AU$1603:$AU$1608,$AT$1603:$AT$1608)</formula1>
      <formula2>0</formula2>
    </dataValidation>
    <dataValidation sqref="R1530:R1589" showDropDown="0" showInputMessage="0" showErrorMessage="0" allowBlank="1" type="list">
      <formula1>IF($AV1530="5j",$AU$1609:$AU$1614,$AT$1609:$AT$1614)</formula1>
      <formula2>0</formula2>
    </dataValidation>
    <dataValidation sqref="S1530:S1589" showDropDown="0" showInputMessage="0" showErrorMessage="0" allowBlank="1" type="list">
      <formula1>IF($AV1530="5j",$AU$1615:$AU$1620,$AT$1615:$AT$1620)</formula1>
      <formula2>0</formula2>
    </dataValidation>
    <dataValidation sqref="T1530:T1589" showDropDown="0" showInputMessage="0" showErrorMessage="0" allowBlank="1" type="list">
      <formula1>IF($AV1530="5j",$AU$1621:$AU$1626,$AT$1621:$AT$1626)</formula1>
      <formula2>0</formula2>
    </dataValidation>
    <dataValidation sqref="U1530:U1589" showDropDown="0" showInputMessage="0" showErrorMessage="0" allowBlank="1" type="list">
      <formula1>IF($AV1530="5j",$AU$1627:$AU$1632,$AT$1627:$AT$1632)</formula1>
      <formula2>0</formula2>
    </dataValidation>
    <dataValidation sqref="V1530:V1589" showDropDown="0" showInputMessage="0" showErrorMessage="0" allowBlank="1" type="list">
      <formula1>IF($AV1530="5j",$AU$1633:$AU$1638,$AT$1633:$AT$1638)</formula1>
      <formula2>0</formula2>
    </dataValidation>
    <dataValidation sqref="W1530:W1589" showDropDown="0" showInputMessage="0" showErrorMessage="0" allowBlank="1" type="list">
      <formula1>IF($AV1530="5j",$AU$1639:$AU$1644,$AT$1639:$AT$1644)</formula1>
      <formula2>0</formula2>
    </dataValidation>
    <dataValidation sqref="X1530:X1589" showDropDown="0" showInputMessage="0" showErrorMessage="0" allowBlank="1" type="list">
      <formula1>IF($AV1530="5j",$AU$1645:$AU$1650,$AT$1645:$AT$1650)</formula1>
      <formula2>0</formula2>
    </dataValidation>
    <dataValidation sqref="Y1530:Y1589" showDropDown="0" showInputMessage="0" showErrorMessage="0" allowBlank="1" type="list">
      <formula1>IF($AV1530="5j",$AU$1651:$AU$1656,$AT$1651:$AT$1656)</formula1>
      <formula2>0</formula2>
    </dataValidation>
    <dataValidation sqref="Z1530:Z1589" showDropDown="0" showInputMessage="0" showErrorMessage="0" allowBlank="1" type="list">
      <formula1>IF($AV1530="5j",$AU$1657:$AU$1662,$AT$1657:$AT$1662)</formula1>
      <formula2>0</formula2>
    </dataValidation>
    <dataValidation sqref="AA1530:AA1589" showDropDown="0" showInputMessage="0" showErrorMessage="0" allowBlank="1" type="list">
      <formula1>IF($AV1530="5j",$AU$1663:$AU$1668,$AT$1663:$AT$1668)</formula1>
      <formula2>0</formula2>
    </dataValidation>
    <dataValidation sqref="AB1530:AB1589" showDropDown="0" showInputMessage="0" showErrorMessage="0" allowBlank="1" type="list">
      <formula1>IF($AV1530="5j",$AU$1669:$AU$1674,$AT$1669:$AT$1674)</formula1>
      <formula2>0</formula2>
    </dataValidation>
    <dataValidation sqref="AC1530:AC1589" showDropDown="0" showInputMessage="0" showErrorMessage="0" allowBlank="1" type="list">
      <formula1>IF($AV1530="5j",$AU$1675:$AU$1680,$AT$1675:$AT$1680)</formula1>
      <formula2>0</formula2>
    </dataValidation>
    <dataValidation sqref="AD1530:AD1589" showDropDown="0" showInputMessage="0" showErrorMessage="0" allowBlank="1" type="list">
      <formula1>IF($AV1530="5j",$AU$1681:$AU$1686,$AT$1681:$AT$1686)</formula1>
      <formula2>0</formula2>
    </dataValidation>
    <dataValidation sqref="AE1530:AE1589" showDropDown="0" showInputMessage="0" showErrorMessage="0" allowBlank="1" type="list">
      <formula1>IF($AV1530="5j",$AU$1687:$AU$1692,$AT$1687:$AT$1692)</formula1>
      <formula2>0</formula2>
    </dataValidation>
    <dataValidation sqref="AF1530:AF1589" showDropDown="0" showInputMessage="0" showErrorMessage="0" allowBlank="1" type="list">
      <formula1>IF($AV1530="5j",$AU$1693:$AU$1698,$AT$1693:$AT$1698)</formula1>
      <formula2>0</formula2>
    </dataValidation>
    <dataValidation sqref="AG1530:AG1589" showDropDown="0" showInputMessage="0" showErrorMessage="0" allowBlank="1" type="list">
      <formula1>IF($AV1530="5j",$AU$1699:$AU$1704,$AT$1699:$AT$1704)</formula1>
      <formula2>0</formula2>
    </dataValidation>
    <dataValidation sqref="AH1530:AH1589" showDropDown="0" showInputMessage="0" showErrorMessage="0" allowBlank="1" type="list">
      <formula1>IF($AV1530="5j",$AU$1705:$AU$1710,$AT$1705:$AT$1710)</formula1>
      <formula2>0</formula2>
    </dataValidation>
    <dataValidation sqref="AI1530:AI1589" showDropDown="0" showInputMessage="0" showErrorMessage="0" allowBlank="1" type="list">
      <formula1>IF($AV1530="5j",$AU$1711:$AU$1716,$AT$1711:$AT$1716)</formula1>
      <formula2>0</formula2>
    </dataValidation>
    <dataValidation sqref="AJ1530:AJ1589" showDropDown="0" showInputMessage="0" showErrorMessage="0" allowBlank="1" type="list">
      <formula1>IF($AV1530="5j",$AU$1717:$AU$1722,$AT$1717:$AT$1722)</formula1>
      <formula2>0</formula2>
    </dataValidation>
    <dataValidation sqref="AK1530:AK1589" showDropDown="0" showInputMessage="0" showErrorMessage="0" allowBlank="1" type="list">
      <formula1>IF($AV1530="5j",$AU$1723:$AU$1728,$AT$1723:$AT$1728)</formula1>
      <formula2>0</formula2>
    </dataValidation>
    <dataValidation sqref="AL1530:AL1589" showDropDown="0" showInputMessage="0" showErrorMessage="0" allowBlank="1" type="list">
      <formula1>IF($AV1530="5j",$AU$1729:$AU$1734,$AT$1729:$AT$1734)</formula1>
      <formula2>0</formula2>
    </dataValidation>
    <dataValidation sqref="AM1530:AM1589" showDropDown="0" showInputMessage="0" showErrorMessage="0" allowBlank="1" type="list">
      <formula1>IF($AV1530="5j",$AU$1735:$AU$1740,$AT$1735:$AT$1740)</formula1>
      <formula2>0</formula2>
    </dataValidation>
    <dataValidation sqref="AN1530:AN1589" showDropDown="0" showInputMessage="0" showErrorMessage="0" allowBlank="1" type="list">
      <formula1>IF($AV1530="5j",$AU$1741:$AU$1746,$AT$1741:$AT$1746)</formula1>
      <formula2>0</formula2>
    </dataValidation>
    <dataValidation sqref="AO1530:AO1589" showDropDown="0" showInputMessage="0" showErrorMessage="0" allowBlank="1" type="list">
      <formula1>IF($AV1530="5j",$AU$1747:$AU$1752,$AT$1747:$AT$1752)</formula1>
      <formula2>0</formula2>
    </dataValidation>
    <dataValidation sqref="AP1530:AP1589" showDropDown="0" showInputMessage="0" showErrorMessage="0" allowBlank="1" type="list">
      <formula1>IF($AV1530="5j",$AU$1753:$AU$1758,$AT$1753:$AT$1758)</formula1>
      <formula2>0</formula2>
    </dataValidation>
    <dataValidation sqref="AQ1530:AQ1589" showDropDown="0" showInputMessage="0" showErrorMessage="0" allowBlank="1" type="list">
      <formula1>IF($AV1530="5j",$AU$1759:$AU$1764,$AT$1759:$AT$1764)</formula1>
      <formula2>0</formula2>
    </dataValidation>
    <dataValidation sqref="AR1530:AR1589" showDropDown="0" showInputMessage="0" showErrorMessage="0" allowBlank="1" type="list">
      <formula1>IF($AV1530="5j",$AU$1765:$AU$1770,$AT$1765:$AT$1770)</formula1>
      <formula2>0</formula2>
    </dataValidation>
    <dataValidation sqref="AS1530:AS1589" showDropDown="0" showInputMessage="0" showErrorMessage="0" allowBlank="1" type="list">
      <formula1>IF($AV1530="5j",$AU$1771:$AU$1776,$AT$1771:$AT$1776)</formula1>
      <formula2>0</formula2>
    </dataValidation>
    <dataValidation sqref="O1783:O1842" showDropDown="0" showInputMessage="0" showErrorMessage="0" allowBlank="1" type="list">
      <formula1>IF($AV1783="5j",$AU$1844:$AU$1849,$AT$1844:$AT$1849)</formula1>
      <formula2>0</formula2>
    </dataValidation>
    <dataValidation sqref="P1783:P1842" showDropDown="0" showInputMessage="0" showErrorMessage="0" allowBlank="1" type="list">
      <formula1>IF($AV1783="5j",$AU$1850:$AU$1855,$AT$1850:$AT$1855)</formula1>
      <formula2>0</formula2>
    </dataValidation>
    <dataValidation sqref="Q1783:Q1842" showDropDown="0" showInputMessage="0" showErrorMessage="0" allowBlank="1" type="list">
      <formula1>IF($AV1783="5j",$AU$1856:$AU$1861,$AT$1856:$AT$1861)</formula1>
      <formula2>0</formula2>
    </dataValidation>
    <dataValidation sqref="R1783:R1842" showDropDown="0" showInputMessage="0" showErrorMessage="0" allowBlank="1" type="list">
      <formula1>IF($AV1783="5j",$AU$1862:$AU$1867,$AT$1862:$AT$1867)</formula1>
      <formula2>0</formula2>
    </dataValidation>
    <dataValidation sqref="S1783:S1842" showDropDown="0" showInputMessage="0" showErrorMessage="0" allowBlank="1" type="list">
      <formula1>IF($AV1783="5j",$AU$1868:$AU$1873,$AT$1868:$AT$1873)</formula1>
      <formula2>0</formula2>
    </dataValidation>
    <dataValidation sqref="T1783:T1842" showDropDown="0" showInputMessage="0" showErrorMessage="0" allowBlank="1" type="list">
      <formula1>IF($AV1783="5j",$AU$1874:$AU$1879,$AT$1874:$AT$1879)</formula1>
      <formula2>0</formula2>
    </dataValidation>
    <dataValidation sqref="U1783:U1842" showDropDown="0" showInputMessage="0" showErrorMessage="0" allowBlank="1" type="list">
      <formula1>IF($AV1783="5j",$AU$1880:$AU$1885,$AT$1880:$AT$1885)</formula1>
      <formula2>0</formula2>
    </dataValidation>
    <dataValidation sqref="V1783:V1842" showDropDown="0" showInputMessage="0" showErrorMessage="0" allowBlank="1" type="list">
      <formula1>IF($AV1783="5j",$AU$1886:$AU$1891,$AT$1886:$AT$1891)</formula1>
      <formula2>0</formula2>
    </dataValidation>
    <dataValidation sqref="W1783:W1842" showDropDown="0" showInputMessage="0" showErrorMessage="0" allowBlank="1" type="list">
      <formula1>IF($AV1783="5j",$AU$1892:$AU$1897,$AT$1892:$AT$1897)</formula1>
      <formula2>0</formula2>
    </dataValidation>
    <dataValidation sqref="X1783:X1842" showDropDown="0" showInputMessage="0" showErrorMessage="0" allowBlank="1" type="list">
      <formula1>IF($AV1783="5j",$AU$1898:$AU$1903,$AT$1898:$AT$1903)</formula1>
      <formula2>0</formula2>
    </dataValidation>
    <dataValidation sqref="Y1783:Y1842" showDropDown="0" showInputMessage="0" showErrorMessage="0" allowBlank="1" type="list">
      <formula1>IF($AV1783="5j",$AU$1904:$AU$1909,$AT$1904:$AT$1909)</formula1>
      <formula2>0</formula2>
    </dataValidation>
    <dataValidation sqref="Z1783:Z1842" showDropDown="0" showInputMessage="0" showErrorMessage="0" allowBlank="1" type="list">
      <formula1>IF($AV1783="5j",$AU$1910:$AU$1915,$AT$1910:$AT$1915)</formula1>
      <formula2>0</formula2>
    </dataValidation>
    <dataValidation sqref="AA1783:AA1842" showDropDown="0" showInputMessage="0" showErrorMessage="0" allowBlank="1" type="list">
      <formula1>IF($AV1783="5j",$AU$1916:$AU$1921,$AT$1916:$AT$1921)</formula1>
      <formula2>0</formula2>
    </dataValidation>
    <dataValidation sqref="AB1783:AB1842" showDropDown="0" showInputMessage="0" showErrorMessage="0" allowBlank="1" type="list">
      <formula1>IF($AV1783="5j",$AU$1922:$AU$1927,$AT$1922:$AT$1927)</formula1>
      <formula2>0</formula2>
    </dataValidation>
    <dataValidation sqref="AC1783:AC1842" showDropDown="0" showInputMessage="0" showErrorMessage="0" allowBlank="1" type="list">
      <formula1>IF($AV1783="5j",$AU$1928:$AU$1933,$AT$1928:$AT$1933)</formula1>
      <formula2>0</formula2>
    </dataValidation>
    <dataValidation sqref="AD1783:AD1842" showDropDown="0" showInputMessage="0" showErrorMessage="0" allowBlank="1" type="list">
      <formula1>IF($AV1783="5j",$AU$1934:$AU$1939,$AT$1934:$AT$1939)</formula1>
      <formula2>0</formula2>
    </dataValidation>
    <dataValidation sqref="AE1783:AE1842" showDropDown="0" showInputMessage="0" showErrorMessage="0" allowBlank="1" type="list">
      <formula1>IF($AV1783="5j",$AU$1940:$AU$1945,$AT$1940:$AT$1945)</formula1>
      <formula2>0</formula2>
    </dataValidation>
    <dataValidation sqref="AF1783:AF1842" showDropDown="0" showInputMessage="0" showErrorMessage="0" allowBlank="1" type="list">
      <formula1>IF($AV1783="5j",$AU$1946:$AU$1951,$AT$1946:$AT$1951)</formula1>
      <formula2>0</formula2>
    </dataValidation>
    <dataValidation sqref="AG1783:AG1842" showDropDown="0" showInputMessage="0" showErrorMessage="0" allowBlank="1" type="list">
      <formula1>IF($AV1783="5j",$AU$1952:$AU$1957,$AT$1952:$AT$1957)</formula1>
      <formula2>0</formula2>
    </dataValidation>
    <dataValidation sqref="AH1783:AH1842" showDropDown="0" showInputMessage="0" showErrorMessage="0" allowBlank="1" type="list">
      <formula1>IF($AV1783="5j",$AU$1958:$AU$1963,$AT$1958:$AT$1963)</formula1>
      <formula2>0</formula2>
    </dataValidation>
    <dataValidation sqref="AI1783:AI1842" showDropDown="0" showInputMessage="0" showErrorMessage="0" allowBlank="1" type="list">
      <formula1>IF($AV1783="5j",$AU$1964:$AU$1969,$AT$1964:$AT$1969)</formula1>
      <formula2>0</formula2>
    </dataValidation>
    <dataValidation sqref="AJ1783:AJ1842" showDropDown="0" showInputMessage="0" showErrorMessage="0" allowBlank="1" type="list">
      <formula1>IF($AV1783="5j",$AU$1970:$AU$1975,$AT$1970:$AT$1975)</formula1>
      <formula2>0</formula2>
    </dataValidation>
    <dataValidation sqref="AK1783:AK1842" showDropDown="0" showInputMessage="0" showErrorMessage="0" allowBlank="1" type="list">
      <formula1>IF($AV1783="5j",$AU$1976:$AU$1981,$AT$1976:$AT$1981)</formula1>
      <formula2>0</formula2>
    </dataValidation>
    <dataValidation sqref="AL1783:AL1842" showDropDown="0" showInputMessage="0" showErrorMessage="0" allowBlank="1" type="list">
      <formula1>IF($AV1783="5j",$AU$1982:$AU$1987,$AT$1982:$AT$1987)</formula1>
      <formula2>0</formula2>
    </dataValidation>
    <dataValidation sqref="AM1783:AM1842" showDropDown="0" showInputMessage="0" showErrorMessage="0" allowBlank="1" type="list">
      <formula1>IF($AV1783="5j",$AU$1988:$AU$1993,$AT$1988:$AT$1993)</formula1>
      <formula2>0</formula2>
    </dataValidation>
    <dataValidation sqref="AN1783:AN1842" showDropDown="0" showInputMessage="0" showErrorMessage="0" allowBlank="1" type="list">
      <formula1>IF($AV1783="5j",$AU$1994:$AU$1999,$AT$1994:$AT$1999)</formula1>
      <formula2>0</formula2>
    </dataValidation>
    <dataValidation sqref="AO1783:AO1842" showDropDown="0" showInputMessage="0" showErrorMessage="0" allowBlank="1" type="list">
      <formula1>IF($AV1783="5j",$AU$2000:$AU$2005,$AT$2000:$AT$2005)</formula1>
      <formula2>0</formula2>
    </dataValidation>
    <dataValidation sqref="AP1783:AP1842" showDropDown="0" showInputMessage="0" showErrorMessage="0" allowBlank="1" type="list">
      <formula1>IF($AV1783="5j",$AU$2006:$AU$2011,$AT$2006:$AT$2011)</formula1>
      <formula2>0</formula2>
    </dataValidation>
    <dataValidation sqref="AQ1783:AQ1842" showDropDown="0" showInputMessage="0" showErrorMessage="0" allowBlank="1" type="list">
      <formula1>IF($AV1783="5j",$AU$2012:$AU$2017,$AT$2012:$AT$2017)</formula1>
      <formula2>0</formula2>
    </dataValidation>
    <dataValidation sqref="AR1783:AR1842" showDropDown="0" showInputMessage="0" showErrorMessage="0" allowBlank="1" type="list">
      <formula1>IF($AV1783="5j",$AU$2018:$AU$2023,$AT$2018:$AT$2023)</formula1>
      <formula2>0</formula2>
    </dataValidation>
    <dataValidation sqref="AS1783:AS1842" showDropDown="0" showInputMessage="0" showErrorMessage="0" allowBlank="1" type="list">
      <formula1>IF($AV1783="5j",$AU$2024:$AU$2029,$AT$2024:$AT$2029)</formula1>
      <formula2>0</formula2>
    </dataValidation>
    <dataValidation sqref="O2036:O2095" showDropDown="0" showInputMessage="0" showErrorMessage="0" allowBlank="1" type="list">
      <formula1>IF($AV2036="5j",$AU$2097:$AU$2102,$AT$2097:$AT$2102)</formula1>
      <formula2>0</formula2>
    </dataValidation>
    <dataValidation sqref="P2036:P2095" showDropDown="0" showInputMessage="0" showErrorMessage="0" allowBlank="1" type="list">
      <formula1>IF($AV2036="5j",$AU$2103:$AU$2108,$AT$2103:$AT$2108)</formula1>
      <formula2>0</formula2>
    </dataValidation>
    <dataValidation sqref="Q2036:Q2095" showDropDown="0" showInputMessage="0" showErrorMessage="0" allowBlank="1" type="list">
      <formula1>IF($AV2036="5j",$AU$2109:$AU$2114,$AT$2109:$AT$2114)</formula1>
      <formula2>0</formula2>
    </dataValidation>
    <dataValidation sqref="R2036:R2095" showDropDown="0" showInputMessage="0" showErrorMessage="0" allowBlank="1" type="list">
      <formula1>IF($AV2036="5j",$AU$2115:$AU$2120,$AT$2115:$AT$2120)</formula1>
      <formula2>0</formula2>
    </dataValidation>
    <dataValidation sqref="S2036:S2095" showDropDown="0" showInputMessage="0" showErrorMessage="0" allowBlank="1" type="list">
      <formula1>IF($AV2036="5j",$AU$2121:$AU$2126,$AT$2121:$AT$2126)</formula1>
      <formula2>0</formula2>
    </dataValidation>
    <dataValidation sqref="T2036:T2095" showDropDown="0" showInputMessage="0" showErrorMessage="0" allowBlank="1" type="list">
      <formula1>IF($AV2036="5j",$AU$2127:$AU$2132,$AT$2127:$AT$2132)</formula1>
      <formula2>0</formula2>
    </dataValidation>
    <dataValidation sqref="U2036:U2095" showDropDown="0" showInputMessage="0" showErrorMessage="0" allowBlank="1" type="list">
      <formula1>IF($AV2036="5j",$AU$2133:$AU$2138,$AT$2133:$AT$2138)</formula1>
      <formula2>0</formula2>
    </dataValidation>
    <dataValidation sqref="V2036:V2095" showDropDown="0" showInputMessage="0" showErrorMessage="0" allowBlank="1" type="list">
      <formula1>IF($AV2036="5j",$AU$2139:$AU$2144,$AT$2139:$AT$2144)</formula1>
      <formula2>0</formula2>
    </dataValidation>
    <dataValidation sqref="W2036:W2095" showDropDown="0" showInputMessage="0" showErrorMessage="0" allowBlank="1" type="list">
      <formula1>IF($AV2036="5j",$AU$2145:$AU$2150,$AT$2145:$AT$2150)</formula1>
      <formula2>0</formula2>
    </dataValidation>
    <dataValidation sqref="X2036:X2095" showDropDown="0" showInputMessage="0" showErrorMessage="0" allowBlank="1" type="list">
      <formula1>IF($AV2036="5j",$AU$2151:$AU$2156,$AT$2151:$AT$2156)</formula1>
      <formula2>0</formula2>
    </dataValidation>
    <dataValidation sqref="Y2036:Y2095" showDropDown="0" showInputMessage="0" showErrorMessage="0" allowBlank="1" type="list">
      <formula1>IF($AV2036="5j",$AU$2157:$AU$2162,$AT$2157:$AT$2162)</formula1>
      <formula2>0</formula2>
    </dataValidation>
    <dataValidation sqref="Z2036:Z2095" showDropDown="0" showInputMessage="0" showErrorMessage="0" allowBlank="1" type="list">
      <formula1>IF($AV2036="5j",$AU$2163:$AU$2168,$AT$2163:$AT$2168)</formula1>
      <formula2>0</formula2>
    </dataValidation>
    <dataValidation sqref="AA2036:AA2095" showDropDown="0" showInputMessage="0" showErrorMessage="0" allowBlank="1" type="list">
      <formula1>IF($AV2036="5j",$AU$2169:$AU$2174,$AT$2169:$AT$2174)</formula1>
      <formula2>0</formula2>
    </dataValidation>
    <dataValidation sqref="AB2036:AB2095" showDropDown="0" showInputMessage="0" showErrorMessage="0" allowBlank="1" type="list">
      <formula1>IF($AV2036="5j",$AU$2175:$AU$2180,$AT$2175:$AT$2180)</formula1>
      <formula2>0</formula2>
    </dataValidation>
    <dataValidation sqref="AC2036:AC2095" showDropDown="0" showInputMessage="0" showErrorMessage="0" allowBlank="1" type="list">
      <formula1>IF($AV2036="5j",$AU$2181:$AU$2186,$AT$2181:$AT$2186)</formula1>
      <formula2>0</formula2>
    </dataValidation>
    <dataValidation sqref="AD2036:AD2095" showDropDown="0" showInputMessage="0" showErrorMessage="0" allowBlank="1" type="list">
      <formula1>IF($AV2036="5j",$AU$2187:$AU$2192,$AT$2187:$AT$2192)</formula1>
      <formula2>0</formula2>
    </dataValidation>
    <dataValidation sqref="AE2036:AE2095" showDropDown="0" showInputMessage="0" showErrorMessage="0" allowBlank="1" type="list">
      <formula1>IF($AV2036="5j",$AU$2193:$AU$2198,$AT$2193:$AT$2198)</formula1>
      <formula2>0</formula2>
    </dataValidation>
    <dataValidation sqref="AF2036:AF2095" showDropDown="0" showInputMessage="0" showErrorMessage="0" allowBlank="1" type="list">
      <formula1>IF($AV2036="5j",$AU$2199:$AU$2204,$AT$2199:$AT$2204)</formula1>
      <formula2>0</formula2>
    </dataValidation>
    <dataValidation sqref="AG2036:AG2095" showDropDown="0" showInputMessage="0" showErrorMessage="0" allowBlank="1" type="list">
      <formula1>IF($AV2036="5j",$AU$2205:$AU$2210,$AT$2205:$AT$2210)</formula1>
      <formula2>0</formula2>
    </dataValidation>
    <dataValidation sqref="AH2036:AH2095" showDropDown="0" showInputMessage="0" showErrorMessage="0" allowBlank="1" type="list">
      <formula1>IF($AV2036="5j",$AU$2211:$AU$2216,$AT$2211:$AT$2216)</formula1>
      <formula2>0</formula2>
    </dataValidation>
    <dataValidation sqref="AI2036:AI2095" showDropDown="0" showInputMessage="0" showErrorMessage="0" allowBlank="1" type="list">
      <formula1>IF($AV2036="5j",$AU$2217:$AU$2222,$AT$2217:$AT$2222)</formula1>
      <formula2>0</formula2>
    </dataValidation>
    <dataValidation sqref="AJ2036:AJ2095" showDropDown="0" showInputMessage="0" showErrorMessage="0" allowBlank="1" type="list">
      <formula1>IF($AV2036="5j",$AU$2223:$AU$2228,$AT$2223:$AT$2228)</formula1>
      <formula2>0</formula2>
    </dataValidation>
    <dataValidation sqref="AK2036:AK2095" showDropDown="0" showInputMessage="0" showErrorMessage="0" allowBlank="1" type="list">
      <formula1>IF($AV2036="5j",$AU$2229:$AU$2234,$AT$2229:$AT$2234)</formula1>
      <formula2>0</formula2>
    </dataValidation>
    <dataValidation sqref="AL2036:AL2095" showDropDown="0" showInputMessage="0" showErrorMessage="0" allowBlank="1" type="list">
      <formula1>IF($AV2036="5j",$AU$2235:$AU$2240,$AT$2235:$AT$2240)</formula1>
      <formula2>0</formula2>
    </dataValidation>
    <dataValidation sqref="AM2036:AM2095" showDropDown="0" showInputMessage="0" showErrorMessage="0" allowBlank="1" type="list">
      <formula1>IF($AV2036="5j",$AU$2241:$AU$2246,$AT$2241:$AT$2246)</formula1>
      <formula2>0</formula2>
    </dataValidation>
    <dataValidation sqref="AN2036:AN2095" showDropDown="0" showInputMessage="0" showErrorMessage="0" allowBlank="1" type="list">
      <formula1>IF($AV2036="5j",$AU$2247:$AU$2252,$AT$2247:$AT$2252)</formula1>
      <formula2>0</formula2>
    </dataValidation>
    <dataValidation sqref="AO2036:AO2095" showDropDown="0" showInputMessage="0" showErrorMessage="0" allowBlank="1" type="list">
      <formula1>IF($AV2036="5j",$AU$2253:$AU$2258,$AT$2253:$AT$2258)</formula1>
      <formula2>0</formula2>
    </dataValidation>
    <dataValidation sqref="AP2036:AP2095" showDropDown="0" showInputMessage="0" showErrorMessage="0" allowBlank="1" type="list">
      <formula1>IF($AV2036="5j",$AU$2259:$AU$2264,$AT$2259:$AT$2264)</formula1>
      <formula2>0</formula2>
    </dataValidation>
    <dataValidation sqref="AQ2036:AQ2095" showDropDown="0" showInputMessage="0" showErrorMessage="0" allowBlank="1" type="list">
      <formula1>IF($AV2036="5j",$AU$2265:$AU$2270,$AT$2265:$AT$2270)</formula1>
      <formula2>0</formula2>
    </dataValidation>
    <dataValidation sqref="AR2036:AR2095" showDropDown="0" showInputMessage="0" showErrorMessage="0" allowBlank="1" type="list">
      <formula1>IF($AV2036="5j",$AU$2271:$AU$2276,$AT$2271:$AT$2276)</formula1>
      <formula2>0</formula2>
    </dataValidation>
    <dataValidation sqref="AS2036:AS2095" showDropDown="0" showInputMessage="0" showErrorMessage="0" allowBlank="1" type="list">
      <formula1>IF($AV2036="5j",$AU$2277:$AU$2282,$AT$2277:$AT$2282)</formula1>
      <formula2>0</formula2>
    </dataValidation>
    <dataValidation sqref="O2289:O2348" showDropDown="0" showInputMessage="0" showErrorMessage="0" allowBlank="1" type="list">
      <formula1>IF($AV2289="5j",$AU$2350:$AU$2355,$AT$2350:$AT$2355)</formula1>
      <formula2>0</formula2>
    </dataValidation>
    <dataValidation sqref="P2289:P2348" showDropDown="0" showInputMessage="0" showErrorMessage="0" allowBlank="1" type="list">
      <formula1>IF($AV2289="5j",$AU$2356:$AU$2361,$AT$2356:$AT$2361)</formula1>
      <formula2>0</formula2>
    </dataValidation>
    <dataValidation sqref="Q2289:Q2348" showDropDown="0" showInputMessage="0" showErrorMessage="0" allowBlank="1" type="list">
      <formula1>IF($AV2289="5j",$AU$2362:$AU$2367,$AT$2362:$AT$2367)</formula1>
      <formula2>0</formula2>
    </dataValidation>
    <dataValidation sqref="R2289:R2348" showDropDown="0" showInputMessage="0" showErrorMessage="0" allowBlank="1" type="list">
      <formula1>IF($AV2289="5j",$AU$2368:$AU$2373,$AT$2368:$AT$2373)</formula1>
      <formula2>0</formula2>
    </dataValidation>
    <dataValidation sqref="S2289:S2348" showDropDown="0" showInputMessage="0" showErrorMessage="0" allowBlank="1" type="list">
      <formula1>IF($AV2289="5j",$AU$2374:$AU$2379,$AT$2374:$AT$2379)</formula1>
      <formula2>0</formula2>
    </dataValidation>
    <dataValidation sqref="T2289:T2348" showDropDown="0" showInputMessage="0" showErrorMessage="0" allowBlank="1" type="list">
      <formula1>IF($AV2289="5j",$AU$2380:$AU$2385,$AT$2380:$AT$2385)</formula1>
      <formula2>0</formula2>
    </dataValidation>
    <dataValidation sqref="U2289:U2348" showDropDown="0" showInputMessage="0" showErrorMessage="0" allowBlank="1" type="list">
      <formula1>IF($AV2289="5j",$AU$2386:$AU$2391,$AT$2386:$AT$2391)</formula1>
      <formula2>0</formula2>
    </dataValidation>
    <dataValidation sqref="V2289:V2348" showDropDown="0" showInputMessage="0" showErrorMessage="0" allowBlank="1" type="list">
      <formula1>IF($AV2289="5j",$AU$2392:$AU$2397,$AT$2392:$AT$2397)</formula1>
      <formula2>0</formula2>
    </dataValidation>
    <dataValidation sqref="W2289:W2348" showDropDown="0" showInputMessage="0" showErrorMessage="0" allowBlank="1" type="list">
      <formula1>IF($AV2289="5j",$AU$2398:$AU$2403,$AT$2398:$AT$2403)</formula1>
      <formula2>0</formula2>
    </dataValidation>
    <dataValidation sqref="X2289:X2348" showDropDown="0" showInputMessage="0" showErrorMessage="0" allowBlank="1" type="list">
      <formula1>IF($AV2289="5j",$AU$2404:$AU$2409,$AT$2404:$AT$2409)</formula1>
      <formula2>0</formula2>
    </dataValidation>
    <dataValidation sqref="Y2289:Y2348" showDropDown="0" showInputMessage="0" showErrorMessage="0" allowBlank="1" type="list">
      <formula1>IF($AV2289="5j",$AU$2410:$AU$2415,$AT$2410:$AT$2415)</formula1>
      <formula2>0</formula2>
    </dataValidation>
    <dataValidation sqref="Z2289:Z2348" showDropDown="0" showInputMessage="0" showErrorMessage="0" allowBlank="1" type="list">
      <formula1>IF($AV2289="5j",$AU$2416:$AU$2421,$AT$2416:$AT$2421)</formula1>
      <formula2>0</formula2>
    </dataValidation>
    <dataValidation sqref="AA2289:AA2348" showDropDown="0" showInputMessage="0" showErrorMessage="0" allowBlank="1" type="list">
      <formula1>IF($AV2289="5j",$AU$2422:$AU$2427,$AT$2422:$AT$2427)</formula1>
      <formula2>0</formula2>
    </dataValidation>
    <dataValidation sqref="AB2289:AB2348" showDropDown="0" showInputMessage="0" showErrorMessage="0" allowBlank="1" type="list">
      <formula1>IF($AV2289="5j",$AU$2428:$AU$2433,$AT$2428:$AT$2433)</formula1>
      <formula2>0</formula2>
    </dataValidation>
    <dataValidation sqref="AC2289:AC2348" showDropDown="0" showInputMessage="0" showErrorMessage="0" allowBlank="1" type="list">
      <formula1>IF($AV2289="5j",$AU$2434:$AU$2439,$AT$2434:$AT$2439)</formula1>
      <formula2>0</formula2>
    </dataValidation>
    <dataValidation sqref="AD2289:AD2348" showDropDown="0" showInputMessage="0" showErrorMessage="0" allowBlank="1" type="list">
      <formula1>IF($AV2289="5j",$AU$2440:$AU$2445,$AT$2440:$AT$2445)</formula1>
      <formula2>0</formula2>
    </dataValidation>
    <dataValidation sqref="AE2289:AE2348" showDropDown="0" showInputMessage="0" showErrorMessage="0" allowBlank="1" type="list">
      <formula1>IF($AV2289="5j",$AU$2446:$AU$2451,$AT$2446:$AT$2451)</formula1>
      <formula2>0</formula2>
    </dataValidation>
    <dataValidation sqref="AF2289:AF2348" showDropDown="0" showInputMessage="0" showErrorMessage="0" allowBlank="1" type="list">
      <formula1>IF($AV2289="5j",$AU$2452:$AU$2457,$AT$2452:$AT$2457)</formula1>
      <formula2>0</formula2>
    </dataValidation>
    <dataValidation sqref="AG2289:AG2348" showDropDown="0" showInputMessage="0" showErrorMessage="0" allowBlank="1" type="list">
      <formula1>IF($AV2289="5j",$AU$2458:$AU$2463,$AT$2458:$AT$2463)</formula1>
      <formula2>0</formula2>
    </dataValidation>
    <dataValidation sqref="AH2289:AH2348" showDropDown="0" showInputMessage="0" showErrorMessage="0" allowBlank="1" type="list">
      <formula1>IF($AV2289="5j",$AU$2464:$AU$2469,$AT$2464:$AT$2469)</formula1>
      <formula2>0</formula2>
    </dataValidation>
    <dataValidation sqref="AI2289:AI2348" showDropDown="0" showInputMessage="0" showErrorMessage="0" allowBlank="1" type="list">
      <formula1>IF($AV2289="5j",$AU$2470:$AU$2475,$AT$2470:$AT$2475)</formula1>
      <formula2>0</formula2>
    </dataValidation>
    <dataValidation sqref="AJ2289:AJ2348" showDropDown="0" showInputMessage="0" showErrorMessage="0" allowBlank="1" type="list">
      <formula1>IF($AV2289="5j",$AU$2476:$AU$2481,$AT$2476:$AT$2481)</formula1>
      <formula2>0</formula2>
    </dataValidation>
    <dataValidation sqref="AK2289:AK2348" showDropDown="0" showInputMessage="0" showErrorMessage="0" allowBlank="1" type="list">
      <formula1>IF($AV2289="5j",$AU$2482:$AU$2487,$AT$2482:$AT$2487)</formula1>
      <formula2>0</formula2>
    </dataValidation>
    <dataValidation sqref="AL2289:AL2348" showDropDown="0" showInputMessage="0" showErrorMessage="0" allowBlank="1" type="list">
      <formula1>IF($AV2289="5j",$AU$2488:$AU$2493,$AT$2488:$AT$2493)</formula1>
      <formula2>0</formula2>
    </dataValidation>
    <dataValidation sqref="AM2289:AM2348" showDropDown="0" showInputMessage="0" showErrorMessage="0" allowBlank="1" type="list">
      <formula1>IF($AV2289="5j",$AU$2494:$AU$2499,$AT$2494:$AT$2499)</formula1>
      <formula2>0</formula2>
    </dataValidation>
    <dataValidation sqref="AN2289:AN2348" showDropDown="0" showInputMessage="0" showErrorMessage="0" allowBlank="1" type="list">
      <formula1>IF($AV2289="5j",$AU$2500:$AU$2505,$AT$2500:$AT$2505)</formula1>
      <formula2>0</formula2>
    </dataValidation>
    <dataValidation sqref="AO2289:AO2348" showDropDown="0" showInputMessage="0" showErrorMessage="0" allowBlank="1" type="list">
      <formula1>IF($AV2289="5j",$AU$2506:$AU$2511,$AT$2506:$AT$2511)</formula1>
      <formula2>0</formula2>
    </dataValidation>
    <dataValidation sqref="AP2289:AP2348" showDropDown="0" showInputMessage="0" showErrorMessage="0" allowBlank="1" type="list">
      <formula1>IF($AV2289="5j",$AU$2512:$AU$2517,$AT$2512:$AT$2517)</formula1>
      <formula2>0</formula2>
    </dataValidation>
    <dataValidation sqref="AQ2289:AQ2348" showDropDown="0" showInputMessage="0" showErrorMessage="0" allowBlank="1" type="list">
      <formula1>IF($AV2289="5j",$AU$2518:$AU$2523,$AT$2518:$AT$2523)</formula1>
      <formula2>0</formula2>
    </dataValidation>
    <dataValidation sqref="AR2289:AR2348" showDropDown="0" showInputMessage="0" showErrorMessage="0" allowBlank="1" type="list">
      <formula1>IF($AV2289="5j",$AU$2524:$AU$2529,$AT$2524:$AT$2529)</formula1>
      <formula2>0</formula2>
    </dataValidation>
    <dataValidation sqref="AS2289:AS2348" showDropDown="0" showInputMessage="0" showErrorMessage="0" allowBlank="1" type="list">
      <formula1>IF($AV2289="5j",$AU$2530:$AU$2535,$AT$2530:$AT$2535)</formula1>
      <formula2>0</formula2>
    </dataValidation>
    <dataValidation sqref="O2542:O2601" showDropDown="0" showInputMessage="0" showErrorMessage="0" allowBlank="1" type="list">
      <formula1>IF($AV2542="5j",$AU$2603:$AU$2608,$AT$2603:$AT$2608)</formula1>
      <formula2>0</formula2>
    </dataValidation>
    <dataValidation sqref="P2542:P2601" showDropDown="0" showInputMessage="0" showErrorMessage="0" allowBlank="1" type="list">
      <formula1>IF($AV2542="5j",$AU$2609:$AU$2614,$AT$2609:$AT$2614)</formula1>
      <formula2>0</formula2>
    </dataValidation>
    <dataValidation sqref="Q2542:Q2601" showDropDown="0" showInputMessage="0" showErrorMessage="0" allowBlank="1" type="list">
      <formula1>IF($AV2542="5j",$AU$2615:$AU$2620,$AT$2615:$AT$2620)</formula1>
      <formula2>0</formula2>
    </dataValidation>
    <dataValidation sqref="R2542:R2601" showDropDown="0" showInputMessage="0" showErrorMessage="0" allowBlank="1" type="list">
      <formula1>IF($AV2542="5j",$AU$2621:$AU$2626,$AT$2621:$AT$2626)</formula1>
      <formula2>0</formula2>
    </dataValidation>
    <dataValidation sqref="S2542:S2601" showDropDown="0" showInputMessage="0" showErrorMessage="0" allowBlank="1" type="list">
      <formula1>IF($AV2542="5j",$AU$2627:$AU$2632,$AT$2627:$AT$2632)</formula1>
      <formula2>0</formula2>
    </dataValidation>
    <dataValidation sqref="T2542:T2601" showDropDown="0" showInputMessage="0" showErrorMessage="0" allowBlank="1" type="list">
      <formula1>IF($AV2542="5j",$AU$2633:$AU$2638,$AT$2633:$AT$2638)</formula1>
      <formula2>0</formula2>
    </dataValidation>
    <dataValidation sqref="U2542:U2601" showDropDown="0" showInputMessage="0" showErrorMessage="0" allowBlank="1" type="list">
      <formula1>IF($AV2542="5j",$AU$2639:$AU$2644,$AT$2639:$AT$2644)</formula1>
      <formula2>0</formula2>
    </dataValidation>
    <dataValidation sqref="V2542:V2601" showDropDown="0" showInputMessage="0" showErrorMessage="0" allowBlank="1" type="list">
      <formula1>IF($AV2542="5j",$AU$2645:$AU$2650,$AT$2645:$AT$2650)</formula1>
      <formula2>0</formula2>
    </dataValidation>
    <dataValidation sqref="W2542:W2601" showDropDown="0" showInputMessage="0" showErrorMessage="0" allowBlank="1" type="list">
      <formula1>IF($AV2542="5j",$AU$2651:$AU$2656,$AT$2651:$AT$2656)</formula1>
      <formula2>0</formula2>
    </dataValidation>
    <dataValidation sqref="X2542:X2601" showDropDown="0" showInputMessage="0" showErrorMessage="0" allowBlank="1" type="list">
      <formula1>IF($AV2542="5j",$AU$2657:$AU$2662,$AT$2657:$AT$2662)</formula1>
      <formula2>0</formula2>
    </dataValidation>
    <dataValidation sqref="Y2542:Y2601" showDropDown="0" showInputMessage="0" showErrorMessage="0" allowBlank="1" type="list">
      <formula1>IF($AV2542="5j",$AU$2663:$AU$2668,$AT$2663:$AT$2668)</formula1>
      <formula2>0</formula2>
    </dataValidation>
    <dataValidation sqref="Z2542:Z2601" showDropDown="0" showInputMessage="0" showErrorMessage="0" allowBlank="1" type="list">
      <formula1>IF($AV2542="5j",$AU$2669:$AU$2674,$AT$2669:$AT$2674)</formula1>
      <formula2>0</formula2>
    </dataValidation>
    <dataValidation sqref="AA2542:AA2601" showDropDown="0" showInputMessage="0" showErrorMessage="0" allowBlank="1" type="list">
      <formula1>IF($AV2542="5j",$AU$2675:$AU$2680,$AT$2675:$AT$2680)</formula1>
      <formula2>0</formula2>
    </dataValidation>
    <dataValidation sqref="AB2542:AB2601" showDropDown="0" showInputMessage="0" showErrorMessage="0" allowBlank="1" type="list">
      <formula1>IF($AV2542="5j",$AU$2681:$AU$2686,$AT$2681:$AT$2686)</formula1>
      <formula2>0</formula2>
    </dataValidation>
    <dataValidation sqref="AC2542:AC2601" showDropDown="0" showInputMessage="0" showErrorMessage="0" allowBlank="1" type="list">
      <formula1>IF($AV2542="5j",$AU$2687:$AU$2692,$AT$2687:$AT$2692)</formula1>
      <formula2>0</formula2>
    </dataValidation>
    <dataValidation sqref="AD2542:AD2601" showDropDown="0" showInputMessage="0" showErrorMessage="0" allowBlank="1" type="list">
      <formula1>IF($AV2542="5j",$AU$2693:$AU$2698,$AT$2693:$AT$2698)</formula1>
      <formula2>0</formula2>
    </dataValidation>
    <dataValidation sqref="AE2542:AE2601" showDropDown="0" showInputMessage="0" showErrorMessage="0" allowBlank="1" type="list">
      <formula1>IF($AV2542="5j",$AU$2699:$AU$2704,$AT$2699:$AT$2704)</formula1>
      <formula2>0</formula2>
    </dataValidation>
    <dataValidation sqref="AF2542:AF2601" showDropDown="0" showInputMessage="0" showErrorMessage="0" allowBlank="1" type="list">
      <formula1>IF($AV2542="5j",$AU$2705:$AU$2710,$AT$2705:$AT$2710)</formula1>
      <formula2>0</formula2>
    </dataValidation>
    <dataValidation sqref="AG2542:AG2601" showDropDown="0" showInputMessage="0" showErrorMessage="0" allowBlank="1" type="list">
      <formula1>IF($AV2542="5j",$AU$2711:$AU$2716,$AT$2711:$AT$2716)</formula1>
      <formula2>0</formula2>
    </dataValidation>
    <dataValidation sqref="AH2542:AH2601" showDropDown="0" showInputMessage="0" showErrorMessage="0" allowBlank="1" type="list">
      <formula1>IF($AV2542="5j",$AU$2717:$AU$2722,$AT$2717:$AT$2722)</formula1>
      <formula2>0</formula2>
    </dataValidation>
    <dataValidation sqref="AI2542:AI2601" showDropDown="0" showInputMessage="0" showErrorMessage="0" allowBlank="1" type="list">
      <formula1>IF($AV2542="5j",$AU$2723:$AU$2728,$AT$2723:$AT$2728)</formula1>
      <formula2>0</formula2>
    </dataValidation>
    <dataValidation sqref="AJ2542:AJ2601" showDropDown="0" showInputMessage="0" showErrorMessage="0" allowBlank="1" type="list">
      <formula1>IF($AV2542="5j",$AU$2729:$AU$2734,$AT$2729:$AT$2734)</formula1>
      <formula2>0</formula2>
    </dataValidation>
    <dataValidation sqref="AK2542:AK2601" showDropDown="0" showInputMessage="0" showErrorMessage="0" allowBlank="1" type="list">
      <formula1>IF($AV2542="5j",$AU$2735:$AU$2740,$AT$2735:$AT$2740)</formula1>
      <formula2>0</formula2>
    </dataValidation>
    <dataValidation sqref="AL2542:AL2601" showDropDown="0" showInputMessage="0" showErrorMessage="0" allowBlank="1" type="list">
      <formula1>IF($AV2542="5j",$AU$2741:$AU$2746,$AT$2741:$AT$2746)</formula1>
      <formula2>0</formula2>
    </dataValidation>
    <dataValidation sqref="AM2542:AM2601" showDropDown="0" showInputMessage="0" showErrorMessage="0" allowBlank="1" type="list">
      <formula1>IF($AV2542="5j",$AU$2747:$AU$2752,$AT$2747:$AT$2752)</formula1>
      <formula2>0</formula2>
    </dataValidation>
    <dataValidation sqref="AN2542:AN2601" showDropDown="0" showInputMessage="0" showErrorMessage="0" allowBlank="1" type="list">
      <formula1>IF($AV2542="5j",$AU$2753:$AU$2758,$AT$2753:$AT$2758)</formula1>
      <formula2>0</formula2>
    </dataValidation>
    <dataValidation sqref="AO2542:AO2601" showDropDown="0" showInputMessage="0" showErrorMessage="0" allowBlank="1" type="list">
      <formula1>IF($AV2542="5j",$AU$2759:$AU$2764,$AT$2759:$AT$2764)</formula1>
      <formula2>0</formula2>
    </dataValidation>
    <dataValidation sqref="AP2542:AP2601" showDropDown="0" showInputMessage="0" showErrorMessage="0" allowBlank="1" type="list">
      <formula1>IF($AV2542="5j",$AU$2765:$AU$2770,$AT$2765:$AT$2770)</formula1>
      <formula2>0</formula2>
    </dataValidation>
    <dataValidation sqref="AQ2542:AQ2601" showDropDown="0" showInputMessage="0" showErrorMessage="0" allowBlank="1" type="list">
      <formula1>IF($AV2542="5j",$AU$2771:$AU$2776,$AT$2771:$AT$2776)</formula1>
      <formula2>0</formula2>
    </dataValidation>
    <dataValidation sqref="AR2542:AR2601" showDropDown="0" showInputMessage="0" showErrorMessage="0" allowBlank="1" type="list">
      <formula1>IF($AV2542="5j",$AU$2777:$AU$2782,$AT$2777:$AT$2782)</formula1>
      <formula2>0</formula2>
    </dataValidation>
    <dataValidation sqref="AS2542:AS2601" showDropDown="0" showInputMessage="0" showErrorMessage="0" allowBlank="1" type="list">
      <formula1>IF($AV2542="5j",$AU$2783:$AU$2788,$AT$2783:$AT$2788)</formula1>
      <formula2>0</formula2>
    </dataValidation>
    <dataValidation sqref="O2795:O2854" showDropDown="0" showInputMessage="0" showErrorMessage="0" allowBlank="1" type="list">
      <formula1>IF($AV2795="5j",$AU$2856:$AU$2861,$AT$2856:$AT$2861)</formula1>
      <formula2>0</formula2>
    </dataValidation>
    <dataValidation sqref="P2795:P2854" showDropDown="0" showInputMessage="0" showErrorMessage="0" allowBlank="1" type="list">
      <formula1>IF($AV2795="5j",$AU$2862:$AU$2867,$AT$2862:$AT$2867)</formula1>
      <formula2>0</formula2>
    </dataValidation>
    <dataValidation sqref="Q2795:Q2854" showDropDown="0" showInputMessage="0" showErrorMessage="0" allowBlank="1" type="list">
      <formula1>IF($AV2795="5j",$AU$2868:$AU$2873,$AT$2868:$AT$2873)</formula1>
      <formula2>0</formula2>
    </dataValidation>
    <dataValidation sqref="R2795:R2854" showDropDown="0" showInputMessage="0" showErrorMessage="0" allowBlank="1" type="list">
      <formula1>IF($AV2795="5j",$AU$2874:$AU$2879,$AT$2874:$AT$2879)</formula1>
      <formula2>0</formula2>
    </dataValidation>
    <dataValidation sqref="S2795:S2854" showDropDown="0" showInputMessage="0" showErrorMessage="0" allowBlank="1" type="list">
      <formula1>IF($AV2795="5j",$AU$2880:$AU$2885,$AT$2880:$AT$2885)</formula1>
      <formula2>0</formula2>
    </dataValidation>
    <dataValidation sqref="T2795:T2854" showDropDown="0" showInputMessage="0" showErrorMessage="0" allowBlank="1" type="list">
      <formula1>IF($AV2795="5j",$AU$2886:$AU$2891,$AT$2886:$AT$2891)</formula1>
      <formula2>0</formula2>
    </dataValidation>
    <dataValidation sqref="U2795:U2854" showDropDown="0" showInputMessage="0" showErrorMessage="0" allowBlank="1" type="list">
      <formula1>IF($AV2795="5j",$AU$2892:$AU$2897,$AT$2892:$AT$2897)</formula1>
      <formula2>0</formula2>
    </dataValidation>
    <dataValidation sqref="V2795:V2854" showDropDown="0" showInputMessage="0" showErrorMessage="0" allowBlank="1" type="list">
      <formula1>IF($AV2795="5j",$AU$2898:$AU$2903,$AT$2898:$AT$2903)</formula1>
      <formula2>0</formula2>
    </dataValidation>
    <dataValidation sqref="W2795:W2854" showDropDown="0" showInputMessage="0" showErrorMessage="0" allowBlank="1" type="list">
      <formula1>IF($AV2795="5j",$AU$2904:$AU$2909,$AT$2904:$AT$2909)</formula1>
      <formula2>0</formula2>
    </dataValidation>
    <dataValidation sqref="X2795:X2854" showDropDown="0" showInputMessage="0" showErrorMessage="0" allowBlank="1" type="list">
      <formula1>IF($AV2795="5j",$AU$2910:$AU$2915,$AT$2910:$AT$2915)</formula1>
      <formula2>0</formula2>
    </dataValidation>
    <dataValidation sqref="Y2795:Y2854" showDropDown="0" showInputMessage="0" showErrorMessage="0" allowBlank="1" type="list">
      <formula1>IF($AV2795="5j",$AU$2916:$AU$2921,$AT$2916:$AT$2921)</formula1>
      <formula2>0</formula2>
    </dataValidation>
    <dataValidation sqref="Z2795:Z2854" showDropDown="0" showInputMessage="0" showErrorMessage="0" allowBlank="1" type="list">
      <formula1>IF($AV2795="5j",$AU$2922:$AU$2927,$AT$2922:$AT$2927)</formula1>
      <formula2>0</formula2>
    </dataValidation>
    <dataValidation sqref="AA2795:AA2854" showDropDown="0" showInputMessage="0" showErrorMessage="0" allowBlank="1" type="list">
      <formula1>IF($AV2795="5j",$AU$2928:$AU$2933,$AT$2928:$AT$2933)</formula1>
      <formula2>0</formula2>
    </dataValidation>
    <dataValidation sqref="AB2795:AB2854" showDropDown="0" showInputMessage="0" showErrorMessage="0" allowBlank="1" type="list">
      <formula1>IF($AV2795="5j",$AU$2934:$AU$2939,$AT$2934:$AT$2939)</formula1>
      <formula2>0</formula2>
    </dataValidation>
    <dataValidation sqref="AC2795:AC2854" showDropDown="0" showInputMessage="0" showErrorMessage="0" allowBlank="1" type="list">
      <formula1>IF($AV2795="5j",$AU$2940:$AU$2945,$AT$2940:$AT$2945)</formula1>
      <formula2>0</formula2>
    </dataValidation>
    <dataValidation sqref="AD2795:AD2854" showDropDown="0" showInputMessage="0" showErrorMessage="0" allowBlank="1" type="list">
      <formula1>IF($AV2795="5j",$AU$2946:$AU$2951,$AT$2946:$AT$2951)</formula1>
      <formula2>0</formula2>
    </dataValidation>
    <dataValidation sqref="AE2795:AE2854" showDropDown="0" showInputMessage="0" showErrorMessage="0" allowBlank="1" type="list">
      <formula1>IF($AV2795="5j",$AU$2952:$AU$2957,$AT$2952:$AT$2957)</formula1>
      <formula2>0</formula2>
    </dataValidation>
    <dataValidation sqref="AF2795:AF2854" showDropDown="0" showInputMessage="0" showErrorMessage="0" allowBlank="1" type="list">
      <formula1>IF($AV2795="5j",$AU$2958:$AU$2963,$AT$2958:$AT$2963)</formula1>
      <formula2>0</formula2>
    </dataValidation>
    <dataValidation sqref="AG2795:AG2854" showDropDown="0" showInputMessage="0" showErrorMessage="0" allowBlank="1" type="list">
      <formula1>IF($AV2795="5j",$AU$2964:$AU$2969,$AT$2964:$AT$2969)</formula1>
      <formula2>0</formula2>
    </dataValidation>
    <dataValidation sqref="AH2795:AH2854" showDropDown="0" showInputMessage="0" showErrorMessage="0" allowBlank="1" type="list">
      <formula1>IF($AV2795="5j",$AU$2970:$AU$2975,$AT$2970:$AT$2975)</formula1>
      <formula2>0</formula2>
    </dataValidation>
    <dataValidation sqref="AI2795:AI2854" showDropDown="0" showInputMessage="0" showErrorMessage="0" allowBlank="1" type="list">
      <formula1>IF($AV2795="5j",$AU$2976:$AU$2981,$AT$2976:$AT$2981)</formula1>
      <formula2>0</formula2>
    </dataValidation>
    <dataValidation sqref="AJ2795:AJ2854" showDropDown="0" showInputMessage="0" showErrorMessage="0" allowBlank="1" type="list">
      <formula1>IF($AV2795="5j",$AU$2982:$AU$2987,$AT$2982:$AT$2987)</formula1>
      <formula2>0</formula2>
    </dataValidation>
    <dataValidation sqref="AK2795:AK2854" showDropDown="0" showInputMessage="0" showErrorMessage="0" allowBlank="1" type="list">
      <formula1>IF($AV2795="5j",$AU$2988:$AU$2993,$AT$2988:$AT$2993)</formula1>
      <formula2>0</formula2>
    </dataValidation>
    <dataValidation sqref="AL2795:AL2854" showDropDown="0" showInputMessage="0" showErrorMessage="0" allowBlank="1" type="list">
      <formula1>IF($AV2795="5j",$AU$2994:$AU$2999,$AT$2994:$AT$2999)</formula1>
      <formula2>0</formula2>
    </dataValidation>
    <dataValidation sqref="AM2795:AM2854" showDropDown="0" showInputMessage="0" showErrorMessage="0" allowBlank="1" type="list">
      <formula1>IF($AV2795="5j",$AU$3000:$AU$3005,$AT$3000:$AT$3005)</formula1>
      <formula2>0</formula2>
    </dataValidation>
    <dataValidation sqref="AN2795:AN2854" showDropDown="0" showInputMessage="0" showErrorMessage="0" allowBlank="1" type="list">
      <formula1>IF($AV2795="5j",$AU$3006:$AU$3011,$AT$3006:$AT$3011)</formula1>
      <formula2>0</formula2>
    </dataValidation>
    <dataValidation sqref="AO2795:AO2854" showDropDown="0" showInputMessage="0" showErrorMessage="0" allowBlank="1" type="list">
      <formula1>IF($AV2795="5j",$AU$3012:$AU$3017,$AT$3012:$AT$3017)</formula1>
      <formula2>0</formula2>
    </dataValidation>
    <dataValidation sqref="AP2795:AP2854" showDropDown="0" showInputMessage="0" showErrorMessage="0" allowBlank="1" type="list">
      <formula1>IF($AV2795="5j",$AU$3018:$AU$3023,$AT$3018:$AT$3023)</formula1>
      <formula2>0</formula2>
    </dataValidation>
    <dataValidation sqref="AQ2795:AQ2854" showDropDown="0" showInputMessage="0" showErrorMessage="0" allowBlank="1" type="list">
      <formula1>IF($AV2795="5j",$AU$3024:$AU$3029,$AT$3024:$AT$3029)</formula1>
      <formula2>0</formula2>
    </dataValidation>
    <dataValidation sqref="AR2795:AR2854" showDropDown="0" showInputMessage="0" showErrorMessage="0" allowBlank="1" type="list">
      <formula1>IF($AV2795="5j",$AU$3030:$AU$3035,$AT$3030:$AT$3035)</formula1>
      <formula2>0</formula2>
    </dataValidation>
    <dataValidation sqref="AS2795:AS2854" showDropDown="0" showInputMessage="0" showErrorMessage="0" allowBlank="1" type="list">
      <formula1>IF($AV2795="5j",$AU$3036:$AU$3041,$AT$3036:$AT$3041)</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1:F218"/>
  <sheetViews>
    <sheetView showGridLines="0" zoomScaleNormal="100" workbookViewId="0">
      <pane ySplit="3" topLeftCell="A4" activePane="bottomLeft" state="frozen"/>
      <selection pane="bottomLeft" activeCell="A1" sqref="A1:F1"/>
    </sheetView>
  </sheetViews>
  <sheetFormatPr baseColWidth="10" defaultColWidth="8.6640625" defaultRowHeight="14.4"/>
  <cols>
    <col width="4" customWidth="1" style="15" min="1" max="1"/>
    <col width="46" customWidth="1" style="15" min="2" max="2"/>
    <col width="20" customWidth="1" style="15" min="3" max="3"/>
    <col width="14" customWidth="1" style="15" min="4" max="4"/>
    <col width="4" customWidth="1" style="15" min="5" max="5"/>
    <col width="46" customWidth="1" style="15" min="6" max="6"/>
  </cols>
  <sheetData>
    <row r="1" ht="30" customHeight="1" s="15">
      <c r="A1" s="14" t="inlineStr">
        <is>
          <t>BULLETIN DE PAIE — MOTEUR DE CALCUL</t>
        </is>
      </c>
    </row>
    <row r="2" ht="18" customHeight="1" s="15">
      <c r="A2" s="13" t="inlineStr">
        <is>
          <t>Morning SARL  —  Maquette de validation  —  1 agent à la fois, année/mois pilotés par PARAMÈTRES</t>
        </is>
      </c>
    </row>
    <row r="4" ht="21.75" customHeight="1" s="15">
      <c r="B4" s="8" t="inlineStr">
        <is>
          <t xml:space="preserve">  A.  SÉLECTEUR</t>
        </is>
      </c>
    </row>
    <row r="5" ht="15" customHeight="1" s="15">
      <c r="B5" s="16" t="inlineStr">
        <is>
          <t>Matricule de l'agent</t>
        </is>
      </c>
      <c r="C5" s="17" t="inlineStr">
        <is>
          <t>MSOC-0001</t>
        </is>
      </c>
    </row>
    <row r="6" ht="15" customHeight="1" s="15">
      <c r="B6" s="16" t="inlineStr">
        <is>
          <t>Période (pilotée par PARAMÈTRES, section 3)</t>
        </is>
      </c>
      <c r="C6" s="19">
        <f>PARAMETRES!$C$30&amp;" "&amp;PARAMETRES!$C$29</f>
        <v/>
      </c>
    </row>
    <row r="7" ht="15" customHeight="1" s="15">
      <c r="B7" s="20" t="inlineStr">
        <is>
          <t>Position dans EMPLOYES (technique)</t>
        </is>
      </c>
      <c r="C7" s="47">
        <f>IFERROR(MATCH($C$5,emp_matricule,0),"")</f>
        <v/>
      </c>
    </row>
    <row r="9" ht="21.75" customHeight="1" s="15">
      <c r="B9" s="8" t="inlineStr">
        <is>
          <t xml:space="preserve">  B.  IDENTITÉ DE L'AGENT (lié, EMPLOYES)</t>
        </is>
      </c>
    </row>
    <row r="10" ht="15" customHeight="1" s="15">
      <c r="B10" s="16" t="inlineStr">
        <is>
          <t>Nom complet</t>
        </is>
      </c>
      <c r="C10" s="19">
        <f>IF($C$7="","",INDEX(EMPLOYES!$D$15:$D$74,$C$7))</f>
        <v/>
      </c>
    </row>
    <row r="11" ht="15" customHeight="1" s="15">
      <c r="B11" s="16" t="inlineStr">
        <is>
          <t>Poste / Fonction</t>
        </is>
      </c>
      <c r="C11" s="19">
        <f>IF($C$7="","",INDEX(EMPLOYES!$J$15:$J$74,$C$7))</f>
        <v/>
      </c>
    </row>
    <row r="12" ht="15" customHeight="1" s="15">
      <c r="B12" s="16" t="inlineStr">
        <is>
          <t>Département / Section</t>
        </is>
      </c>
      <c r="C12" s="19">
        <f>IF($C$7="","",INDEX(EMPLOYES!$K$15:$K$74,$C$7))</f>
        <v/>
      </c>
    </row>
    <row r="13" ht="15" customHeight="1" s="15">
      <c r="B13" s="16" t="inlineStr">
        <is>
          <t>Type de contrat</t>
        </is>
      </c>
      <c r="C13" s="19">
        <f>IF($C$7="","",INDEX(EMPLOYES!$L$15:$L$74,$C$7))</f>
        <v/>
      </c>
    </row>
    <row r="14" ht="15" customHeight="1" s="15">
      <c r="B14" s="16" t="inlineStr">
        <is>
          <t>Régime horaire</t>
        </is>
      </c>
      <c r="C14" s="19">
        <f>IF($C$7="","",INDEX(EMPLOYES!$M$15:$M$74,$C$7))</f>
        <v/>
      </c>
    </row>
    <row r="15" ht="15" customHeight="1" s="15">
      <c r="B15" s="16" t="inlineStr">
        <is>
          <t>Situation familiale</t>
        </is>
      </c>
      <c r="C15" s="19">
        <f>IF($C$7="","",INDEX(EMPLOYES!$N$15:$N$74,$C$7))</f>
        <v/>
      </c>
    </row>
    <row r="16" ht="15" customHeight="1" s="15">
      <c r="B16" s="16" t="inlineStr">
        <is>
          <t>Enfants à charge</t>
        </is>
      </c>
      <c r="C16" s="19">
        <f>IF($C$7="","",INDEX(EMPLOYES!$O$15:$O$74,$C$7))</f>
        <v/>
      </c>
    </row>
    <row r="17" ht="15" customHeight="1" s="15">
      <c r="B17" s="16" t="inlineStr">
        <is>
          <t>Salaire de base mensuel</t>
        </is>
      </c>
      <c r="C17" s="23">
        <f>IF($C$7="","",INDEX(EMPLOYES!$Y$15:$Y$74,$C$7))</f>
        <v/>
      </c>
    </row>
    <row r="18" ht="15" customHeight="1" s="15">
      <c r="B18" s="16" t="inlineStr">
        <is>
          <t>Statut</t>
        </is>
      </c>
      <c r="C18" s="19">
        <f>IF($C$7="","",INDEX(EMPLOYES!$T$15:$T$74,$C$7))</f>
        <v/>
      </c>
    </row>
    <row r="20" ht="21.75" customHeight="1" s="15">
      <c r="B20" s="8" t="inlineStr">
        <is>
          <t xml:space="preserve">  C.  ÉLÉMENTS DU MOIS (lié, VARIABLES)</t>
        </is>
      </c>
    </row>
    <row r="21" ht="15" customHeight="1" s="15">
      <c r="B21" s="16" t="inlineStr">
        <is>
          <t>Heures supplémentaires</t>
        </is>
      </c>
      <c r="C21" s="48">
        <f>IFERROR(SUMPRODUCT((INDIRECT("VARIABLES!C"&amp;INDEX($C$201:$C$212,MATCH(PARAMETRES!$C$224,$B$201:$B$212,0))&amp;":C"&amp;INDEX($D$201:$D$212,MATCH(PARAMETRES!$C$224,$B$201:$B$212,0)))=$C$5)*(INDIRECT("VARIABLES!E"&amp;INDEX($C$201:$C$212,MATCH(PARAMETRES!$C$224,$B$201:$B$212,0))&amp;":E"&amp;INDEX($D$201:$D$212,MATCH(PARAMETRES!$C$224,$B$201:$B$212,0))))),0)</f>
        <v/>
      </c>
    </row>
    <row r="22" ht="15" customHeight="1" s="15">
      <c r="B22" s="16" t="inlineStr">
        <is>
          <t>Primes exceptionnelles</t>
        </is>
      </c>
      <c r="C22" s="23">
        <f>IFERROR(SUMPRODUCT((INDIRECT("VARIABLES!C"&amp;INDEX($C$201:$C$212,MATCH(PARAMETRES!$C$224,$B$201:$B$212,0))&amp;":C"&amp;INDEX($D$201:$D$212,MATCH(PARAMETRES!$C$224,$B$201:$B$212,0)))=$C$5)*(INDIRECT("VARIABLES!F"&amp;INDEX($C$201:$C$212,MATCH(PARAMETRES!$C$224,$B$201:$B$212,0))&amp;":F"&amp;INDEX($D$201:$D$212,MATCH(PARAMETRES!$C$224,$B$201:$B$212,0))))),0)</f>
        <v/>
      </c>
    </row>
    <row r="23" ht="15" customHeight="1" s="15">
      <c r="B23" s="16" t="inlineStr">
        <is>
          <t>Jours d'absence non payée</t>
        </is>
      </c>
      <c r="C23" s="49">
        <f>IFERROR(SUMPRODUCT((INDIRECT("VARIABLES!C"&amp;INDEX($C$201:$C$212,MATCH(PARAMETRES!$C$224,$B$201:$B$212,0))&amp;":C"&amp;INDEX($D$201:$D$212,MATCH(PARAMETRES!$C$224,$B$201:$B$212,0)))=$C$5)*(INDIRECT("VARIABLES!G"&amp;INDEX($C$201:$C$212,MATCH(PARAMETRES!$C$224,$B$201:$B$212,0))&amp;":G"&amp;INDEX($D$201:$D$212,MATCH(PARAMETRES!$C$224,$B$201:$B$212,0))))),0)</f>
        <v/>
      </c>
    </row>
    <row r="24" ht="15" customHeight="1" s="15">
      <c r="B24" s="16" t="inlineStr">
        <is>
          <t>Avance sur salaire</t>
        </is>
      </c>
      <c r="C24" s="23">
        <f>IFERROR(SUMPRODUCT((INDIRECT("VARIABLES!C"&amp;INDEX($C$201:$C$212,MATCH(PARAMETRES!$C$224,$B$201:$B$212,0))&amp;":C"&amp;INDEX($D$201:$D$212,MATCH(PARAMETRES!$C$224,$B$201:$B$212,0)))=$C$5)*(INDIRECT("VARIABLES!H"&amp;INDEX($C$201:$C$212,MATCH(PARAMETRES!$C$224,$B$201:$B$212,0))&amp;":H"&amp;INDEX($D$201:$D$212,MATCH(PARAMETRES!$C$224,$B$201:$B$212,0))))),0)</f>
        <v/>
      </c>
    </row>
    <row r="25" ht="15" customHeight="1" s="15">
      <c r="B25" s="16" t="inlineStr">
        <is>
          <t>Retenues diverses</t>
        </is>
      </c>
      <c r="C25" s="23">
        <f>IFERROR(SUMPRODUCT((INDIRECT("VARIABLES!C"&amp;INDEX($C$201:$C$212,MATCH(PARAMETRES!$C$224,$B$201:$B$212,0))&amp;":C"&amp;INDEX($D$201:$D$212,MATCH(PARAMETRES!$C$224,$B$201:$B$212,0)))=$C$5)*(INDIRECT("VARIABLES!J"&amp;INDEX($C$201:$C$212,MATCH(PARAMETRES!$C$224,$B$201:$B$212,0))&amp;":J"&amp;INDEX($D$201:$D$212,MATCH(PARAMETRES!$C$224,$B$201:$B$212,0))))),0)</f>
        <v/>
      </c>
    </row>
    <row r="27" ht="21.75" customHeight="1" s="15">
      <c r="B27" s="8" t="inlineStr">
        <is>
          <t xml:space="preserve">  D.  CALCUL DU BULLETIN</t>
        </is>
      </c>
    </row>
    <row r="28" ht="15" customHeight="1" s="15">
      <c r="B28" s="16" t="inlineStr">
        <is>
          <t>Jours ouvrables du mois (selon régime)</t>
        </is>
      </c>
      <c r="C28" s="19">
        <f>IF($C$14="5j",jours_ouvrables_5j_mois_courant,jours_ouvrables_6j_mois_courant)</f>
        <v/>
      </c>
      <c r="D28" s="20" t="inlineStr">
        <is>
          <t>jours</t>
        </is>
      </c>
    </row>
    <row r="29" ht="15" customHeight="1" s="15">
      <c r="B29" s="16" t="inlineStr">
        <is>
          <t>Taux journalier</t>
        </is>
      </c>
      <c r="C29" s="50">
        <f>IF($C$28=0,0,$C$17/$C$28)</f>
        <v/>
      </c>
      <c r="D29" s="20" t="inlineStr">
        <is>
          <t>CDF/jour</t>
        </is>
      </c>
    </row>
    <row r="30" ht="15" customHeight="1" s="15">
      <c r="B30" s="16" t="inlineStr">
        <is>
          <t>Jours réellement rémunérés</t>
        </is>
      </c>
      <c r="C30" s="19">
        <f>MAX(0,$C$28-$C$23)</f>
        <v/>
      </c>
      <c r="D30" s="20" t="inlineStr">
        <is>
          <t>jours</t>
        </is>
      </c>
    </row>
    <row r="31" ht="15" customHeight="1" s="15">
      <c r="B31" s="16" t="inlineStr">
        <is>
          <t>Salaire proratisé (jours réels)</t>
        </is>
      </c>
      <c r="C31" s="23">
        <f>$C$29*$C$30</f>
        <v/>
      </c>
      <c r="D31" s="20" t="inlineStr">
        <is>
          <t>CDF</t>
        </is>
      </c>
    </row>
    <row r="32" ht="15" customHeight="1" s="15">
      <c r="B32" s="16" t="inlineStr">
        <is>
          <t>Taux horaire</t>
        </is>
      </c>
      <c r="C32" s="50">
        <f>IF(heures_par_jour=0,0,$C$29/heures_par_jour)</f>
        <v/>
      </c>
      <c r="D32" s="20" t="inlineStr">
        <is>
          <t>CDF/heure</t>
        </is>
      </c>
    </row>
    <row r="33" ht="15" customHeight="1" s="15">
      <c r="B33" s="16" t="inlineStr">
        <is>
          <t>Montant heures supplémentaires</t>
        </is>
      </c>
      <c r="C33" s="23">
        <f>$C$32*(MIN($C$21,6)*taux_majoration_hs+MAX($C$21-6,0)*taux_majoration_hs_tier2)</f>
        <v/>
      </c>
      <c r="D33" s="20" t="inlineStr">
        <is>
          <t>CDF</t>
        </is>
      </c>
    </row>
    <row r="34" ht="15" customHeight="1" s="15">
      <c r="B34" s="16" t="inlineStr">
        <is>
          <t>Allocation familiale</t>
        </is>
      </c>
      <c r="C34" s="23">
        <f>allocation_familiale_enfant*$C$16</f>
        <v/>
      </c>
      <c r="D34" s="20" t="inlineStr">
        <is>
          <t>CDF</t>
        </is>
      </c>
    </row>
    <row r="35" ht="15" customHeight="1" s="15">
      <c r="B35" s="16" t="inlineStr">
        <is>
          <t>Contre-valeur logement</t>
        </is>
      </c>
      <c r="C35" s="23">
        <f>contrevaleur_logement</f>
        <v/>
      </c>
      <c r="D35" s="20" t="inlineStr">
        <is>
          <t>CDF</t>
        </is>
      </c>
    </row>
    <row r="36" ht="15" customHeight="1" s="15">
      <c r="B36" s="51" t="inlineStr">
        <is>
          <t>BRUT</t>
        </is>
      </c>
      <c r="C36" s="52">
        <f>$C$31+$C$33+$C$22+$C$34+$C$35+C216+C218</f>
        <v/>
      </c>
      <c r="D36" s="20" t="inlineStr">
        <is>
          <t>CDF</t>
        </is>
      </c>
    </row>
    <row r="38" ht="15" customHeight="1" s="15">
      <c r="B38" s="16" t="inlineStr">
        <is>
          <t>CNSS salariale (5%)</t>
        </is>
      </c>
      <c r="C38" s="23">
        <f>$C$36*t_cnss_pension_salarie</f>
        <v/>
      </c>
      <c r="D38" s="20" t="inlineStr">
        <is>
          <t>CDF</t>
        </is>
      </c>
    </row>
    <row r="39" ht="15" customHeight="1" s="15">
      <c r="B39" s="16" t="inlineStr">
        <is>
          <t>Base imposable IPR</t>
        </is>
      </c>
      <c r="C39" s="23">
        <f>IF(opt_cnss_deductible_ipr="Oui",$C$36-$C$38,$C$36)</f>
        <v/>
      </c>
      <c r="D39" s="20" t="inlineStr">
        <is>
          <t>CDF</t>
        </is>
      </c>
    </row>
    <row r="40" ht="15" customHeight="1" s="15">
      <c r="B40" s="16" t="inlineStr">
        <is>
          <t>IPR brut (barème progressif)</t>
        </is>
      </c>
      <c r="C40" s="23">
        <f>IF($C$39&lt;=ipr_t1_sup_mensuel,$C$39*ipr_taux1,IF($C$39&lt;=ipr_t2_sup_mensuel,ipr_t1_sup_mensuel*ipr_taux1+($C$39-ipr_t1_sup_mensuel)*ipr_taux2,IF($C$39&lt;=ipr_t3_sup_mensuel,ipr_t1_sup_mensuel*ipr_taux1+(ipr_t2_sup_mensuel-ipr_t1_sup_mensuel)*ipr_taux2+($C$39-ipr_t2_sup_mensuel)*ipr_taux3,ipr_t1_sup_mensuel*ipr_taux1+(ipr_t2_sup_mensuel-ipr_t1_sup_mensuel)*ipr_taux2+(ipr_t3_sup_mensuel-ipr_t2_sup_mensuel)*ipr_taux3+($C$39-ipr_t3_sup_mensuel)*ipr_taux4)))</f>
        <v/>
      </c>
      <c r="D40" s="20" t="inlineStr">
        <is>
          <t>CDF</t>
        </is>
      </c>
    </row>
    <row r="41" ht="15" customHeight="1" s="15">
      <c r="B41" s="16" t="inlineStr">
        <is>
          <t>Réduction pour charge de famille</t>
        </is>
      </c>
      <c r="C41" s="23">
        <f>MIN($C$16,9)*ipr_reduction_famille*$C$40</f>
        <v/>
      </c>
      <c r="D41" s="20" t="inlineStr">
        <is>
          <t>CDF</t>
        </is>
      </c>
    </row>
    <row r="42" ht="15" customHeight="1" s="15">
      <c r="B42" s="51" t="inlineStr">
        <is>
          <t>IPR retenu (après plancher/plafond)</t>
        </is>
      </c>
      <c r="C42" s="53">
        <f>MAX(ipr_plancher,MIN($C$40-$C$41,$C$39*ipr_plafond_pct))</f>
        <v/>
      </c>
      <c r="D42" s="20" t="inlineStr">
        <is>
          <t>CDF</t>
        </is>
      </c>
    </row>
    <row r="44" ht="15" customHeight="1" s="15">
      <c r="B44" s="51" t="inlineStr">
        <is>
          <t>NET AVANT RETENUES</t>
        </is>
      </c>
      <c r="C44" s="53">
        <f>$C$36-$C$38-$C$42</f>
        <v/>
      </c>
      <c r="D44" s="20" t="inlineStr">
        <is>
          <t>CDF</t>
        </is>
      </c>
    </row>
    <row r="45" ht="15" customHeight="1" s="15">
      <c r="B45" s="51" t="inlineStr">
        <is>
          <t>NET À PAYER</t>
        </is>
      </c>
      <c r="C45" s="52">
        <f>$C$44-$C$24-$C$25</f>
        <v/>
      </c>
      <c r="D45" s="20" t="inlineStr">
        <is>
          <t>CDF</t>
        </is>
      </c>
    </row>
    <row r="46" ht="15" customHeight="1" s="15">
      <c r="B46" s="16" t="inlineStr">
        <is>
          <t>Contrôle automatique (avance)</t>
        </is>
      </c>
      <c r="C46" s="19">
        <f>IF($C$24=0,"OK",IF($C$24&gt;$C$17,"⚠ Avance &gt; salaire",IF($C$24&gt;$C$17*seuil_alerte_avance,"⚠ Avance élevée","OK")))</f>
        <v/>
      </c>
    </row>
    <row r="48" ht="21.75" customHeight="1" s="15">
      <c r="B48" s="8" t="inlineStr">
        <is>
          <t xml:space="preserve">  E.  CONTRÔLE D'INTÉGRITÉ</t>
        </is>
      </c>
    </row>
    <row r="49" ht="26.25" customHeight="1" s="15">
      <c r="B49" s="51" t="inlineStr">
        <is>
          <t>Vérification Brut = Retenues + Net</t>
        </is>
      </c>
      <c r="C49" s="54">
        <f>IF(ROUND($C$36-($C$38+$C$42+$C$45+$C$24+$C$25),2)=0,"✓ Brut = Retenues + Net","✗ ANOMALIE : écart détecté")</f>
        <v/>
      </c>
    </row>
    <row r="51" ht="21.75" customHeight="1" s="15">
      <c r="B51" s="8" t="inlineStr">
        <is>
          <t xml:space="preserve">  F.  COÛ T TOTAL EMPLOYEUR (informatif)</t>
        </is>
      </c>
    </row>
    <row r="52" ht="15" customHeight="1" s="15">
      <c r="B52" s="16" t="inlineStr">
        <is>
          <t>CNSS patronale</t>
        </is>
      </c>
      <c r="C52" s="23">
        <f>$C$36*t_cnss_total_employeur</f>
        <v/>
      </c>
      <c r="D52" s="20" t="inlineStr">
        <is>
          <t>CDF</t>
        </is>
      </c>
    </row>
    <row r="53" ht="15" customHeight="1" s="15">
      <c r="B53" s="16" t="inlineStr">
        <is>
          <t>INPP</t>
        </is>
      </c>
      <c r="C53" s="23">
        <f>$C$36*t_inpp_applicable</f>
        <v/>
      </c>
      <c r="D53" s="20" t="inlineStr">
        <is>
          <t>CDF</t>
        </is>
      </c>
    </row>
    <row r="54" ht="15" customHeight="1" s="15">
      <c r="B54" s="16" t="inlineStr">
        <is>
          <t>ONEM</t>
        </is>
      </c>
      <c r="C54" s="23">
        <f>$C$36*t_onem</f>
        <v/>
      </c>
      <c r="D54" s="20" t="inlineStr">
        <is>
          <t>CDF</t>
        </is>
      </c>
    </row>
    <row r="55" ht="15" customHeight="1" s="15">
      <c r="B55" s="51" t="inlineStr">
        <is>
          <t>COÛ T TOTAL EMPLOYEUR</t>
        </is>
      </c>
      <c r="C55" s="52">
        <f>$C$36+$C$52+$C$53+$C$54</f>
        <v/>
      </c>
      <c r="D55" s="20" t="inlineStr">
        <is>
          <t>CDF</t>
        </is>
      </c>
    </row>
    <row r="57" ht="27.75" customHeight="1" s="15">
      <c r="B57" s="6" t="inlineStr">
        <is>
          <t>ℹ  Sélectionnez un matricule en section A : tout le bulletin se recalcule. L'année et le mois sont pilotés depuis PARAMÈTRES (section 3) et s'appliquent à tous les agents en même temps.</t>
        </is>
      </c>
    </row>
    <row r="200" ht="15" customHeight="1" s="15">
      <c r="B200" s="55" t="inlineStr">
        <is>
          <t>Mois</t>
        </is>
      </c>
      <c r="C200" s="55" t="inlineStr">
        <is>
          <t>Ligne début</t>
        </is>
      </c>
      <c r="D200" s="55" t="inlineStr">
        <is>
          <t>Ligne fin</t>
        </is>
      </c>
    </row>
    <row r="201" ht="15" customHeight="1" s="15">
      <c r="B201" s="55" t="n">
        <v>1</v>
      </c>
      <c r="C201" s="55" t="n">
        <v>12</v>
      </c>
      <c r="D201" s="55" t="n">
        <v>71</v>
      </c>
    </row>
    <row r="202" ht="15" customHeight="1" s="15">
      <c r="B202" s="55" t="n">
        <v>2</v>
      </c>
      <c r="C202" s="55" t="n">
        <v>265</v>
      </c>
      <c r="D202" s="55" t="n">
        <v>324</v>
      </c>
    </row>
    <row r="203" ht="15" customHeight="1" s="15">
      <c r="B203" s="55" t="n">
        <v>3</v>
      </c>
      <c r="C203" s="55" t="n">
        <v>518</v>
      </c>
      <c r="D203" s="55" t="n">
        <v>577</v>
      </c>
    </row>
    <row r="204" ht="15" customHeight="1" s="15">
      <c r="B204" s="55" t="n">
        <v>4</v>
      </c>
      <c r="C204" s="55" t="n">
        <v>771</v>
      </c>
      <c r="D204" s="55" t="n">
        <v>830</v>
      </c>
    </row>
    <row r="205" ht="15" customHeight="1" s="15">
      <c r="B205" s="55" t="n">
        <v>5</v>
      </c>
      <c r="C205" s="55" t="n">
        <v>1024</v>
      </c>
      <c r="D205" s="55" t="n">
        <v>1083</v>
      </c>
    </row>
    <row r="206" ht="15" customHeight="1" s="15">
      <c r="B206" s="55" t="n">
        <v>6</v>
      </c>
      <c r="C206" s="55" t="n">
        <v>1277</v>
      </c>
      <c r="D206" s="55" t="n">
        <v>1336</v>
      </c>
    </row>
    <row r="207" ht="15" customHeight="1" s="15">
      <c r="B207" s="55" t="n">
        <v>7</v>
      </c>
      <c r="C207" s="55" t="n">
        <v>1530</v>
      </c>
      <c r="D207" s="55" t="n">
        <v>1589</v>
      </c>
    </row>
    <row r="208" ht="15" customHeight="1" s="15">
      <c r="B208" s="55" t="n">
        <v>8</v>
      </c>
      <c r="C208" s="55" t="n">
        <v>1783</v>
      </c>
      <c r="D208" s="55" t="n">
        <v>1842</v>
      </c>
    </row>
    <row r="209" ht="15" customHeight="1" s="15">
      <c r="B209" s="55" t="n">
        <v>9</v>
      </c>
      <c r="C209" s="55" t="n">
        <v>2036</v>
      </c>
      <c r="D209" s="55" t="n">
        <v>2095</v>
      </c>
    </row>
    <row r="210" ht="15" customHeight="1" s="15">
      <c r="B210" s="55" t="n">
        <v>10</v>
      </c>
      <c r="C210" s="55" t="n">
        <v>2289</v>
      </c>
      <c r="D210" s="55" t="n">
        <v>2348</v>
      </c>
    </row>
    <row r="211" ht="15" customHeight="1" s="15">
      <c r="B211" s="55" t="n">
        <v>11</v>
      </c>
      <c r="C211" s="55" t="n">
        <v>2542</v>
      </c>
      <c r="D211" s="55" t="n">
        <v>2601</v>
      </c>
    </row>
    <row r="212" ht="15" customHeight="1" s="15">
      <c r="B212" s="55" t="n">
        <v>12</v>
      </c>
      <c r="C212" s="55" t="n">
        <v>2795</v>
      </c>
      <c r="D212" s="55" t="n">
        <v>2854</v>
      </c>
    </row>
    <row r="215" ht="15" customHeight="1" s="15">
      <c r="B215" s="16" t="inlineStr">
        <is>
          <t>Heures de nuit</t>
        </is>
      </c>
      <c r="C215" s="48">
        <f>IFERROR(SUMPRODUCT((INDIRECT("VARIABLES!C"&amp;INDEX($C$201:$C$212,MATCH(mois_courant_numero,$B$201:$B$212,0))&amp;":C"&amp;INDEX($D$201:$D$212,MATCH(mois_courant_numero,$B$201:$B$212,0)))=$C$5)*(INDIRECT("VARIABLES!AY"&amp;INDEX($C$201:$C$212,MATCH(mois_courant_numero,$B$201:$B$212,0))&amp;":AY"&amp;INDEX($D$201:$D$212,MATCH(mois_courant_numero,$B$201:$B$212,0))))),0)</f>
        <v/>
      </c>
    </row>
    <row r="216" ht="15" customHeight="1" s="15">
      <c r="B216" s="16" t="inlineStr">
        <is>
          <t>Montant heures de nuit</t>
        </is>
      </c>
      <c r="C216" s="23">
        <f>C215*$C$32*taux_majoration_nuit</f>
        <v/>
      </c>
      <c r="D216" s="20" t="inlineStr">
        <is>
          <t>CDF</t>
        </is>
      </c>
    </row>
    <row r="217" ht="15" customHeight="1" s="15">
      <c r="B217" s="16" t="inlineStr">
        <is>
          <t>Jours de repos travaillés</t>
        </is>
      </c>
      <c r="C217" s="48">
        <f>IFERROR(SUMPRODUCT((INDIRECT("VARIABLES!C"&amp;INDEX($C$201:$C$212,MATCH(mois_courant_numero,$B$201:$B$212,0))&amp;":C"&amp;INDEX($D$201:$D$212,MATCH(mois_courant_numero,$B$201:$B$212,0)))=$C$5)*(INDIRECT("VARIABLES!AX"&amp;INDEX($C$201:$C$212,MATCH(mois_courant_numero,$B$201:$B$212,0))&amp;":AX"&amp;INDEX($D$201:$D$212,MATCH(mois_courant_numero,$B$201:$B$212,0))))),0)</f>
        <v/>
      </c>
    </row>
    <row r="218" ht="15" customHeight="1" s="15">
      <c r="B218" s="16" t="inlineStr">
        <is>
          <t>Montant jour de repos travaillé</t>
        </is>
      </c>
      <c r="C218" s="23">
        <f>C217*$C$29*(1+taux_majoration_repos)</f>
        <v/>
      </c>
      <c r="D218" s="20" t="inlineStr">
        <is>
          <t>CDF</t>
        </is>
      </c>
    </row>
  </sheetData>
  <mergeCells count="9">
    <mergeCell ref="B4:F4"/>
    <mergeCell ref="A2:F2"/>
    <mergeCell ref="B57:F57"/>
    <mergeCell ref="B48:F48"/>
    <mergeCell ref="B20:F20"/>
    <mergeCell ref="A1:F1"/>
    <mergeCell ref="B51:F51"/>
    <mergeCell ref="B9:F9"/>
    <mergeCell ref="B27:F27"/>
  </mergeCells>
  <dataValidations count="1">
    <dataValidation sqref="C5" showDropDown="0" showInputMessage="0" showErrorMessage="0" allowBlank="1" type="list">
      <formula1>emp_matricule</formula1>
      <formula2>0</formula2>
    </dataValidation>
  </dataValidations>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1:AJ71"/>
  <sheetViews>
    <sheetView showGridLines="0" zoomScaleNormal="100" workbookViewId="0">
      <pane xSplit="3" ySplit="6" topLeftCell="G7" activePane="bottomRight" state="frozen"/>
      <selection pane="topRight" activeCell="D1" sqref="D1"/>
      <selection pane="bottomLeft" activeCell="A7" sqref="A7"/>
      <selection pane="bottomRight" activeCell="X11" sqref="X11"/>
    </sheetView>
  </sheetViews>
  <sheetFormatPr baseColWidth="10" defaultColWidth="8.6640625" defaultRowHeight="14.4"/>
  <cols>
    <col width="4" customWidth="1" style="15" min="1" max="1"/>
    <col width="5" customWidth="1" style="15" min="2" max="2"/>
    <col width="12" customWidth="1" style="15" min="3" max="3"/>
    <col width="18" customWidth="1" style="15" min="4" max="4"/>
    <col width="7" customWidth="1" style="15" min="5" max="5"/>
    <col width="12" customWidth="1" style="15" min="6" max="6"/>
    <col width="9" customWidth="1" style="15" min="7" max="7"/>
    <col width="11" customWidth="1" style="15" min="8" max="28"/>
    <col width="10" customWidth="1" style="15" min="33" max="36"/>
  </cols>
  <sheetData>
    <row r="1" ht="30" customHeight="1" s="15">
      <c r="A1" s="14" t="inlineStr">
        <is>
          <t>JOURNAL DE PAIE — CONSOLIDATION MENSUELLE</t>
        </is>
      </c>
    </row>
    <row r="2" ht="18" customHeight="1" s="15">
      <c r="A2" s="13" t="inlineStr">
        <is>
          <t>Morning SARL  —  Maquette de validation  —  Tous les agents, mois piloté par PARAMÈTRES</t>
        </is>
      </c>
    </row>
    <row r="4" ht="19.5" customHeight="1" s="15">
      <c r="B4" s="4">
        <f>"  Période : "&amp;PARAMETRES!$C$30&amp;" "&amp;PARAMETRES!$C$29</f>
        <v/>
      </c>
    </row>
    <row r="6" ht="30" customHeight="1" s="15">
      <c r="B6" s="40" t="inlineStr">
        <is>
          <t>N°</t>
        </is>
      </c>
      <c r="C6" s="40" t="inlineStr">
        <is>
          <t>Matricule</t>
        </is>
      </c>
      <c r="D6" s="40" t="inlineStr">
        <is>
          <t>Nom</t>
        </is>
      </c>
      <c r="E6" s="40" t="inlineStr">
        <is>
          <t>Régime</t>
        </is>
      </c>
      <c r="F6" s="40" t="inlineStr">
        <is>
          <t>Salaire
base</t>
        </is>
      </c>
      <c r="G6" s="40" t="inlineStr">
        <is>
          <t>Lg VAR
(tech)</t>
        </is>
      </c>
      <c r="H6" s="40" t="inlineStr">
        <is>
          <t>Jours
ouvr.</t>
        </is>
      </c>
      <c r="I6" s="40" t="inlineStr">
        <is>
          <t>Jours
abs.</t>
        </is>
      </c>
      <c r="J6" s="40" t="inlineStr">
        <is>
          <t>Jours
réels</t>
        </is>
      </c>
      <c r="K6" s="40" t="inlineStr">
        <is>
          <t>Salaire
prorata</t>
        </is>
      </c>
      <c r="L6" s="40" t="inlineStr">
        <is>
          <t>H. sup
(nb)</t>
        </is>
      </c>
      <c r="M6" s="40" t="inlineStr">
        <is>
          <t>Montant
H. sup</t>
        </is>
      </c>
      <c r="N6" s="40" t="inlineStr">
        <is>
          <t>Primes</t>
        </is>
      </c>
      <c r="O6" s="40" t="inlineStr">
        <is>
          <t>Alloc.
familiale</t>
        </is>
      </c>
      <c r="P6" s="40" t="inlineStr">
        <is>
          <t>Logement</t>
        </is>
      </c>
      <c r="Q6" s="40" t="inlineStr">
        <is>
          <t>BRUT</t>
        </is>
      </c>
      <c r="R6" s="40" t="inlineStr">
        <is>
          <t>CNSS
salariale</t>
        </is>
      </c>
      <c r="S6" s="40" t="inlineStr">
        <is>
          <t>Base
imposable</t>
        </is>
      </c>
      <c r="T6" s="40" t="inlineStr">
        <is>
          <t>IPR
retenu</t>
        </is>
      </c>
      <c r="U6" s="40" t="inlineStr">
        <is>
          <t>NET avant
retenues</t>
        </is>
      </c>
      <c r="V6" s="40" t="inlineStr">
        <is>
          <t>Avance</t>
        </is>
      </c>
      <c r="W6" s="40" t="inlineStr">
        <is>
          <t>Retenues
diverses</t>
        </is>
      </c>
      <c r="X6" s="40" t="inlineStr">
        <is>
          <t>NET À
PAYER</t>
        </is>
      </c>
      <c r="Y6" s="40" t="inlineStr">
        <is>
          <t>CNSS
patronale</t>
        </is>
      </c>
      <c r="Z6" s="40" t="inlineStr">
        <is>
          <t>INPP</t>
        </is>
      </c>
      <c r="AA6" s="40" t="inlineStr">
        <is>
          <t>ONEM</t>
        </is>
      </c>
      <c r="AB6" s="40" t="inlineStr">
        <is>
          <t>Coût total
employeur</t>
        </is>
      </c>
      <c r="AG6" s="40" t="inlineStr">
        <is>
          <t>Heures
nuit</t>
        </is>
      </c>
      <c r="AH6" s="40" t="inlineStr">
        <is>
          <t>Montant
nuit</t>
        </is>
      </c>
      <c r="AI6" s="40" t="inlineStr">
        <is>
          <t>Jours
repos trav.</t>
        </is>
      </c>
      <c r="AJ6" s="40" t="inlineStr">
        <is>
          <t>Montant
repos</t>
        </is>
      </c>
    </row>
    <row r="7" ht="15" customHeight="1" s="15">
      <c r="B7" s="41" t="n">
        <v>1</v>
      </c>
      <c r="C7" s="41">
        <f>IF(EMPLOYES!C15="","",EMPLOYES!C15)</f>
        <v/>
      </c>
      <c r="D7" s="56">
        <f>IF(EMPLOYES!C15="","",EMPLOYES!D15)</f>
        <v/>
      </c>
      <c r="E7" s="41">
        <f>IF(EMPLOYES!C15="","",EMPLOYES!M15)</f>
        <v/>
      </c>
      <c r="F7" s="57">
        <f>IF(EMPLOYES!C15="","",EMPLOYES!Y15)</f>
        <v/>
      </c>
      <c r="G7" s="47">
        <f>INDEX(BULLETIN!$C$201:$C$212,MATCH(mois_courant_numero,BULLETIN!$B$201:$B$212,0))+0</f>
        <v/>
      </c>
      <c r="H7" s="41">
        <f>IF($C7="","",IF($E7="5j",jours_ouvrables_5j_mois_courant,jours_ouvrables_6j_mois_courant))</f>
        <v/>
      </c>
      <c r="I7" s="58">
        <f>IF($C7="","",IFERROR(INDEX(VARIABLES!$G:$G,$G7),0))</f>
        <v/>
      </c>
      <c r="J7" s="41">
        <f>IF($C7="","",MAX(0,$H7-$I7))</f>
        <v/>
      </c>
      <c r="K7" s="57">
        <f>IF($C7="","",IF($H7=0,0,($F7/$H7)*$J7))</f>
        <v/>
      </c>
      <c r="L7" s="59">
        <f>IF($C7="","",IFERROR(INDEX(VARIABLES!$E:$E,$G7),0))</f>
        <v/>
      </c>
      <c r="M7" s="57">
        <f>IF($C7="","",IF($H7=0,0,($F7/$H7/heures_par_jour)*(MIN($L7,6)*taux_majoration_hs+MAX($L7-6,0)*taux_majoration_hs_tier2)))</f>
        <v/>
      </c>
      <c r="N7" s="57">
        <f>IF($C7="","",IFERROR(INDEX(VARIABLES!$F:$F,$G7),0))</f>
        <v/>
      </c>
      <c r="O7" s="57">
        <f>IF($C7="","",allocation_familiale_enfant*EMPLOYES!O15)</f>
        <v/>
      </c>
      <c r="P7" s="57">
        <f>IF($C7="","",contrevaleur_logement)</f>
        <v/>
      </c>
      <c r="Q7" s="57">
        <f>IF($C7="","",$K7+$M7+$N7+$O7+$P7+$AH7+$AJ7)</f>
        <v/>
      </c>
      <c r="R7" s="57">
        <f>IF($C7="","",$Q7*t_cnss_pension_salarie)</f>
        <v/>
      </c>
      <c r="S7" s="57">
        <f>IF($C7="","",IF(opt_cnss_deductible_ipr="Oui",$Q7-$R7,$Q7))</f>
        <v/>
      </c>
      <c r="T7" s="57">
        <f>IF($C7="","",MAX(ipr_plancher,MIN((IF($S7&lt;=ipr_t1_sup_mensuel,$S7*ipr_taux1,IF($S7&lt;=ipr_t2_sup_mensuel,ipr_t1_sup_mensuel*ipr_taux1+($S7-ipr_t1_sup_mensuel)*ipr_taux2,IF($S7&lt;=ipr_t3_sup_mensuel,ipr_t1_sup_mensuel*ipr_taux1+(ipr_t2_sup_mensuel-ipr_t1_sup_mensuel)*ipr_taux2+($S7-ipr_t2_sup_mensuel)*ipr_taux3,ipr_t1_sup_mensuel*ipr_taux1+(ipr_t2_sup_mensuel-ipr_t1_sup_mensuel)*ipr_taux2+(ipr_t3_sup_mensuel-ipr_t2_sup_mensuel)*ipr_taux3+($S7-ipr_t3_sup_mensuel)*ipr_taux4))))-MIN(EMPLOYES!O15,9)*ipr_reduction_famille*(IF($S7&lt;=ipr_t1_sup_mensuel,$S7*ipr_taux1,IF($S7&lt;=ipr_t2_sup_mensuel,ipr_t1_sup_mensuel*ipr_taux1+($S7-ipr_t1_sup_mensuel)*ipr_taux2,IF($S7&lt;=ipr_t3_sup_mensuel,ipr_t1_sup_mensuel*ipr_taux1+(ipr_t2_sup_mensuel-ipr_t1_sup_mensuel)*ipr_taux2+($S7-ipr_t2_sup_mensuel)*ipr_taux3,ipr_t1_sup_mensuel*ipr_taux1+(ipr_t2_sup_mensuel-ipr_t1_sup_mensuel)*ipr_taux2+(ipr_t3_sup_mensuel-ipr_t2_sup_mensuel)*ipr_taux3+($S7-ipr_t3_sup_mensuel)*ipr_taux4)))),$S7*ipr_plafond_pct)))</f>
        <v/>
      </c>
      <c r="U7" s="57">
        <f>IF($C7="","",$Q7-$R7-$T7)</f>
        <v/>
      </c>
      <c r="V7" s="57">
        <f>IF($C7="","",IFERROR(INDEX(VARIABLES!$H:$H,$G7),0))</f>
        <v/>
      </c>
      <c r="W7" s="57">
        <f>IF($C7="","",IFERROR(INDEX(VARIABLES!$J:$J,$G7),0))</f>
        <v/>
      </c>
      <c r="X7" s="57">
        <f>IF($C7="","",$U7-$V7-$W7)</f>
        <v/>
      </c>
      <c r="Y7" s="57">
        <f>IF($C7="","",$Q7*t_cnss_total_employeur)</f>
        <v/>
      </c>
      <c r="Z7" s="57">
        <f>IF($C7="","",$Q7*t_inpp_applicable)</f>
        <v/>
      </c>
      <c r="AA7" s="57">
        <f>IF($C7="","",$Q7*t_onem)</f>
        <v/>
      </c>
      <c r="AB7" s="57">
        <f>IF($C7="","",$Q7+$Y7+$Z7+$AA7)</f>
        <v/>
      </c>
      <c r="AC7" s="55">
        <f>IF(AND($C7&lt;&gt;"",$I7&gt;0),1,0)</f>
        <v/>
      </c>
      <c r="AD7" s="55">
        <f>SUM(AC$7:AC7)</f>
        <v/>
      </c>
      <c r="AE7" s="55">
        <f>IF(AND($C7&lt;&gt;"",$V7&gt;0),1,0)</f>
        <v/>
      </c>
      <c r="AF7" s="55">
        <f>SUM(AE$7:AE7)</f>
        <v/>
      </c>
      <c r="AG7" s="59">
        <f>IF($C7="","",IFERROR(INDEX(VARIABLES!$AY:$AY,$G7),0))</f>
        <v/>
      </c>
      <c r="AH7" s="57">
        <f>IF($C7="","",IF($H7=0,0,$AG7*(($F7/$H7)/heures_par_jour)*taux_majoration_nuit))</f>
        <v/>
      </c>
      <c r="AI7" s="59">
        <f>IF($C7="","",IFERROR(INDEX(VARIABLES!$AX:$AX,$G7),0))</f>
        <v/>
      </c>
      <c r="AJ7" s="57">
        <f>IF($C7="","",IF($H7=0,0,$AI7*($F7/$H7)*(1+taux_majoration_repos)))</f>
        <v/>
      </c>
    </row>
    <row r="8" ht="15" customHeight="1" s="15">
      <c r="B8" s="41" t="n">
        <v>2</v>
      </c>
      <c r="C8" s="41">
        <f>IF(EMPLOYES!C16="","",EMPLOYES!C16)</f>
        <v/>
      </c>
      <c r="D8" s="56">
        <f>IF(EMPLOYES!C16="","",EMPLOYES!D16)</f>
        <v/>
      </c>
      <c r="E8" s="41">
        <f>IF(EMPLOYES!C16="","",EMPLOYES!M16)</f>
        <v/>
      </c>
      <c r="F8" s="57">
        <f>IF(EMPLOYES!C16="","",EMPLOYES!Y16)</f>
        <v/>
      </c>
      <c r="G8" s="47">
        <f>INDEX(BULLETIN!$C$201:$C$212,MATCH(mois_courant_numero,BULLETIN!$B$201:$B$212,0))+1</f>
        <v/>
      </c>
      <c r="H8" s="41">
        <f>IF($C8="","",IF($E8="5j",jours_ouvrables_5j_mois_courant,jours_ouvrables_6j_mois_courant))</f>
        <v/>
      </c>
      <c r="I8" s="41">
        <f>IF($C8="","",IFERROR(INDEX(VARIABLES!$G:$G,$G8),0))</f>
        <v/>
      </c>
      <c r="J8" s="41">
        <f>IF($C8="","",MAX(0,$H8-$I8))</f>
        <v/>
      </c>
      <c r="K8" s="57">
        <f>IF($C8="","",IF($H8=0,0,($F8/$H8)*$J8))</f>
        <v/>
      </c>
      <c r="L8" s="59">
        <f>IF($C8="","",IFERROR(INDEX(VARIABLES!$E:$E,$G8),0))</f>
        <v/>
      </c>
      <c r="M8" s="57">
        <f>IF($C8="","",IF($H8=0,0,($F8/$H8/heures_par_jour)*(MIN($L8,6)*taux_majoration_hs+MAX($L8-6,0)*taux_majoration_hs_tier2)))</f>
        <v/>
      </c>
      <c r="N8" s="57">
        <f>IF($C8="","",IFERROR(INDEX(VARIABLES!$F:$F,$G8),0))</f>
        <v/>
      </c>
      <c r="O8" s="57">
        <f>IF($C8="","",allocation_familiale_enfant*EMPLOYES!O16)</f>
        <v/>
      </c>
      <c r="P8" s="57">
        <f>IF($C8="","",contrevaleur_logement)</f>
        <v/>
      </c>
      <c r="Q8" s="57">
        <f>IF($C8="","",$K8+$M8+$N8+$O8+$P8+$AH8+$AJ8)</f>
        <v/>
      </c>
      <c r="R8" s="57">
        <f>IF($C8="","",$Q8*t_cnss_pension_salarie)</f>
        <v/>
      </c>
      <c r="S8" s="57">
        <f>IF($C8="","",IF(opt_cnss_deductible_ipr="Oui",$Q8-$R8,$Q8))</f>
        <v/>
      </c>
      <c r="T8" s="57">
        <f>IF($C8="","",MAX(ipr_plancher,MIN((IF($S8&lt;=ipr_t1_sup_mensuel,$S8*ipr_taux1,IF($S8&lt;=ipr_t2_sup_mensuel,ipr_t1_sup_mensuel*ipr_taux1+($S8-ipr_t1_sup_mensuel)*ipr_taux2,IF($S8&lt;=ipr_t3_sup_mensuel,ipr_t1_sup_mensuel*ipr_taux1+(ipr_t2_sup_mensuel-ipr_t1_sup_mensuel)*ipr_taux2+($S8-ipr_t2_sup_mensuel)*ipr_taux3,ipr_t1_sup_mensuel*ipr_taux1+(ipr_t2_sup_mensuel-ipr_t1_sup_mensuel)*ipr_taux2+(ipr_t3_sup_mensuel-ipr_t2_sup_mensuel)*ipr_taux3+($S8-ipr_t3_sup_mensuel)*ipr_taux4))))-MIN(EMPLOYES!O16,9)*ipr_reduction_famille*(IF($S8&lt;=ipr_t1_sup_mensuel,$S8*ipr_taux1,IF($S8&lt;=ipr_t2_sup_mensuel,ipr_t1_sup_mensuel*ipr_taux1+($S8-ipr_t1_sup_mensuel)*ipr_taux2,IF($S8&lt;=ipr_t3_sup_mensuel,ipr_t1_sup_mensuel*ipr_taux1+(ipr_t2_sup_mensuel-ipr_t1_sup_mensuel)*ipr_taux2+($S8-ipr_t2_sup_mensuel)*ipr_taux3,ipr_t1_sup_mensuel*ipr_taux1+(ipr_t2_sup_mensuel-ipr_t1_sup_mensuel)*ipr_taux2+(ipr_t3_sup_mensuel-ipr_t2_sup_mensuel)*ipr_taux3+($S8-ipr_t3_sup_mensuel)*ipr_taux4)))),$S8*ipr_plafond_pct)))</f>
        <v/>
      </c>
      <c r="U8" s="57">
        <f>IF($C8="","",$Q8-$R8-$T8)</f>
        <v/>
      </c>
      <c r="V8" s="57">
        <f>IF($C8="","",IFERROR(INDEX(VARIABLES!$H:$H,$G8),0))</f>
        <v/>
      </c>
      <c r="W8" s="57">
        <f>IF($C8="","",IFERROR(INDEX(VARIABLES!$J:$J,$G8),0))</f>
        <v/>
      </c>
      <c r="X8" s="57">
        <f>IF($C8="","",$U8-$V8-$W8)</f>
        <v/>
      </c>
      <c r="Y8" s="57">
        <f>IF($C8="","",$Q8*t_cnss_total_employeur)</f>
        <v/>
      </c>
      <c r="Z8" s="57">
        <f>IF($C8="","",$Q8*t_inpp_applicable)</f>
        <v/>
      </c>
      <c r="AA8" s="57">
        <f>IF($C8="","",$Q8*t_onem)</f>
        <v/>
      </c>
      <c r="AB8" s="57">
        <f>IF($C8="","",$Q8+$Y8+$Z8+$AA8)</f>
        <v/>
      </c>
      <c r="AC8" s="55">
        <f>IF(AND($C8&lt;&gt;"",$I8&gt;0),1,0)</f>
        <v/>
      </c>
      <c r="AD8" s="55">
        <f>SUM(AC$7:AC8)</f>
        <v/>
      </c>
      <c r="AE8" s="55">
        <f>IF(AND($C8&lt;&gt;"",$V8&gt;0),1,0)</f>
        <v/>
      </c>
      <c r="AF8" s="55">
        <f>SUM(AE$7:AE8)</f>
        <v/>
      </c>
      <c r="AG8" s="59">
        <f>IF($C8="","",IFERROR(INDEX(VARIABLES!$AY:$AY,$G8),0))</f>
        <v/>
      </c>
      <c r="AH8" s="57">
        <f>IF($C8="","",IF($H8=0,0,$AG8*(($F8/$H8)/heures_par_jour)*taux_majoration_nuit))</f>
        <v/>
      </c>
      <c r="AI8" s="59">
        <f>IF($C8="","",IFERROR(INDEX(VARIABLES!$AX:$AX,$G8),0))</f>
        <v/>
      </c>
      <c r="AJ8" s="57">
        <f>IF($C8="","",IF($H8=0,0,$AI8*($F8/$H8)*(1+taux_majoration_repos)))</f>
        <v/>
      </c>
    </row>
    <row r="9" ht="15" customHeight="1" s="15">
      <c r="B9" s="41" t="n">
        <v>3</v>
      </c>
      <c r="C9" s="41">
        <f>IF(EMPLOYES!C17="","",EMPLOYES!C17)</f>
        <v/>
      </c>
      <c r="D9" s="56">
        <f>IF(EMPLOYES!C17="","",EMPLOYES!D17)</f>
        <v/>
      </c>
      <c r="E9" s="41">
        <f>IF(EMPLOYES!C17="","",EMPLOYES!M17)</f>
        <v/>
      </c>
      <c r="F9" s="57">
        <f>IF(EMPLOYES!C17="","",EMPLOYES!Y17)</f>
        <v/>
      </c>
      <c r="G9" s="47">
        <f>INDEX(BULLETIN!$C$201:$C$212,MATCH(mois_courant_numero,BULLETIN!$B$201:$B$212,0))+2</f>
        <v/>
      </c>
      <c r="H9" s="41">
        <f>IF($C9="","",IF($E9="5j",jours_ouvrables_5j_mois_courant,jours_ouvrables_6j_mois_courant))</f>
        <v/>
      </c>
      <c r="I9" s="41">
        <f>IF($C9="","",IFERROR(INDEX(VARIABLES!$G:$G,$G9),0))</f>
        <v/>
      </c>
      <c r="J9" s="41">
        <f>IF($C9="","",MAX(0,$H9-$I9))</f>
        <v/>
      </c>
      <c r="K9" s="57">
        <f>IF($C9="","",IF($H9=0,0,($F9/$H9)*$J9))</f>
        <v/>
      </c>
      <c r="L9" s="59">
        <f>IF($C9="","",IFERROR(INDEX(VARIABLES!$E:$E,$G9),0))</f>
        <v/>
      </c>
      <c r="M9" s="57">
        <f>IF($C9="","",IF($H9=0,0,($F9/$H9/heures_par_jour)*(MIN($L9,6)*taux_majoration_hs+MAX($L9-6,0)*taux_majoration_hs_tier2)))</f>
        <v/>
      </c>
      <c r="N9" s="57">
        <f>IF($C9="","",IFERROR(INDEX(VARIABLES!$F:$F,$G9),0))</f>
        <v/>
      </c>
      <c r="O9" s="57">
        <f>IF($C9="","",allocation_familiale_enfant*EMPLOYES!O17)</f>
        <v/>
      </c>
      <c r="P9" s="57">
        <f>IF($C9="","",contrevaleur_logement)</f>
        <v/>
      </c>
      <c r="Q9" s="57">
        <f>IF($C9="","",$K9+$M9+$N9+$O9+$P9+$AH9+$AJ9)</f>
        <v/>
      </c>
      <c r="R9" s="57">
        <f>IF($C9="","",$Q9*t_cnss_pension_salarie)</f>
        <v/>
      </c>
      <c r="S9" s="57">
        <f>IF($C9="","",IF(opt_cnss_deductible_ipr="Oui",$Q9-$R9,$Q9))</f>
        <v/>
      </c>
      <c r="T9" s="57">
        <f>IF($C9="","",MAX(ipr_plancher,MIN((IF($S9&lt;=ipr_t1_sup_mensuel,$S9*ipr_taux1,IF($S9&lt;=ipr_t2_sup_mensuel,ipr_t1_sup_mensuel*ipr_taux1+($S9-ipr_t1_sup_mensuel)*ipr_taux2,IF($S9&lt;=ipr_t3_sup_mensuel,ipr_t1_sup_mensuel*ipr_taux1+(ipr_t2_sup_mensuel-ipr_t1_sup_mensuel)*ipr_taux2+($S9-ipr_t2_sup_mensuel)*ipr_taux3,ipr_t1_sup_mensuel*ipr_taux1+(ipr_t2_sup_mensuel-ipr_t1_sup_mensuel)*ipr_taux2+(ipr_t3_sup_mensuel-ipr_t2_sup_mensuel)*ipr_taux3+($S9-ipr_t3_sup_mensuel)*ipr_taux4))))-MIN(EMPLOYES!O17,9)*ipr_reduction_famille*(IF($S9&lt;=ipr_t1_sup_mensuel,$S9*ipr_taux1,IF($S9&lt;=ipr_t2_sup_mensuel,ipr_t1_sup_mensuel*ipr_taux1+($S9-ipr_t1_sup_mensuel)*ipr_taux2,IF($S9&lt;=ipr_t3_sup_mensuel,ipr_t1_sup_mensuel*ipr_taux1+(ipr_t2_sup_mensuel-ipr_t1_sup_mensuel)*ipr_taux2+($S9-ipr_t2_sup_mensuel)*ipr_taux3,ipr_t1_sup_mensuel*ipr_taux1+(ipr_t2_sup_mensuel-ipr_t1_sup_mensuel)*ipr_taux2+(ipr_t3_sup_mensuel-ipr_t2_sup_mensuel)*ipr_taux3+($S9-ipr_t3_sup_mensuel)*ipr_taux4)))),$S9*ipr_plafond_pct)))</f>
        <v/>
      </c>
      <c r="U9" s="57">
        <f>IF($C9="","",$Q9-$R9-$T9)</f>
        <v/>
      </c>
      <c r="V9" s="57">
        <f>IF($C9="","",IFERROR(INDEX(VARIABLES!$H:$H,$G9),0))</f>
        <v/>
      </c>
      <c r="W9" s="57">
        <f>IF($C9="","",IFERROR(INDEX(VARIABLES!$J:$J,$G9),0))</f>
        <v/>
      </c>
      <c r="X9" s="57">
        <f>IF($C9="","",$U9-$V9-$W9)</f>
        <v/>
      </c>
      <c r="Y9" s="57">
        <f>IF($C9="","",$Q9*t_cnss_total_employeur)</f>
        <v/>
      </c>
      <c r="Z9" s="57">
        <f>IF($C9="","",$Q9*t_inpp_applicable)</f>
        <v/>
      </c>
      <c r="AA9" s="57">
        <f>IF($C9="","",$Q9*t_onem)</f>
        <v/>
      </c>
      <c r="AB9" s="57">
        <f>IF($C9="","",$Q9+$Y9+$Z9+$AA9)</f>
        <v/>
      </c>
      <c r="AC9" s="55">
        <f>IF(AND($C9&lt;&gt;"",$I9&gt;0),1,0)</f>
        <v/>
      </c>
      <c r="AD9" s="55">
        <f>SUM(AC$7:AC9)</f>
        <v/>
      </c>
      <c r="AE9" s="55">
        <f>IF(AND($C9&lt;&gt;"",$V9&gt;0),1,0)</f>
        <v/>
      </c>
      <c r="AF9" s="55">
        <f>SUM(AE$7:AE9)</f>
        <v/>
      </c>
      <c r="AG9" s="59">
        <f>IF($C9="","",IFERROR(INDEX(VARIABLES!$AY:$AY,$G9),0))</f>
        <v/>
      </c>
      <c r="AH9" s="57">
        <f>IF($C9="","",IF($H9=0,0,$AG9*(($F9/$H9)/heures_par_jour)*taux_majoration_nuit))</f>
        <v/>
      </c>
      <c r="AI9" s="59">
        <f>IF($C9="","",IFERROR(INDEX(VARIABLES!$AX:$AX,$G9),0))</f>
        <v/>
      </c>
      <c r="AJ9" s="57">
        <f>IF($C9="","",IF($H9=0,0,$AI9*($F9/$H9)*(1+taux_majoration_repos)))</f>
        <v/>
      </c>
    </row>
    <row r="10" ht="15" customHeight="1" s="15">
      <c r="B10" s="41" t="n">
        <v>4</v>
      </c>
      <c r="C10" s="41">
        <f>IF(EMPLOYES!C18="","",EMPLOYES!C18)</f>
        <v/>
      </c>
      <c r="D10" s="56">
        <f>IF(EMPLOYES!C18="","",EMPLOYES!D18)</f>
        <v/>
      </c>
      <c r="E10" s="41">
        <f>IF(EMPLOYES!C18="","",EMPLOYES!M18)</f>
        <v/>
      </c>
      <c r="F10" s="57">
        <f>IF(EMPLOYES!C18="","",EMPLOYES!Y18)</f>
        <v/>
      </c>
      <c r="G10" s="47">
        <f>INDEX(BULLETIN!$C$201:$C$212,MATCH(mois_courant_numero,BULLETIN!$B$201:$B$212,0))+3</f>
        <v/>
      </c>
      <c r="H10" s="41">
        <f>IF($C10="","",IF($E10="5j",jours_ouvrables_5j_mois_courant,jours_ouvrables_6j_mois_courant))</f>
        <v/>
      </c>
      <c r="I10" s="41">
        <f>IF($C10="","",IFERROR(INDEX(VARIABLES!$G:$G,$G10),0))</f>
        <v/>
      </c>
      <c r="J10" s="41">
        <f>IF($C10="","",MAX(0,$H10-$I10))</f>
        <v/>
      </c>
      <c r="K10" s="57">
        <f>IF($C10="","",IF($H10=0,0,($F10/$H10)*$J10))</f>
        <v/>
      </c>
      <c r="L10" s="59">
        <f>IF($C10="","",IFERROR(INDEX(VARIABLES!$E:$E,$G10),0))</f>
        <v/>
      </c>
      <c r="M10" s="57">
        <f>IF($C10="","",IF($H10=0,0,($F10/$H10/heures_par_jour)*(MIN($L10,6)*taux_majoration_hs+MAX($L10-6,0)*taux_majoration_hs_tier2)))</f>
        <v/>
      </c>
      <c r="N10" s="57">
        <f>IF($C10="","",IFERROR(INDEX(VARIABLES!$F:$F,$G10),0))</f>
        <v/>
      </c>
      <c r="O10" s="57">
        <f>IF($C10="","",allocation_familiale_enfant*EMPLOYES!O18)</f>
        <v/>
      </c>
      <c r="P10" s="57">
        <f>IF($C10="","",contrevaleur_logement)</f>
        <v/>
      </c>
      <c r="Q10" s="57">
        <f>IF($C10="","",$K10+$M10+$N10+$O10+$P10+$AH10+$AJ10)</f>
        <v/>
      </c>
      <c r="R10" s="57">
        <f>IF($C10="","",$Q10*t_cnss_pension_salarie)</f>
        <v/>
      </c>
      <c r="S10" s="57">
        <f>IF($C10="","",IF(opt_cnss_deductible_ipr="Oui",$Q10-$R10,$Q10))</f>
        <v/>
      </c>
      <c r="T10" s="57">
        <f>IF($C10="","",MAX(ipr_plancher,MIN((IF($S10&lt;=ipr_t1_sup_mensuel,$S10*ipr_taux1,IF($S10&lt;=ipr_t2_sup_mensuel,ipr_t1_sup_mensuel*ipr_taux1+($S10-ipr_t1_sup_mensuel)*ipr_taux2,IF($S10&lt;=ipr_t3_sup_mensuel,ipr_t1_sup_mensuel*ipr_taux1+(ipr_t2_sup_mensuel-ipr_t1_sup_mensuel)*ipr_taux2+($S10-ipr_t2_sup_mensuel)*ipr_taux3,ipr_t1_sup_mensuel*ipr_taux1+(ipr_t2_sup_mensuel-ipr_t1_sup_mensuel)*ipr_taux2+(ipr_t3_sup_mensuel-ipr_t2_sup_mensuel)*ipr_taux3+($S10-ipr_t3_sup_mensuel)*ipr_taux4))))-MIN(EMPLOYES!O18,9)*ipr_reduction_famille*(IF($S10&lt;=ipr_t1_sup_mensuel,$S10*ipr_taux1,IF($S10&lt;=ipr_t2_sup_mensuel,ipr_t1_sup_mensuel*ipr_taux1+($S10-ipr_t1_sup_mensuel)*ipr_taux2,IF($S10&lt;=ipr_t3_sup_mensuel,ipr_t1_sup_mensuel*ipr_taux1+(ipr_t2_sup_mensuel-ipr_t1_sup_mensuel)*ipr_taux2+($S10-ipr_t2_sup_mensuel)*ipr_taux3,ipr_t1_sup_mensuel*ipr_taux1+(ipr_t2_sup_mensuel-ipr_t1_sup_mensuel)*ipr_taux2+(ipr_t3_sup_mensuel-ipr_t2_sup_mensuel)*ipr_taux3+($S10-ipr_t3_sup_mensuel)*ipr_taux4)))),$S10*ipr_plafond_pct)))</f>
        <v/>
      </c>
      <c r="U10" s="57">
        <f>IF($C10="","",$Q10-$R10-$T10)</f>
        <v/>
      </c>
      <c r="V10" s="57">
        <f>IF($C10="","",IFERROR(INDEX(VARIABLES!$H:$H,$G10),0))</f>
        <v/>
      </c>
      <c r="W10" s="57">
        <f>IF($C10="","",IFERROR(INDEX(VARIABLES!$J:$J,$G10),0))</f>
        <v/>
      </c>
      <c r="X10" s="57">
        <f>IF($C10="","",$U10-$V10-$W10)</f>
        <v/>
      </c>
      <c r="Y10" s="57">
        <f>IF($C10="","",$Q10*t_cnss_total_employeur)</f>
        <v/>
      </c>
      <c r="Z10" s="57">
        <f>IF($C10="","",$Q10*t_inpp_applicable)</f>
        <v/>
      </c>
      <c r="AA10" s="57">
        <f>IF($C10="","",$Q10*t_onem)</f>
        <v/>
      </c>
      <c r="AB10" s="57">
        <f>IF($C10="","",$Q10+$Y10+$Z10+$AA10)</f>
        <v/>
      </c>
      <c r="AC10" s="55">
        <f>IF(AND($C10&lt;&gt;"",$I10&gt;0),1,0)</f>
        <v/>
      </c>
      <c r="AD10" s="55">
        <f>SUM(AC$7:AC10)</f>
        <v/>
      </c>
      <c r="AE10" s="55">
        <f>IF(AND($C10&lt;&gt;"",$V10&gt;0),1,0)</f>
        <v/>
      </c>
      <c r="AF10" s="55">
        <f>SUM(AE$7:AE10)</f>
        <v/>
      </c>
      <c r="AG10" s="59">
        <f>IF($C10="","",IFERROR(INDEX(VARIABLES!$AY:$AY,$G10),0))</f>
        <v/>
      </c>
      <c r="AH10" s="57">
        <f>IF($C10="","",IF($H10=0,0,$AG10*(($F10/$H10)/heures_par_jour)*taux_majoration_nuit))</f>
        <v/>
      </c>
      <c r="AI10" s="59">
        <f>IF($C10="","",IFERROR(INDEX(VARIABLES!$AX:$AX,$G10),0))</f>
        <v/>
      </c>
      <c r="AJ10" s="57">
        <f>IF($C10="","",IF($H10=0,0,$AI10*($F10/$H10)*(1+taux_majoration_repos)))</f>
        <v/>
      </c>
    </row>
    <row r="11" ht="15" customHeight="1" s="15">
      <c r="B11" s="41" t="n">
        <v>5</v>
      </c>
      <c r="C11" s="41">
        <f>IF(EMPLOYES!C19="","",EMPLOYES!C19)</f>
        <v/>
      </c>
      <c r="D11" s="56">
        <f>IF(EMPLOYES!C19="","",EMPLOYES!D19)</f>
        <v/>
      </c>
      <c r="E11" s="41">
        <f>IF(EMPLOYES!C19="","",EMPLOYES!M19)</f>
        <v/>
      </c>
      <c r="F11" s="57">
        <f>IF(EMPLOYES!C19="","",EMPLOYES!Y19)</f>
        <v/>
      </c>
      <c r="G11" s="47">
        <f>INDEX(BULLETIN!$C$201:$C$212,MATCH(mois_courant_numero,BULLETIN!$B$201:$B$212,0))+4</f>
        <v/>
      </c>
      <c r="H11" s="41">
        <f>IF($C11="","",IF($E11="5j",jours_ouvrables_5j_mois_courant,jours_ouvrables_6j_mois_courant))</f>
        <v/>
      </c>
      <c r="I11" s="41">
        <f>IF($C11="","",IFERROR(INDEX(VARIABLES!$G:$G,$G11),0))</f>
        <v/>
      </c>
      <c r="J11" s="41">
        <f>IF($C11="","",MAX(0,$H11-$I11))</f>
        <v/>
      </c>
      <c r="K11" s="57">
        <f>IF($C11="","",IF($H11=0,0,($F11/$H11)*$J11))</f>
        <v/>
      </c>
      <c r="L11" s="59">
        <f>IF($C11="","",IFERROR(INDEX(VARIABLES!$E:$E,$G11),0))</f>
        <v/>
      </c>
      <c r="M11" s="57">
        <f>IF($C11="","",IF($H11=0,0,($F11/$H11/heures_par_jour)*(MIN($L11,6)*taux_majoration_hs+MAX($L11-6,0)*taux_majoration_hs_tier2)))</f>
        <v/>
      </c>
      <c r="N11" s="57">
        <f>IF($C11="","",IFERROR(INDEX(VARIABLES!$F:$F,$G11),0))</f>
        <v/>
      </c>
      <c r="O11" s="57">
        <f>IF($C11="","",allocation_familiale_enfant*EMPLOYES!O19)</f>
        <v/>
      </c>
      <c r="P11" s="57">
        <f>IF($C11="","",contrevaleur_logement)</f>
        <v/>
      </c>
      <c r="Q11" s="57">
        <f>IF($C11="","",$K11+$M11+$N11+$O11+$P11+$AH11+$AJ11)</f>
        <v/>
      </c>
      <c r="R11" s="57">
        <f>IF($C11="","",$Q11*t_cnss_pension_salarie)</f>
        <v/>
      </c>
      <c r="S11" s="57">
        <f>IF($C11="","",IF(opt_cnss_deductible_ipr="Oui",$Q11-$R11,$Q11))</f>
        <v/>
      </c>
      <c r="T11" s="57">
        <f>IF($C11="","",MAX(ipr_plancher,MIN((IF($S11&lt;=ipr_t1_sup_mensuel,$S11*ipr_taux1,IF($S11&lt;=ipr_t2_sup_mensuel,ipr_t1_sup_mensuel*ipr_taux1+($S11-ipr_t1_sup_mensuel)*ipr_taux2,IF($S11&lt;=ipr_t3_sup_mensuel,ipr_t1_sup_mensuel*ipr_taux1+(ipr_t2_sup_mensuel-ipr_t1_sup_mensuel)*ipr_taux2+($S11-ipr_t2_sup_mensuel)*ipr_taux3,ipr_t1_sup_mensuel*ipr_taux1+(ipr_t2_sup_mensuel-ipr_t1_sup_mensuel)*ipr_taux2+(ipr_t3_sup_mensuel-ipr_t2_sup_mensuel)*ipr_taux3+($S11-ipr_t3_sup_mensuel)*ipr_taux4))))-MIN(EMPLOYES!O19,9)*ipr_reduction_famille*(IF($S11&lt;=ipr_t1_sup_mensuel,$S11*ipr_taux1,IF($S11&lt;=ipr_t2_sup_mensuel,ipr_t1_sup_mensuel*ipr_taux1+($S11-ipr_t1_sup_mensuel)*ipr_taux2,IF($S11&lt;=ipr_t3_sup_mensuel,ipr_t1_sup_mensuel*ipr_taux1+(ipr_t2_sup_mensuel-ipr_t1_sup_mensuel)*ipr_taux2+($S11-ipr_t2_sup_mensuel)*ipr_taux3,ipr_t1_sup_mensuel*ipr_taux1+(ipr_t2_sup_mensuel-ipr_t1_sup_mensuel)*ipr_taux2+(ipr_t3_sup_mensuel-ipr_t2_sup_mensuel)*ipr_taux3+($S11-ipr_t3_sup_mensuel)*ipr_taux4)))),$S11*ipr_plafond_pct)))</f>
        <v/>
      </c>
      <c r="U11" s="57">
        <f>IF($C11="","",$Q11-$R11-$T11)</f>
        <v/>
      </c>
      <c r="V11" s="57">
        <f>IF($C11="","",IFERROR(INDEX(VARIABLES!$H:$H,$G11),0))</f>
        <v/>
      </c>
      <c r="W11" s="57">
        <f>IF($C11="","",IFERROR(INDEX(VARIABLES!$J:$J,$G11),0))</f>
        <v/>
      </c>
      <c r="X11" s="57">
        <f>IF($C11="","",$U11-$V11-$W11)</f>
        <v/>
      </c>
      <c r="Y11" s="57">
        <f>IF($C11="","",$Q11*t_cnss_total_employeur)</f>
        <v/>
      </c>
      <c r="Z11" s="57">
        <f>IF($C11="","",$Q11*t_inpp_applicable)</f>
        <v/>
      </c>
      <c r="AA11" s="57">
        <f>IF($C11="","",$Q11*t_onem)</f>
        <v/>
      </c>
      <c r="AB11" s="57">
        <f>IF($C11="","",$Q11+$Y11+$Z11+$AA11)</f>
        <v/>
      </c>
      <c r="AC11" s="55">
        <f>IF(AND($C11&lt;&gt;"",$I11&gt;0),1,0)</f>
        <v/>
      </c>
      <c r="AD11" s="55">
        <f>SUM(AC$7:AC11)</f>
        <v/>
      </c>
      <c r="AE11" s="55">
        <f>IF(AND($C11&lt;&gt;"",$V11&gt;0),1,0)</f>
        <v/>
      </c>
      <c r="AF11" s="55">
        <f>SUM(AE$7:AE11)</f>
        <v/>
      </c>
      <c r="AG11" s="59">
        <f>IF($C11="","",IFERROR(INDEX(VARIABLES!$AY:$AY,$G11),0))</f>
        <v/>
      </c>
      <c r="AH11" s="57">
        <f>IF($C11="","",IF($H11=0,0,$AG11*(($F11/$H11)/heures_par_jour)*taux_majoration_nuit))</f>
        <v/>
      </c>
      <c r="AI11" s="59">
        <f>IF($C11="","",IFERROR(INDEX(VARIABLES!$AX:$AX,$G11),0))</f>
        <v/>
      </c>
      <c r="AJ11" s="57">
        <f>IF($C11="","",IF($H11=0,0,$AI11*($F11/$H11)*(1+taux_majoration_repos)))</f>
        <v/>
      </c>
    </row>
    <row r="12" ht="15" customHeight="1" s="15">
      <c r="B12" s="41" t="n">
        <v>6</v>
      </c>
      <c r="C12" s="41">
        <f>IF(EMPLOYES!C20="","",EMPLOYES!C20)</f>
        <v/>
      </c>
      <c r="D12" s="56">
        <f>IF(EMPLOYES!C20="","",EMPLOYES!D20)</f>
        <v/>
      </c>
      <c r="E12" s="41">
        <f>IF(EMPLOYES!C20="","",EMPLOYES!M20)</f>
        <v/>
      </c>
      <c r="F12" s="57">
        <f>IF(EMPLOYES!C20="","",EMPLOYES!Y20)</f>
        <v/>
      </c>
      <c r="G12" s="47">
        <f>INDEX(BULLETIN!$C$201:$C$212,MATCH(mois_courant_numero,BULLETIN!$B$201:$B$212,0))+5</f>
        <v/>
      </c>
      <c r="H12" s="41">
        <f>IF($C12="","",IF($E12="5j",jours_ouvrables_5j_mois_courant,jours_ouvrables_6j_mois_courant))</f>
        <v/>
      </c>
      <c r="I12" s="41">
        <f>IF($C12="","",IFERROR(INDEX(VARIABLES!$G:$G,$G12),0))</f>
        <v/>
      </c>
      <c r="J12" s="41">
        <f>IF($C12="","",MAX(0,$H12-$I12))</f>
        <v/>
      </c>
      <c r="K12" s="57">
        <f>IF($C12="","",IF($H12=0,0,($F12/$H12)*$J12))</f>
        <v/>
      </c>
      <c r="L12" s="59">
        <f>IF($C12="","",IFERROR(INDEX(VARIABLES!$E:$E,$G12),0))</f>
        <v/>
      </c>
      <c r="M12" s="57">
        <f>IF($C12="","",IF($H12=0,0,($F12/$H12/heures_par_jour)*(MIN($L12,6)*taux_majoration_hs+MAX($L12-6,0)*taux_majoration_hs_tier2)))</f>
        <v/>
      </c>
      <c r="N12" s="57">
        <f>IF($C12="","",IFERROR(INDEX(VARIABLES!$F:$F,$G12),0))</f>
        <v/>
      </c>
      <c r="O12" s="57">
        <f>IF($C12="","",allocation_familiale_enfant*EMPLOYES!O20)</f>
        <v/>
      </c>
      <c r="P12" s="57">
        <f>IF($C12="","",contrevaleur_logement)</f>
        <v/>
      </c>
      <c r="Q12" s="57">
        <f>IF($C12="","",$K12+$M12+$N12+$O12+$P12+$AH12+$AJ12)</f>
        <v/>
      </c>
      <c r="R12" s="57">
        <f>IF($C12="","",$Q12*t_cnss_pension_salarie)</f>
        <v/>
      </c>
      <c r="S12" s="57">
        <f>IF($C12="","",IF(opt_cnss_deductible_ipr="Oui",$Q12-$R12,$Q12))</f>
        <v/>
      </c>
      <c r="T12" s="57">
        <f>IF($C12="","",MAX(ipr_plancher,MIN((IF($S12&lt;=ipr_t1_sup_mensuel,$S12*ipr_taux1,IF($S12&lt;=ipr_t2_sup_mensuel,ipr_t1_sup_mensuel*ipr_taux1+($S12-ipr_t1_sup_mensuel)*ipr_taux2,IF($S12&lt;=ipr_t3_sup_mensuel,ipr_t1_sup_mensuel*ipr_taux1+(ipr_t2_sup_mensuel-ipr_t1_sup_mensuel)*ipr_taux2+($S12-ipr_t2_sup_mensuel)*ipr_taux3,ipr_t1_sup_mensuel*ipr_taux1+(ipr_t2_sup_mensuel-ipr_t1_sup_mensuel)*ipr_taux2+(ipr_t3_sup_mensuel-ipr_t2_sup_mensuel)*ipr_taux3+($S12-ipr_t3_sup_mensuel)*ipr_taux4))))-MIN(EMPLOYES!O20,9)*ipr_reduction_famille*(IF($S12&lt;=ipr_t1_sup_mensuel,$S12*ipr_taux1,IF($S12&lt;=ipr_t2_sup_mensuel,ipr_t1_sup_mensuel*ipr_taux1+($S12-ipr_t1_sup_mensuel)*ipr_taux2,IF($S12&lt;=ipr_t3_sup_mensuel,ipr_t1_sup_mensuel*ipr_taux1+(ipr_t2_sup_mensuel-ipr_t1_sup_mensuel)*ipr_taux2+($S12-ipr_t2_sup_mensuel)*ipr_taux3,ipr_t1_sup_mensuel*ipr_taux1+(ipr_t2_sup_mensuel-ipr_t1_sup_mensuel)*ipr_taux2+(ipr_t3_sup_mensuel-ipr_t2_sup_mensuel)*ipr_taux3+($S12-ipr_t3_sup_mensuel)*ipr_taux4)))),$S12*ipr_plafond_pct)))</f>
        <v/>
      </c>
      <c r="U12" s="57">
        <f>IF($C12="","",$Q12-$R12-$T12)</f>
        <v/>
      </c>
      <c r="V12" s="57">
        <f>IF($C12="","",IFERROR(INDEX(VARIABLES!$H:$H,$G12),0))</f>
        <v/>
      </c>
      <c r="W12" s="57">
        <f>IF($C12="","",IFERROR(INDEX(VARIABLES!$J:$J,$G12),0))</f>
        <v/>
      </c>
      <c r="X12" s="57">
        <f>IF($C12="","",$U12-$V12-$W12)</f>
        <v/>
      </c>
      <c r="Y12" s="57">
        <f>IF($C12="","",$Q12*t_cnss_total_employeur)</f>
        <v/>
      </c>
      <c r="Z12" s="57">
        <f>IF($C12="","",$Q12*t_inpp_applicable)</f>
        <v/>
      </c>
      <c r="AA12" s="57">
        <f>IF($C12="","",$Q12*t_onem)</f>
        <v/>
      </c>
      <c r="AB12" s="57">
        <f>IF($C12="","",$Q12+$Y12+$Z12+$AA12)</f>
        <v/>
      </c>
      <c r="AC12" s="55">
        <f>IF(AND($C12&lt;&gt;"",$I12&gt;0),1,0)</f>
        <v/>
      </c>
      <c r="AD12" s="55">
        <f>SUM(AC$7:AC12)</f>
        <v/>
      </c>
      <c r="AE12" s="55">
        <f>IF(AND($C12&lt;&gt;"",$V12&gt;0),1,0)</f>
        <v/>
      </c>
      <c r="AF12" s="55">
        <f>SUM(AE$7:AE12)</f>
        <v/>
      </c>
      <c r="AG12" s="59">
        <f>IF($C12="","",IFERROR(INDEX(VARIABLES!$AY:$AY,$G12),0))</f>
        <v/>
      </c>
      <c r="AH12" s="57">
        <f>IF($C12="","",IF($H12=0,0,$AG12*(($F12/$H12)/heures_par_jour)*taux_majoration_nuit))</f>
        <v/>
      </c>
      <c r="AI12" s="59">
        <f>IF($C12="","",IFERROR(INDEX(VARIABLES!$AX:$AX,$G12),0))</f>
        <v/>
      </c>
      <c r="AJ12" s="57">
        <f>IF($C12="","",IF($H12=0,0,$AI12*($F12/$H12)*(1+taux_majoration_repos)))</f>
        <v/>
      </c>
    </row>
    <row r="13" ht="15" customHeight="1" s="15">
      <c r="B13" s="41" t="n">
        <v>7</v>
      </c>
      <c r="C13" s="41">
        <f>IF(EMPLOYES!C21="","",EMPLOYES!C21)</f>
        <v/>
      </c>
      <c r="D13" s="56">
        <f>IF(EMPLOYES!C21="","",EMPLOYES!D21)</f>
        <v/>
      </c>
      <c r="E13" s="41">
        <f>IF(EMPLOYES!C21="","",EMPLOYES!M21)</f>
        <v/>
      </c>
      <c r="F13" s="57">
        <f>IF(EMPLOYES!C21="","",EMPLOYES!Y21)</f>
        <v/>
      </c>
      <c r="G13" s="47">
        <f>INDEX(BULLETIN!$C$201:$C$212,MATCH(mois_courant_numero,BULLETIN!$B$201:$B$212,0))+6</f>
        <v/>
      </c>
      <c r="H13" s="41">
        <f>IF($C13="","",IF($E13="5j",jours_ouvrables_5j_mois_courant,jours_ouvrables_6j_mois_courant))</f>
        <v/>
      </c>
      <c r="I13" s="41">
        <f>IF($C13="","",IFERROR(INDEX(VARIABLES!$G:$G,$G13),0))</f>
        <v/>
      </c>
      <c r="J13" s="41">
        <f>IF($C13="","",MAX(0,$H13-$I13))</f>
        <v/>
      </c>
      <c r="K13" s="57">
        <f>IF($C13="","",IF($H13=0,0,($F13/$H13)*$J13))</f>
        <v/>
      </c>
      <c r="L13" s="59">
        <f>IF($C13="","",IFERROR(INDEX(VARIABLES!$E:$E,$G13),0))</f>
        <v/>
      </c>
      <c r="M13" s="57">
        <f>IF($C13="","",IF($H13=0,0,($F13/$H13/heures_par_jour)*(MIN($L13,6)*taux_majoration_hs+MAX($L13-6,0)*taux_majoration_hs_tier2)))</f>
        <v/>
      </c>
      <c r="N13" s="57">
        <f>IF($C13="","",IFERROR(INDEX(VARIABLES!$F:$F,$G13),0))</f>
        <v/>
      </c>
      <c r="O13" s="57">
        <f>IF($C13="","",allocation_familiale_enfant*EMPLOYES!O21)</f>
        <v/>
      </c>
      <c r="P13" s="57">
        <f>IF($C13="","",contrevaleur_logement)</f>
        <v/>
      </c>
      <c r="Q13" s="57">
        <f>IF($C13="","",$K13+$M13+$N13+$O13+$P13+$AH13+$AJ13)</f>
        <v/>
      </c>
      <c r="R13" s="57">
        <f>IF($C13="","",$Q13*t_cnss_pension_salarie)</f>
        <v/>
      </c>
      <c r="S13" s="57">
        <f>IF($C13="","",IF(opt_cnss_deductible_ipr="Oui",$Q13-$R13,$Q13))</f>
        <v/>
      </c>
      <c r="T13" s="57">
        <f>IF($C13="","",MAX(ipr_plancher,MIN((IF($S13&lt;=ipr_t1_sup_mensuel,$S13*ipr_taux1,IF($S13&lt;=ipr_t2_sup_mensuel,ipr_t1_sup_mensuel*ipr_taux1+($S13-ipr_t1_sup_mensuel)*ipr_taux2,IF($S13&lt;=ipr_t3_sup_mensuel,ipr_t1_sup_mensuel*ipr_taux1+(ipr_t2_sup_mensuel-ipr_t1_sup_mensuel)*ipr_taux2+($S13-ipr_t2_sup_mensuel)*ipr_taux3,ipr_t1_sup_mensuel*ipr_taux1+(ipr_t2_sup_mensuel-ipr_t1_sup_mensuel)*ipr_taux2+(ipr_t3_sup_mensuel-ipr_t2_sup_mensuel)*ipr_taux3+($S13-ipr_t3_sup_mensuel)*ipr_taux4))))-MIN(EMPLOYES!O21,9)*ipr_reduction_famille*(IF($S13&lt;=ipr_t1_sup_mensuel,$S13*ipr_taux1,IF($S13&lt;=ipr_t2_sup_mensuel,ipr_t1_sup_mensuel*ipr_taux1+($S13-ipr_t1_sup_mensuel)*ipr_taux2,IF($S13&lt;=ipr_t3_sup_mensuel,ipr_t1_sup_mensuel*ipr_taux1+(ipr_t2_sup_mensuel-ipr_t1_sup_mensuel)*ipr_taux2+($S13-ipr_t2_sup_mensuel)*ipr_taux3,ipr_t1_sup_mensuel*ipr_taux1+(ipr_t2_sup_mensuel-ipr_t1_sup_mensuel)*ipr_taux2+(ipr_t3_sup_mensuel-ipr_t2_sup_mensuel)*ipr_taux3+($S13-ipr_t3_sup_mensuel)*ipr_taux4)))),$S13*ipr_plafond_pct)))</f>
        <v/>
      </c>
      <c r="U13" s="57">
        <f>IF($C13="","",$Q13-$R13-$T13)</f>
        <v/>
      </c>
      <c r="V13" s="57">
        <f>IF($C13="","",IFERROR(INDEX(VARIABLES!$H:$H,$G13),0))</f>
        <v/>
      </c>
      <c r="W13" s="57">
        <f>IF($C13="","",IFERROR(INDEX(VARIABLES!$J:$J,$G13),0))</f>
        <v/>
      </c>
      <c r="X13" s="57">
        <f>IF($C13="","",$U13-$V13-$W13)</f>
        <v/>
      </c>
      <c r="Y13" s="57">
        <f>IF($C13="","",$Q13*t_cnss_total_employeur)</f>
        <v/>
      </c>
      <c r="Z13" s="57">
        <f>IF($C13="","",$Q13*t_inpp_applicable)</f>
        <v/>
      </c>
      <c r="AA13" s="57">
        <f>IF($C13="","",$Q13*t_onem)</f>
        <v/>
      </c>
      <c r="AB13" s="57">
        <f>IF($C13="","",$Q13+$Y13+$Z13+$AA13)</f>
        <v/>
      </c>
      <c r="AC13" s="55">
        <f>IF(AND($C13&lt;&gt;"",$I13&gt;0),1,0)</f>
        <v/>
      </c>
      <c r="AD13" s="55">
        <f>SUM(AC$7:AC13)</f>
        <v/>
      </c>
      <c r="AE13" s="55">
        <f>IF(AND($C13&lt;&gt;"",$V13&gt;0),1,0)</f>
        <v/>
      </c>
      <c r="AF13" s="55">
        <f>SUM(AE$7:AE13)</f>
        <v/>
      </c>
      <c r="AG13" s="59">
        <f>IF($C13="","",IFERROR(INDEX(VARIABLES!$AY:$AY,$G13),0))</f>
        <v/>
      </c>
      <c r="AH13" s="57">
        <f>IF($C13="","",IF($H13=0,0,$AG13*(($F13/$H13)/heures_par_jour)*taux_majoration_nuit))</f>
        <v/>
      </c>
      <c r="AI13" s="59">
        <f>IF($C13="","",IFERROR(INDEX(VARIABLES!$AX:$AX,$G13),0))</f>
        <v/>
      </c>
      <c r="AJ13" s="57">
        <f>IF($C13="","",IF($H13=0,0,$AI13*($F13/$H13)*(1+taux_majoration_repos)))</f>
        <v/>
      </c>
    </row>
    <row r="14" ht="15" customHeight="1" s="15">
      <c r="B14" s="41" t="n">
        <v>8</v>
      </c>
      <c r="C14" s="41">
        <f>IF(EMPLOYES!C22="","",EMPLOYES!C22)</f>
        <v/>
      </c>
      <c r="D14" s="56">
        <f>IF(EMPLOYES!C22="","",EMPLOYES!D22)</f>
        <v/>
      </c>
      <c r="E14" s="41">
        <f>IF(EMPLOYES!C22="","",EMPLOYES!M22)</f>
        <v/>
      </c>
      <c r="F14" s="57">
        <f>IF(EMPLOYES!C22="","",EMPLOYES!Y22)</f>
        <v/>
      </c>
      <c r="G14" s="47">
        <f>INDEX(BULLETIN!$C$201:$C$212,MATCH(mois_courant_numero,BULLETIN!$B$201:$B$212,0))+7</f>
        <v/>
      </c>
      <c r="H14" s="41">
        <f>IF($C14="","",IF($E14="5j",jours_ouvrables_5j_mois_courant,jours_ouvrables_6j_mois_courant))</f>
        <v/>
      </c>
      <c r="I14" s="41">
        <f>IF($C14="","",IFERROR(INDEX(VARIABLES!$G:$G,$G14),0))</f>
        <v/>
      </c>
      <c r="J14" s="41">
        <f>IF($C14="","",MAX(0,$H14-$I14))</f>
        <v/>
      </c>
      <c r="K14" s="57">
        <f>IF($C14="","",IF($H14=0,0,($F14/$H14)*$J14))</f>
        <v/>
      </c>
      <c r="L14" s="59">
        <f>IF($C14="","",IFERROR(INDEX(VARIABLES!$E:$E,$G14),0))</f>
        <v/>
      </c>
      <c r="M14" s="57">
        <f>IF($C14="","",IF($H14=0,0,($F14/$H14/heures_par_jour)*(MIN($L14,6)*taux_majoration_hs+MAX($L14-6,0)*taux_majoration_hs_tier2)))</f>
        <v/>
      </c>
      <c r="N14" s="57">
        <f>IF($C14="","",IFERROR(INDEX(VARIABLES!$F:$F,$G14),0))</f>
        <v/>
      </c>
      <c r="O14" s="57">
        <f>IF($C14="","",allocation_familiale_enfant*EMPLOYES!O22)</f>
        <v/>
      </c>
      <c r="P14" s="57">
        <f>IF($C14="","",contrevaleur_logement)</f>
        <v/>
      </c>
      <c r="Q14" s="57">
        <f>IF($C14="","",$K14+$M14+$N14+$O14+$P14+$AH14+$AJ14)</f>
        <v/>
      </c>
      <c r="R14" s="57">
        <f>IF($C14="","",$Q14*t_cnss_pension_salarie)</f>
        <v/>
      </c>
      <c r="S14" s="57">
        <f>IF($C14="","",IF(opt_cnss_deductible_ipr="Oui",$Q14-$R14,$Q14))</f>
        <v/>
      </c>
      <c r="T14" s="57">
        <f>IF($C14="","",MAX(ipr_plancher,MIN((IF($S14&lt;=ipr_t1_sup_mensuel,$S14*ipr_taux1,IF($S14&lt;=ipr_t2_sup_mensuel,ipr_t1_sup_mensuel*ipr_taux1+($S14-ipr_t1_sup_mensuel)*ipr_taux2,IF($S14&lt;=ipr_t3_sup_mensuel,ipr_t1_sup_mensuel*ipr_taux1+(ipr_t2_sup_mensuel-ipr_t1_sup_mensuel)*ipr_taux2+($S14-ipr_t2_sup_mensuel)*ipr_taux3,ipr_t1_sup_mensuel*ipr_taux1+(ipr_t2_sup_mensuel-ipr_t1_sup_mensuel)*ipr_taux2+(ipr_t3_sup_mensuel-ipr_t2_sup_mensuel)*ipr_taux3+($S14-ipr_t3_sup_mensuel)*ipr_taux4))))-MIN(EMPLOYES!O22,9)*ipr_reduction_famille*(IF($S14&lt;=ipr_t1_sup_mensuel,$S14*ipr_taux1,IF($S14&lt;=ipr_t2_sup_mensuel,ipr_t1_sup_mensuel*ipr_taux1+($S14-ipr_t1_sup_mensuel)*ipr_taux2,IF($S14&lt;=ipr_t3_sup_mensuel,ipr_t1_sup_mensuel*ipr_taux1+(ipr_t2_sup_mensuel-ipr_t1_sup_mensuel)*ipr_taux2+($S14-ipr_t2_sup_mensuel)*ipr_taux3,ipr_t1_sup_mensuel*ipr_taux1+(ipr_t2_sup_mensuel-ipr_t1_sup_mensuel)*ipr_taux2+(ipr_t3_sup_mensuel-ipr_t2_sup_mensuel)*ipr_taux3+($S14-ipr_t3_sup_mensuel)*ipr_taux4)))),$S14*ipr_plafond_pct)))</f>
        <v/>
      </c>
      <c r="U14" s="57">
        <f>IF($C14="","",$Q14-$R14-$T14)</f>
        <v/>
      </c>
      <c r="V14" s="57">
        <f>IF($C14="","",IFERROR(INDEX(VARIABLES!$H:$H,$G14),0))</f>
        <v/>
      </c>
      <c r="W14" s="57">
        <f>IF($C14="","",IFERROR(INDEX(VARIABLES!$J:$J,$G14),0))</f>
        <v/>
      </c>
      <c r="X14" s="57">
        <f>IF($C14="","",$U14-$V14-$W14)</f>
        <v/>
      </c>
      <c r="Y14" s="57">
        <f>IF($C14="","",$Q14*t_cnss_total_employeur)</f>
        <v/>
      </c>
      <c r="Z14" s="57">
        <f>IF($C14="","",$Q14*t_inpp_applicable)</f>
        <v/>
      </c>
      <c r="AA14" s="57">
        <f>IF($C14="","",$Q14*t_onem)</f>
        <v/>
      </c>
      <c r="AB14" s="57">
        <f>IF($C14="","",$Q14+$Y14+$Z14+$AA14)</f>
        <v/>
      </c>
      <c r="AC14" s="55">
        <f>IF(AND($C14&lt;&gt;"",$I14&gt;0),1,0)</f>
        <v/>
      </c>
      <c r="AD14" s="55">
        <f>SUM(AC$7:AC14)</f>
        <v/>
      </c>
      <c r="AE14" s="55">
        <f>IF(AND($C14&lt;&gt;"",$V14&gt;0),1,0)</f>
        <v/>
      </c>
      <c r="AF14" s="55">
        <f>SUM(AE$7:AE14)</f>
        <v/>
      </c>
      <c r="AG14" s="59">
        <f>IF($C14="","",IFERROR(INDEX(VARIABLES!$AY:$AY,$G14),0))</f>
        <v/>
      </c>
      <c r="AH14" s="57">
        <f>IF($C14="","",IF($H14=0,0,$AG14*(($F14/$H14)/heures_par_jour)*taux_majoration_nuit))</f>
        <v/>
      </c>
      <c r="AI14" s="59">
        <f>IF($C14="","",IFERROR(INDEX(VARIABLES!$AX:$AX,$G14),0))</f>
        <v/>
      </c>
      <c r="AJ14" s="57">
        <f>IF($C14="","",IF($H14=0,0,$AI14*($F14/$H14)*(1+taux_majoration_repos)))</f>
        <v/>
      </c>
    </row>
    <row r="15" ht="15" customHeight="1" s="15">
      <c r="B15" s="41" t="n">
        <v>9</v>
      </c>
      <c r="C15" s="41">
        <f>IF(EMPLOYES!C23="","",EMPLOYES!C23)</f>
        <v/>
      </c>
      <c r="D15" s="56">
        <f>IF(EMPLOYES!C23="","",EMPLOYES!D23)</f>
        <v/>
      </c>
      <c r="E15" s="41">
        <f>IF(EMPLOYES!C23="","",EMPLOYES!M23)</f>
        <v/>
      </c>
      <c r="F15" s="57">
        <f>IF(EMPLOYES!C23="","",EMPLOYES!Y23)</f>
        <v/>
      </c>
      <c r="G15" s="47">
        <f>INDEX(BULLETIN!$C$201:$C$212,MATCH(mois_courant_numero,BULLETIN!$B$201:$B$212,0))+8</f>
        <v/>
      </c>
      <c r="H15" s="41">
        <f>IF($C15="","",IF($E15="5j",jours_ouvrables_5j_mois_courant,jours_ouvrables_6j_mois_courant))</f>
        <v/>
      </c>
      <c r="I15" s="41">
        <f>IF($C15="","",IFERROR(INDEX(VARIABLES!$G:$G,$G15),0))</f>
        <v/>
      </c>
      <c r="J15" s="41">
        <f>IF($C15="","",MAX(0,$H15-$I15))</f>
        <v/>
      </c>
      <c r="K15" s="57">
        <f>IF($C15="","",IF($H15=0,0,($F15/$H15)*$J15))</f>
        <v/>
      </c>
      <c r="L15" s="59">
        <f>IF($C15="","",IFERROR(INDEX(VARIABLES!$E:$E,$G15),0))</f>
        <v/>
      </c>
      <c r="M15" s="57">
        <f>IF($C15="","",IF($H15=0,0,($F15/$H15/heures_par_jour)*(MIN($L15,6)*taux_majoration_hs+MAX($L15-6,0)*taux_majoration_hs_tier2)))</f>
        <v/>
      </c>
      <c r="N15" s="57">
        <f>IF($C15="","",IFERROR(INDEX(VARIABLES!$F:$F,$G15),0))</f>
        <v/>
      </c>
      <c r="O15" s="57">
        <f>IF($C15="","",allocation_familiale_enfant*EMPLOYES!O23)</f>
        <v/>
      </c>
      <c r="P15" s="57">
        <f>IF($C15="","",contrevaleur_logement)</f>
        <v/>
      </c>
      <c r="Q15" s="57">
        <f>IF($C15="","",$K15+$M15+$N15+$O15+$P15+$AH15+$AJ15)</f>
        <v/>
      </c>
      <c r="R15" s="57">
        <f>IF($C15="","",$Q15*t_cnss_pension_salarie)</f>
        <v/>
      </c>
      <c r="S15" s="57">
        <f>IF($C15="","",IF(opt_cnss_deductible_ipr="Oui",$Q15-$R15,$Q15))</f>
        <v/>
      </c>
      <c r="T15" s="57">
        <f>IF($C15="","",MAX(ipr_plancher,MIN((IF($S15&lt;=ipr_t1_sup_mensuel,$S15*ipr_taux1,IF($S15&lt;=ipr_t2_sup_mensuel,ipr_t1_sup_mensuel*ipr_taux1+($S15-ipr_t1_sup_mensuel)*ipr_taux2,IF($S15&lt;=ipr_t3_sup_mensuel,ipr_t1_sup_mensuel*ipr_taux1+(ipr_t2_sup_mensuel-ipr_t1_sup_mensuel)*ipr_taux2+($S15-ipr_t2_sup_mensuel)*ipr_taux3,ipr_t1_sup_mensuel*ipr_taux1+(ipr_t2_sup_mensuel-ipr_t1_sup_mensuel)*ipr_taux2+(ipr_t3_sup_mensuel-ipr_t2_sup_mensuel)*ipr_taux3+($S15-ipr_t3_sup_mensuel)*ipr_taux4))))-MIN(EMPLOYES!O23,9)*ipr_reduction_famille*(IF($S15&lt;=ipr_t1_sup_mensuel,$S15*ipr_taux1,IF($S15&lt;=ipr_t2_sup_mensuel,ipr_t1_sup_mensuel*ipr_taux1+($S15-ipr_t1_sup_mensuel)*ipr_taux2,IF($S15&lt;=ipr_t3_sup_mensuel,ipr_t1_sup_mensuel*ipr_taux1+(ipr_t2_sup_mensuel-ipr_t1_sup_mensuel)*ipr_taux2+($S15-ipr_t2_sup_mensuel)*ipr_taux3,ipr_t1_sup_mensuel*ipr_taux1+(ipr_t2_sup_mensuel-ipr_t1_sup_mensuel)*ipr_taux2+(ipr_t3_sup_mensuel-ipr_t2_sup_mensuel)*ipr_taux3+($S15-ipr_t3_sup_mensuel)*ipr_taux4)))),$S15*ipr_plafond_pct)))</f>
        <v/>
      </c>
      <c r="U15" s="57">
        <f>IF($C15="","",$Q15-$R15-$T15)</f>
        <v/>
      </c>
      <c r="V15" s="57">
        <f>IF($C15="","",IFERROR(INDEX(VARIABLES!$H:$H,$G15),0))</f>
        <v/>
      </c>
      <c r="W15" s="57">
        <f>IF($C15="","",IFERROR(INDEX(VARIABLES!$J:$J,$G15),0))</f>
        <v/>
      </c>
      <c r="X15" s="57">
        <f>IF($C15="","",$U15-$V15-$W15)</f>
        <v/>
      </c>
      <c r="Y15" s="57">
        <f>IF($C15="","",$Q15*t_cnss_total_employeur)</f>
        <v/>
      </c>
      <c r="Z15" s="57">
        <f>IF($C15="","",$Q15*t_inpp_applicable)</f>
        <v/>
      </c>
      <c r="AA15" s="57">
        <f>IF($C15="","",$Q15*t_onem)</f>
        <v/>
      </c>
      <c r="AB15" s="57">
        <f>IF($C15="","",$Q15+$Y15+$Z15+$AA15)</f>
        <v/>
      </c>
      <c r="AC15" s="55">
        <f>IF(AND($C15&lt;&gt;"",$I15&gt;0),1,0)</f>
        <v/>
      </c>
      <c r="AD15" s="55">
        <f>SUM(AC$7:AC15)</f>
        <v/>
      </c>
      <c r="AE15" s="55">
        <f>IF(AND($C15&lt;&gt;"",$V15&gt;0),1,0)</f>
        <v/>
      </c>
      <c r="AF15" s="55">
        <f>SUM(AE$7:AE15)</f>
        <v/>
      </c>
      <c r="AG15" s="59">
        <f>IF($C15="","",IFERROR(INDEX(VARIABLES!$AY:$AY,$G15),0))</f>
        <v/>
      </c>
      <c r="AH15" s="57">
        <f>IF($C15="","",IF($H15=0,0,$AG15*(($F15/$H15)/heures_par_jour)*taux_majoration_nuit))</f>
        <v/>
      </c>
      <c r="AI15" s="59">
        <f>IF($C15="","",IFERROR(INDEX(VARIABLES!$AX:$AX,$G15),0))</f>
        <v/>
      </c>
      <c r="AJ15" s="57">
        <f>IF($C15="","",IF($H15=0,0,$AI15*($F15/$H15)*(1+taux_majoration_repos)))</f>
        <v/>
      </c>
    </row>
    <row r="16" ht="15" customHeight="1" s="15">
      <c r="B16" s="41" t="n">
        <v>10</v>
      </c>
      <c r="C16" s="41">
        <f>IF(EMPLOYES!C24="","",EMPLOYES!C24)</f>
        <v/>
      </c>
      <c r="D16" s="56">
        <f>IF(EMPLOYES!C24="","",EMPLOYES!D24)</f>
        <v/>
      </c>
      <c r="E16" s="41">
        <f>IF(EMPLOYES!C24="","",EMPLOYES!M24)</f>
        <v/>
      </c>
      <c r="F16" s="57">
        <f>IF(EMPLOYES!C24="","",EMPLOYES!Y24)</f>
        <v/>
      </c>
      <c r="G16" s="47">
        <f>INDEX(BULLETIN!$C$201:$C$212,MATCH(mois_courant_numero,BULLETIN!$B$201:$B$212,0))+9</f>
        <v/>
      </c>
      <c r="H16" s="41">
        <f>IF($C16="","",IF($E16="5j",jours_ouvrables_5j_mois_courant,jours_ouvrables_6j_mois_courant))</f>
        <v/>
      </c>
      <c r="I16" s="41">
        <f>IF($C16="","",IFERROR(INDEX(VARIABLES!$G:$G,$G16),0))</f>
        <v/>
      </c>
      <c r="J16" s="41">
        <f>IF($C16="","",MAX(0,$H16-$I16))</f>
        <v/>
      </c>
      <c r="K16" s="57">
        <f>IF($C16="","",IF($H16=0,0,($F16/$H16)*$J16))</f>
        <v/>
      </c>
      <c r="L16" s="59">
        <f>IF($C16="","",IFERROR(INDEX(VARIABLES!$E:$E,$G16),0))</f>
        <v/>
      </c>
      <c r="M16" s="57">
        <f>IF($C16="","",IF($H16=0,0,($F16/$H16/heures_par_jour)*(MIN($L16,6)*taux_majoration_hs+MAX($L16-6,0)*taux_majoration_hs_tier2)))</f>
        <v/>
      </c>
      <c r="N16" s="57">
        <f>IF($C16="","",IFERROR(INDEX(VARIABLES!$F:$F,$G16),0))</f>
        <v/>
      </c>
      <c r="O16" s="57">
        <f>IF($C16="","",allocation_familiale_enfant*EMPLOYES!O24)</f>
        <v/>
      </c>
      <c r="P16" s="57">
        <f>IF($C16="","",contrevaleur_logement)</f>
        <v/>
      </c>
      <c r="Q16" s="57">
        <f>IF($C16="","",$K16+$M16+$N16+$O16+$P16+$AH16+$AJ16)</f>
        <v/>
      </c>
      <c r="R16" s="57">
        <f>IF($C16="","",$Q16*t_cnss_pension_salarie)</f>
        <v/>
      </c>
      <c r="S16" s="57">
        <f>IF($C16="","",IF(opt_cnss_deductible_ipr="Oui",$Q16-$R16,$Q16))</f>
        <v/>
      </c>
      <c r="T16" s="57">
        <f>IF($C16="","",MAX(ipr_plancher,MIN((IF($S16&lt;=ipr_t1_sup_mensuel,$S16*ipr_taux1,IF($S16&lt;=ipr_t2_sup_mensuel,ipr_t1_sup_mensuel*ipr_taux1+($S16-ipr_t1_sup_mensuel)*ipr_taux2,IF($S16&lt;=ipr_t3_sup_mensuel,ipr_t1_sup_mensuel*ipr_taux1+(ipr_t2_sup_mensuel-ipr_t1_sup_mensuel)*ipr_taux2+($S16-ipr_t2_sup_mensuel)*ipr_taux3,ipr_t1_sup_mensuel*ipr_taux1+(ipr_t2_sup_mensuel-ipr_t1_sup_mensuel)*ipr_taux2+(ipr_t3_sup_mensuel-ipr_t2_sup_mensuel)*ipr_taux3+($S16-ipr_t3_sup_mensuel)*ipr_taux4))))-MIN(EMPLOYES!O24,9)*ipr_reduction_famille*(IF($S16&lt;=ipr_t1_sup_mensuel,$S16*ipr_taux1,IF($S16&lt;=ipr_t2_sup_mensuel,ipr_t1_sup_mensuel*ipr_taux1+($S16-ipr_t1_sup_mensuel)*ipr_taux2,IF($S16&lt;=ipr_t3_sup_mensuel,ipr_t1_sup_mensuel*ipr_taux1+(ipr_t2_sup_mensuel-ipr_t1_sup_mensuel)*ipr_taux2+($S16-ipr_t2_sup_mensuel)*ipr_taux3,ipr_t1_sup_mensuel*ipr_taux1+(ipr_t2_sup_mensuel-ipr_t1_sup_mensuel)*ipr_taux2+(ipr_t3_sup_mensuel-ipr_t2_sup_mensuel)*ipr_taux3+($S16-ipr_t3_sup_mensuel)*ipr_taux4)))),$S16*ipr_plafond_pct)))</f>
        <v/>
      </c>
      <c r="U16" s="57">
        <f>IF($C16="","",$Q16-$R16-$T16)</f>
        <v/>
      </c>
      <c r="V16" s="57">
        <f>IF($C16="","",IFERROR(INDEX(VARIABLES!$H:$H,$G16),0))</f>
        <v/>
      </c>
      <c r="W16" s="57">
        <f>IF($C16="","",IFERROR(INDEX(VARIABLES!$J:$J,$G16),0))</f>
        <v/>
      </c>
      <c r="X16" s="57">
        <f>IF($C16="","",$U16-$V16-$W16)</f>
        <v/>
      </c>
      <c r="Y16" s="57">
        <f>IF($C16="","",$Q16*t_cnss_total_employeur)</f>
        <v/>
      </c>
      <c r="Z16" s="57">
        <f>IF($C16="","",$Q16*t_inpp_applicable)</f>
        <v/>
      </c>
      <c r="AA16" s="57">
        <f>IF($C16="","",$Q16*t_onem)</f>
        <v/>
      </c>
      <c r="AB16" s="57">
        <f>IF($C16="","",$Q16+$Y16+$Z16+$AA16)</f>
        <v/>
      </c>
      <c r="AC16" s="55">
        <f>IF(AND($C16&lt;&gt;"",$I16&gt;0),1,0)</f>
        <v/>
      </c>
      <c r="AD16" s="55">
        <f>SUM(AC$7:AC16)</f>
        <v/>
      </c>
      <c r="AE16" s="55">
        <f>IF(AND($C16&lt;&gt;"",$V16&gt;0),1,0)</f>
        <v/>
      </c>
      <c r="AF16" s="55">
        <f>SUM(AE$7:AE16)</f>
        <v/>
      </c>
      <c r="AG16" s="59">
        <f>IF($C16="","",IFERROR(INDEX(VARIABLES!$AY:$AY,$G16),0))</f>
        <v/>
      </c>
      <c r="AH16" s="57">
        <f>IF($C16="","",IF($H16=0,0,$AG16*(($F16/$H16)/heures_par_jour)*taux_majoration_nuit))</f>
        <v/>
      </c>
      <c r="AI16" s="59">
        <f>IF($C16="","",IFERROR(INDEX(VARIABLES!$AX:$AX,$G16),0))</f>
        <v/>
      </c>
      <c r="AJ16" s="57">
        <f>IF($C16="","",IF($H16=0,0,$AI16*($F16/$H16)*(1+taux_majoration_repos)))</f>
        <v/>
      </c>
    </row>
    <row r="17" ht="15" customHeight="1" s="15">
      <c r="B17" s="41" t="n">
        <v>11</v>
      </c>
      <c r="C17" s="41">
        <f>IF(EMPLOYES!C25="","",EMPLOYES!C25)</f>
        <v/>
      </c>
      <c r="D17" s="56">
        <f>IF(EMPLOYES!C25="","",EMPLOYES!D25)</f>
        <v/>
      </c>
      <c r="E17" s="41">
        <f>IF(EMPLOYES!C25="","",EMPLOYES!M25)</f>
        <v/>
      </c>
      <c r="F17" s="57">
        <f>IF(EMPLOYES!C25="","",EMPLOYES!Y25)</f>
        <v/>
      </c>
      <c r="G17" s="47">
        <f>INDEX(BULLETIN!$C$201:$C$212,MATCH(mois_courant_numero,BULLETIN!$B$201:$B$212,0))+10</f>
        <v/>
      </c>
      <c r="H17" s="41">
        <f>IF($C17="","",IF($E17="5j",jours_ouvrables_5j_mois_courant,jours_ouvrables_6j_mois_courant))</f>
        <v/>
      </c>
      <c r="I17" s="41">
        <f>IF($C17="","",IFERROR(INDEX(VARIABLES!$G:$G,$G17),0))</f>
        <v/>
      </c>
      <c r="J17" s="41">
        <f>IF($C17="","",MAX(0,$H17-$I17))</f>
        <v/>
      </c>
      <c r="K17" s="57">
        <f>IF($C17="","",IF($H17=0,0,($F17/$H17)*$J17))</f>
        <v/>
      </c>
      <c r="L17" s="59">
        <f>IF($C17="","",IFERROR(INDEX(VARIABLES!$E:$E,$G17),0))</f>
        <v/>
      </c>
      <c r="M17" s="57">
        <f>IF($C17="","",IF($H17=0,0,($F17/$H17/heures_par_jour)*(MIN($L17,6)*taux_majoration_hs+MAX($L17-6,0)*taux_majoration_hs_tier2)))</f>
        <v/>
      </c>
      <c r="N17" s="57">
        <f>IF($C17="","",IFERROR(INDEX(VARIABLES!$F:$F,$G17),0))</f>
        <v/>
      </c>
      <c r="O17" s="57">
        <f>IF($C17="","",allocation_familiale_enfant*EMPLOYES!O25)</f>
        <v/>
      </c>
      <c r="P17" s="57">
        <f>IF($C17="","",contrevaleur_logement)</f>
        <v/>
      </c>
      <c r="Q17" s="57">
        <f>IF($C17="","",$K17+$M17+$N17+$O17+$P17+$AH17+$AJ17)</f>
        <v/>
      </c>
      <c r="R17" s="57">
        <f>IF($C17="","",$Q17*t_cnss_pension_salarie)</f>
        <v/>
      </c>
      <c r="S17" s="57">
        <f>IF($C17="","",IF(opt_cnss_deductible_ipr="Oui",$Q17-$R17,$Q17))</f>
        <v/>
      </c>
      <c r="T17" s="57">
        <f>IF($C17="","",MAX(ipr_plancher,MIN((IF($S17&lt;=ipr_t1_sup_mensuel,$S17*ipr_taux1,IF($S17&lt;=ipr_t2_sup_mensuel,ipr_t1_sup_mensuel*ipr_taux1+($S17-ipr_t1_sup_mensuel)*ipr_taux2,IF($S17&lt;=ipr_t3_sup_mensuel,ipr_t1_sup_mensuel*ipr_taux1+(ipr_t2_sup_mensuel-ipr_t1_sup_mensuel)*ipr_taux2+($S17-ipr_t2_sup_mensuel)*ipr_taux3,ipr_t1_sup_mensuel*ipr_taux1+(ipr_t2_sup_mensuel-ipr_t1_sup_mensuel)*ipr_taux2+(ipr_t3_sup_mensuel-ipr_t2_sup_mensuel)*ipr_taux3+($S17-ipr_t3_sup_mensuel)*ipr_taux4))))-MIN(EMPLOYES!O25,9)*ipr_reduction_famille*(IF($S17&lt;=ipr_t1_sup_mensuel,$S17*ipr_taux1,IF($S17&lt;=ipr_t2_sup_mensuel,ipr_t1_sup_mensuel*ipr_taux1+($S17-ipr_t1_sup_mensuel)*ipr_taux2,IF($S17&lt;=ipr_t3_sup_mensuel,ipr_t1_sup_mensuel*ipr_taux1+(ipr_t2_sup_mensuel-ipr_t1_sup_mensuel)*ipr_taux2+($S17-ipr_t2_sup_mensuel)*ipr_taux3,ipr_t1_sup_mensuel*ipr_taux1+(ipr_t2_sup_mensuel-ipr_t1_sup_mensuel)*ipr_taux2+(ipr_t3_sup_mensuel-ipr_t2_sup_mensuel)*ipr_taux3+($S17-ipr_t3_sup_mensuel)*ipr_taux4)))),$S17*ipr_plafond_pct)))</f>
        <v/>
      </c>
      <c r="U17" s="57">
        <f>IF($C17="","",$Q17-$R17-$T17)</f>
        <v/>
      </c>
      <c r="V17" s="57">
        <f>IF($C17="","",IFERROR(INDEX(VARIABLES!$H:$H,$G17),0))</f>
        <v/>
      </c>
      <c r="W17" s="57">
        <f>IF($C17="","",IFERROR(INDEX(VARIABLES!$J:$J,$G17),0))</f>
        <v/>
      </c>
      <c r="X17" s="57">
        <f>IF($C17="","",$U17-$V17-$W17)</f>
        <v/>
      </c>
      <c r="Y17" s="57">
        <f>IF($C17="","",$Q17*t_cnss_total_employeur)</f>
        <v/>
      </c>
      <c r="Z17" s="57">
        <f>IF($C17="","",$Q17*t_inpp_applicable)</f>
        <v/>
      </c>
      <c r="AA17" s="57">
        <f>IF($C17="","",$Q17*t_onem)</f>
        <v/>
      </c>
      <c r="AB17" s="57">
        <f>IF($C17="","",$Q17+$Y17+$Z17+$AA17)</f>
        <v/>
      </c>
      <c r="AC17" s="55">
        <f>IF(AND($C17&lt;&gt;"",$I17&gt;0),1,0)</f>
        <v/>
      </c>
      <c r="AD17" s="55">
        <f>SUM(AC$7:AC17)</f>
        <v/>
      </c>
      <c r="AE17" s="55">
        <f>IF(AND($C17&lt;&gt;"",$V17&gt;0),1,0)</f>
        <v/>
      </c>
      <c r="AF17" s="55">
        <f>SUM(AE$7:AE17)</f>
        <v/>
      </c>
      <c r="AG17" s="59">
        <f>IF($C17="","",IFERROR(INDEX(VARIABLES!$AY:$AY,$G17),0))</f>
        <v/>
      </c>
      <c r="AH17" s="57">
        <f>IF($C17="","",IF($H17=0,0,$AG17*(($F17/$H17)/heures_par_jour)*taux_majoration_nuit))</f>
        <v/>
      </c>
      <c r="AI17" s="59">
        <f>IF($C17="","",IFERROR(INDEX(VARIABLES!$AX:$AX,$G17),0))</f>
        <v/>
      </c>
      <c r="AJ17" s="57">
        <f>IF($C17="","",IF($H17=0,0,$AI17*($F17/$H17)*(1+taux_majoration_repos)))</f>
        <v/>
      </c>
    </row>
    <row r="18" ht="15" customHeight="1" s="15">
      <c r="B18" s="41" t="n">
        <v>12</v>
      </c>
      <c r="C18" s="41">
        <f>IF(EMPLOYES!C26="","",EMPLOYES!C26)</f>
        <v/>
      </c>
      <c r="D18" s="56">
        <f>IF(EMPLOYES!C26="","",EMPLOYES!D26)</f>
        <v/>
      </c>
      <c r="E18" s="41">
        <f>IF(EMPLOYES!C26="","",EMPLOYES!M26)</f>
        <v/>
      </c>
      <c r="F18" s="57">
        <f>IF(EMPLOYES!C26="","",EMPLOYES!Y26)</f>
        <v/>
      </c>
      <c r="G18" s="47">
        <f>INDEX(BULLETIN!$C$201:$C$212,MATCH(mois_courant_numero,BULLETIN!$B$201:$B$212,0))+11</f>
        <v/>
      </c>
      <c r="H18" s="41">
        <f>IF($C18="","",IF($E18="5j",jours_ouvrables_5j_mois_courant,jours_ouvrables_6j_mois_courant))</f>
        <v/>
      </c>
      <c r="I18" s="41">
        <f>IF($C18="","",IFERROR(INDEX(VARIABLES!$G:$G,$G18),0))</f>
        <v/>
      </c>
      <c r="J18" s="41">
        <f>IF($C18="","",MAX(0,$H18-$I18))</f>
        <v/>
      </c>
      <c r="K18" s="57">
        <f>IF($C18="","",IF($H18=0,0,($F18/$H18)*$J18))</f>
        <v/>
      </c>
      <c r="L18" s="59">
        <f>IF($C18="","",IFERROR(INDEX(VARIABLES!$E:$E,$G18),0))</f>
        <v/>
      </c>
      <c r="M18" s="57">
        <f>IF($C18="","",IF($H18=0,0,($F18/$H18/heures_par_jour)*(MIN($L18,6)*taux_majoration_hs+MAX($L18-6,0)*taux_majoration_hs_tier2)))</f>
        <v/>
      </c>
      <c r="N18" s="57">
        <f>IF($C18="","",IFERROR(INDEX(VARIABLES!$F:$F,$G18),0))</f>
        <v/>
      </c>
      <c r="O18" s="57">
        <f>IF($C18="","",allocation_familiale_enfant*EMPLOYES!O26)</f>
        <v/>
      </c>
      <c r="P18" s="57">
        <f>IF($C18="","",contrevaleur_logement)</f>
        <v/>
      </c>
      <c r="Q18" s="57">
        <f>IF($C18="","",$K18+$M18+$N18+$O18+$P18+$AH18+$AJ18)</f>
        <v/>
      </c>
      <c r="R18" s="57">
        <f>IF($C18="","",$Q18*t_cnss_pension_salarie)</f>
        <v/>
      </c>
      <c r="S18" s="57">
        <f>IF($C18="","",IF(opt_cnss_deductible_ipr="Oui",$Q18-$R18,$Q18))</f>
        <v/>
      </c>
      <c r="T18" s="57">
        <f>IF($C18="","",MAX(ipr_plancher,MIN((IF($S18&lt;=ipr_t1_sup_mensuel,$S18*ipr_taux1,IF($S18&lt;=ipr_t2_sup_mensuel,ipr_t1_sup_mensuel*ipr_taux1+($S18-ipr_t1_sup_mensuel)*ipr_taux2,IF($S18&lt;=ipr_t3_sup_mensuel,ipr_t1_sup_mensuel*ipr_taux1+(ipr_t2_sup_mensuel-ipr_t1_sup_mensuel)*ipr_taux2+($S18-ipr_t2_sup_mensuel)*ipr_taux3,ipr_t1_sup_mensuel*ipr_taux1+(ipr_t2_sup_mensuel-ipr_t1_sup_mensuel)*ipr_taux2+(ipr_t3_sup_mensuel-ipr_t2_sup_mensuel)*ipr_taux3+($S18-ipr_t3_sup_mensuel)*ipr_taux4))))-MIN(EMPLOYES!O26,9)*ipr_reduction_famille*(IF($S18&lt;=ipr_t1_sup_mensuel,$S18*ipr_taux1,IF($S18&lt;=ipr_t2_sup_mensuel,ipr_t1_sup_mensuel*ipr_taux1+($S18-ipr_t1_sup_mensuel)*ipr_taux2,IF($S18&lt;=ipr_t3_sup_mensuel,ipr_t1_sup_mensuel*ipr_taux1+(ipr_t2_sup_mensuel-ipr_t1_sup_mensuel)*ipr_taux2+($S18-ipr_t2_sup_mensuel)*ipr_taux3,ipr_t1_sup_mensuel*ipr_taux1+(ipr_t2_sup_mensuel-ipr_t1_sup_mensuel)*ipr_taux2+(ipr_t3_sup_mensuel-ipr_t2_sup_mensuel)*ipr_taux3+($S18-ipr_t3_sup_mensuel)*ipr_taux4)))),$S18*ipr_plafond_pct)))</f>
        <v/>
      </c>
      <c r="U18" s="57">
        <f>IF($C18="","",$Q18-$R18-$T18)</f>
        <v/>
      </c>
      <c r="V18" s="57">
        <f>IF($C18="","",IFERROR(INDEX(VARIABLES!$H:$H,$G18),0))</f>
        <v/>
      </c>
      <c r="W18" s="57">
        <f>IF($C18="","",IFERROR(INDEX(VARIABLES!$J:$J,$G18),0))</f>
        <v/>
      </c>
      <c r="X18" s="57">
        <f>IF($C18="","",$U18-$V18-$W18)</f>
        <v/>
      </c>
      <c r="Y18" s="57">
        <f>IF($C18="","",$Q18*t_cnss_total_employeur)</f>
        <v/>
      </c>
      <c r="Z18" s="57">
        <f>IF($C18="","",$Q18*t_inpp_applicable)</f>
        <v/>
      </c>
      <c r="AA18" s="57">
        <f>IF($C18="","",$Q18*t_onem)</f>
        <v/>
      </c>
      <c r="AB18" s="57">
        <f>IF($C18="","",$Q18+$Y18+$Z18+$AA18)</f>
        <v/>
      </c>
      <c r="AC18" s="55">
        <f>IF(AND($C18&lt;&gt;"",$I18&gt;0),1,0)</f>
        <v/>
      </c>
      <c r="AD18" s="55">
        <f>SUM(AC$7:AC18)</f>
        <v/>
      </c>
      <c r="AE18" s="55">
        <f>IF(AND($C18&lt;&gt;"",$V18&gt;0),1,0)</f>
        <v/>
      </c>
      <c r="AF18" s="55">
        <f>SUM(AE$7:AE18)</f>
        <v/>
      </c>
      <c r="AG18" s="59">
        <f>IF($C18="","",IFERROR(INDEX(VARIABLES!$AY:$AY,$G18),0))</f>
        <v/>
      </c>
      <c r="AH18" s="57">
        <f>IF($C18="","",IF($H18=0,0,$AG18*(($F18/$H18)/heures_par_jour)*taux_majoration_nuit))</f>
        <v/>
      </c>
      <c r="AI18" s="59">
        <f>IF($C18="","",IFERROR(INDEX(VARIABLES!$AX:$AX,$G18),0))</f>
        <v/>
      </c>
      <c r="AJ18" s="57">
        <f>IF($C18="","",IF($H18=0,0,$AI18*($F18/$H18)*(1+taux_majoration_repos)))</f>
        <v/>
      </c>
    </row>
    <row r="19" ht="15" customHeight="1" s="15">
      <c r="B19" s="41" t="n">
        <v>13</v>
      </c>
      <c r="C19" s="41">
        <f>IF(EMPLOYES!C27="","",EMPLOYES!C27)</f>
        <v/>
      </c>
      <c r="D19" s="56">
        <f>IF(EMPLOYES!C27="","",EMPLOYES!D27)</f>
        <v/>
      </c>
      <c r="E19" s="41">
        <f>IF(EMPLOYES!C27="","",EMPLOYES!M27)</f>
        <v/>
      </c>
      <c r="F19" s="57">
        <f>IF(EMPLOYES!C27="","",EMPLOYES!Y27)</f>
        <v/>
      </c>
      <c r="G19" s="47">
        <f>INDEX(BULLETIN!$C$201:$C$212,MATCH(mois_courant_numero,BULLETIN!$B$201:$B$212,0))+12</f>
        <v/>
      </c>
      <c r="H19" s="41">
        <f>IF($C19="","",IF($E19="5j",jours_ouvrables_5j_mois_courant,jours_ouvrables_6j_mois_courant))</f>
        <v/>
      </c>
      <c r="I19" s="41">
        <f>IF($C19="","",IFERROR(INDEX(VARIABLES!$G:$G,$G19),0))</f>
        <v/>
      </c>
      <c r="J19" s="41">
        <f>IF($C19="","",MAX(0,$H19-$I19))</f>
        <v/>
      </c>
      <c r="K19" s="57">
        <f>IF($C19="","",IF($H19=0,0,($F19/$H19)*$J19))</f>
        <v/>
      </c>
      <c r="L19" s="59">
        <f>IF($C19="","",IFERROR(INDEX(VARIABLES!$E:$E,$G19),0))</f>
        <v/>
      </c>
      <c r="M19" s="57">
        <f>IF($C19="","",IF($H19=0,0,($F19/$H19/heures_par_jour)*(MIN($L19,6)*taux_majoration_hs+MAX($L19-6,0)*taux_majoration_hs_tier2)))</f>
        <v/>
      </c>
      <c r="N19" s="57">
        <f>IF($C19="","",IFERROR(INDEX(VARIABLES!$F:$F,$G19),0))</f>
        <v/>
      </c>
      <c r="O19" s="57">
        <f>IF($C19="","",allocation_familiale_enfant*EMPLOYES!O27)</f>
        <v/>
      </c>
      <c r="P19" s="57">
        <f>IF($C19="","",contrevaleur_logement)</f>
        <v/>
      </c>
      <c r="Q19" s="57">
        <f>IF($C19="","",$K19+$M19+$N19+$O19+$P19+$AH19+$AJ19)</f>
        <v/>
      </c>
      <c r="R19" s="57">
        <f>IF($C19="","",$Q19*t_cnss_pension_salarie)</f>
        <v/>
      </c>
      <c r="S19" s="57">
        <f>IF($C19="","",IF(opt_cnss_deductible_ipr="Oui",$Q19-$R19,$Q19))</f>
        <v/>
      </c>
      <c r="T19" s="57">
        <f>IF($C19="","",MAX(ipr_plancher,MIN((IF($S19&lt;=ipr_t1_sup_mensuel,$S19*ipr_taux1,IF($S19&lt;=ipr_t2_sup_mensuel,ipr_t1_sup_mensuel*ipr_taux1+($S19-ipr_t1_sup_mensuel)*ipr_taux2,IF($S19&lt;=ipr_t3_sup_mensuel,ipr_t1_sup_mensuel*ipr_taux1+(ipr_t2_sup_mensuel-ipr_t1_sup_mensuel)*ipr_taux2+($S19-ipr_t2_sup_mensuel)*ipr_taux3,ipr_t1_sup_mensuel*ipr_taux1+(ipr_t2_sup_mensuel-ipr_t1_sup_mensuel)*ipr_taux2+(ipr_t3_sup_mensuel-ipr_t2_sup_mensuel)*ipr_taux3+($S19-ipr_t3_sup_mensuel)*ipr_taux4))))-MIN(EMPLOYES!O27,9)*ipr_reduction_famille*(IF($S19&lt;=ipr_t1_sup_mensuel,$S19*ipr_taux1,IF($S19&lt;=ipr_t2_sup_mensuel,ipr_t1_sup_mensuel*ipr_taux1+($S19-ipr_t1_sup_mensuel)*ipr_taux2,IF($S19&lt;=ipr_t3_sup_mensuel,ipr_t1_sup_mensuel*ipr_taux1+(ipr_t2_sup_mensuel-ipr_t1_sup_mensuel)*ipr_taux2+($S19-ipr_t2_sup_mensuel)*ipr_taux3,ipr_t1_sup_mensuel*ipr_taux1+(ipr_t2_sup_mensuel-ipr_t1_sup_mensuel)*ipr_taux2+(ipr_t3_sup_mensuel-ipr_t2_sup_mensuel)*ipr_taux3+($S19-ipr_t3_sup_mensuel)*ipr_taux4)))),$S19*ipr_plafond_pct)))</f>
        <v/>
      </c>
      <c r="U19" s="57">
        <f>IF($C19="","",$Q19-$R19-$T19)</f>
        <v/>
      </c>
      <c r="V19" s="57">
        <f>IF($C19="","",IFERROR(INDEX(VARIABLES!$H:$H,$G19),0))</f>
        <v/>
      </c>
      <c r="W19" s="57">
        <f>IF($C19="","",IFERROR(INDEX(VARIABLES!$J:$J,$G19),0))</f>
        <v/>
      </c>
      <c r="X19" s="57">
        <f>IF($C19="","",$U19-$V19-$W19)</f>
        <v/>
      </c>
      <c r="Y19" s="57">
        <f>IF($C19="","",$Q19*t_cnss_total_employeur)</f>
        <v/>
      </c>
      <c r="Z19" s="57">
        <f>IF($C19="","",$Q19*t_inpp_applicable)</f>
        <v/>
      </c>
      <c r="AA19" s="57">
        <f>IF($C19="","",$Q19*t_onem)</f>
        <v/>
      </c>
      <c r="AB19" s="57">
        <f>IF($C19="","",$Q19+$Y19+$Z19+$AA19)</f>
        <v/>
      </c>
      <c r="AC19" s="55">
        <f>IF(AND($C19&lt;&gt;"",$I19&gt;0),1,0)</f>
        <v/>
      </c>
      <c r="AD19" s="55">
        <f>SUM(AC$7:AC19)</f>
        <v/>
      </c>
      <c r="AE19" s="55">
        <f>IF(AND($C19&lt;&gt;"",$V19&gt;0),1,0)</f>
        <v/>
      </c>
      <c r="AF19" s="55">
        <f>SUM(AE$7:AE19)</f>
        <v/>
      </c>
      <c r="AG19" s="59">
        <f>IF($C19="","",IFERROR(INDEX(VARIABLES!$AY:$AY,$G19),0))</f>
        <v/>
      </c>
      <c r="AH19" s="57">
        <f>IF($C19="","",IF($H19=0,0,$AG19*(($F19/$H19)/heures_par_jour)*taux_majoration_nuit))</f>
        <v/>
      </c>
      <c r="AI19" s="59">
        <f>IF($C19="","",IFERROR(INDEX(VARIABLES!$AX:$AX,$G19),0))</f>
        <v/>
      </c>
      <c r="AJ19" s="57">
        <f>IF($C19="","",IF($H19=0,0,$AI19*($F19/$H19)*(1+taux_majoration_repos)))</f>
        <v/>
      </c>
    </row>
    <row r="20" ht="15" customHeight="1" s="15">
      <c r="B20" s="41" t="n">
        <v>14</v>
      </c>
      <c r="C20" s="41">
        <f>IF(EMPLOYES!C28="","",EMPLOYES!C28)</f>
        <v/>
      </c>
      <c r="D20" s="56">
        <f>IF(EMPLOYES!C28="","",EMPLOYES!D28)</f>
        <v/>
      </c>
      <c r="E20" s="41">
        <f>IF(EMPLOYES!C28="","",EMPLOYES!M28)</f>
        <v/>
      </c>
      <c r="F20" s="57">
        <f>IF(EMPLOYES!C28="","",EMPLOYES!Y28)</f>
        <v/>
      </c>
      <c r="G20" s="47">
        <f>INDEX(BULLETIN!$C$201:$C$212,MATCH(mois_courant_numero,BULLETIN!$B$201:$B$212,0))+13</f>
        <v/>
      </c>
      <c r="H20" s="41">
        <f>IF($C20="","",IF($E20="5j",jours_ouvrables_5j_mois_courant,jours_ouvrables_6j_mois_courant))</f>
        <v/>
      </c>
      <c r="I20" s="41">
        <f>IF($C20="","",IFERROR(INDEX(VARIABLES!$G:$G,$G20),0))</f>
        <v/>
      </c>
      <c r="J20" s="41">
        <f>IF($C20="","",MAX(0,$H20-$I20))</f>
        <v/>
      </c>
      <c r="K20" s="57">
        <f>IF($C20="","",IF($H20=0,0,($F20/$H20)*$J20))</f>
        <v/>
      </c>
      <c r="L20" s="59">
        <f>IF($C20="","",IFERROR(INDEX(VARIABLES!$E:$E,$G20),0))</f>
        <v/>
      </c>
      <c r="M20" s="57">
        <f>IF($C20="","",IF($H20=0,0,($F20/$H20/heures_par_jour)*(MIN($L20,6)*taux_majoration_hs+MAX($L20-6,0)*taux_majoration_hs_tier2)))</f>
        <v/>
      </c>
      <c r="N20" s="57">
        <f>IF($C20="","",IFERROR(INDEX(VARIABLES!$F:$F,$G20),0))</f>
        <v/>
      </c>
      <c r="O20" s="57">
        <f>IF($C20="","",allocation_familiale_enfant*EMPLOYES!O28)</f>
        <v/>
      </c>
      <c r="P20" s="57">
        <f>IF($C20="","",contrevaleur_logement)</f>
        <v/>
      </c>
      <c r="Q20" s="57">
        <f>IF($C20="","",$K20+$M20+$N20+$O20+$P20+$AH20+$AJ20)</f>
        <v/>
      </c>
      <c r="R20" s="57">
        <f>IF($C20="","",$Q20*t_cnss_pension_salarie)</f>
        <v/>
      </c>
      <c r="S20" s="57">
        <f>IF($C20="","",IF(opt_cnss_deductible_ipr="Oui",$Q20-$R20,$Q20))</f>
        <v/>
      </c>
      <c r="T20" s="57">
        <f>IF($C20="","",MAX(ipr_plancher,MIN((IF($S20&lt;=ipr_t1_sup_mensuel,$S20*ipr_taux1,IF($S20&lt;=ipr_t2_sup_mensuel,ipr_t1_sup_mensuel*ipr_taux1+($S20-ipr_t1_sup_mensuel)*ipr_taux2,IF($S20&lt;=ipr_t3_sup_mensuel,ipr_t1_sup_mensuel*ipr_taux1+(ipr_t2_sup_mensuel-ipr_t1_sup_mensuel)*ipr_taux2+($S20-ipr_t2_sup_mensuel)*ipr_taux3,ipr_t1_sup_mensuel*ipr_taux1+(ipr_t2_sup_mensuel-ipr_t1_sup_mensuel)*ipr_taux2+(ipr_t3_sup_mensuel-ipr_t2_sup_mensuel)*ipr_taux3+($S20-ipr_t3_sup_mensuel)*ipr_taux4))))-MIN(EMPLOYES!O28,9)*ipr_reduction_famille*(IF($S20&lt;=ipr_t1_sup_mensuel,$S20*ipr_taux1,IF($S20&lt;=ipr_t2_sup_mensuel,ipr_t1_sup_mensuel*ipr_taux1+($S20-ipr_t1_sup_mensuel)*ipr_taux2,IF($S20&lt;=ipr_t3_sup_mensuel,ipr_t1_sup_mensuel*ipr_taux1+(ipr_t2_sup_mensuel-ipr_t1_sup_mensuel)*ipr_taux2+($S20-ipr_t2_sup_mensuel)*ipr_taux3,ipr_t1_sup_mensuel*ipr_taux1+(ipr_t2_sup_mensuel-ipr_t1_sup_mensuel)*ipr_taux2+(ipr_t3_sup_mensuel-ipr_t2_sup_mensuel)*ipr_taux3+($S20-ipr_t3_sup_mensuel)*ipr_taux4)))),$S20*ipr_plafond_pct)))</f>
        <v/>
      </c>
      <c r="U20" s="57">
        <f>IF($C20="","",$Q20-$R20-$T20)</f>
        <v/>
      </c>
      <c r="V20" s="57">
        <f>IF($C20="","",IFERROR(INDEX(VARIABLES!$H:$H,$G20),0))</f>
        <v/>
      </c>
      <c r="W20" s="57">
        <f>IF($C20="","",IFERROR(INDEX(VARIABLES!$J:$J,$G20),0))</f>
        <v/>
      </c>
      <c r="X20" s="57">
        <f>IF($C20="","",$U20-$V20-$W20)</f>
        <v/>
      </c>
      <c r="Y20" s="57">
        <f>IF($C20="","",$Q20*t_cnss_total_employeur)</f>
        <v/>
      </c>
      <c r="Z20" s="57">
        <f>IF($C20="","",$Q20*t_inpp_applicable)</f>
        <v/>
      </c>
      <c r="AA20" s="57">
        <f>IF($C20="","",$Q20*t_onem)</f>
        <v/>
      </c>
      <c r="AB20" s="57">
        <f>IF($C20="","",$Q20+$Y20+$Z20+$AA20)</f>
        <v/>
      </c>
      <c r="AC20" s="55">
        <f>IF(AND($C20&lt;&gt;"",$I20&gt;0),1,0)</f>
        <v/>
      </c>
      <c r="AD20" s="55">
        <f>SUM(AC$7:AC20)</f>
        <v/>
      </c>
      <c r="AE20" s="55">
        <f>IF(AND($C20&lt;&gt;"",$V20&gt;0),1,0)</f>
        <v/>
      </c>
      <c r="AF20" s="55">
        <f>SUM(AE$7:AE20)</f>
        <v/>
      </c>
      <c r="AG20" s="59">
        <f>IF($C20="","",IFERROR(INDEX(VARIABLES!$AY:$AY,$G20),0))</f>
        <v/>
      </c>
      <c r="AH20" s="57">
        <f>IF($C20="","",IF($H20=0,0,$AG20*(($F20/$H20)/heures_par_jour)*taux_majoration_nuit))</f>
        <v/>
      </c>
      <c r="AI20" s="59">
        <f>IF($C20="","",IFERROR(INDEX(VARIABLES!$AX:$AX,$G20),0))</f>
        <v/>
      </c>
      <c r="AJ20" s="57">
        <f>IF($C20="","",IF($H20=0,0,$AI20*($F20/$H20)*(1+taux_majoration_repos)))</f>
        <v/>
      </c>
    </row>
    <row r="21" ht="15" customHeight="1" s="15">
      <c r="B21" s="41" t="n">
        <v>15</v>
      </c>
      <c r="C21" s="41">
        <f>IF(EMPLOYES!C29="","",EMPLOYES!C29)</f>
        <v/>
      </c>
      <c r="D21" s="56">
        <f>IF(EMPLOYES!C29="","",EMPLOYES!D29)</f>
        <v/>
      </c>
      <c r="E21" s="41">
        <f>IF(EMPLOYES!C29="","",EMPLOYES!M29)</f>
        <v/>
      </c>
      <c r="F21" s="57">
        <f>IF(EMPLOYES!C29="","",EMPLOYES!Y29)</f>
        <v/>
      </c>
      <c r="G21" s="47">
        <f>INDEX(BULLETIN!$C$201:$C$212,MATCH(mois_courant_numero,BULLETIN!$B$201:$B$212,0))+14</f>
        <v/>
      </c>
      <c r="H21" s="41">
        <f>IF($C21="","",IF($E21="5j",jours_ouvrables_5j_mois_courant,jours_ouvrables_6j_mois_courant))</f>
        <v/>
      </c>
      <c r="I21" s="41">
        <f>IF($C21="","",IFERROR(INDEX(VARIABLES!$G:$G,$G21),0))</f>
        <v/>
      </c>
      <c r="J21" s="41">
        <f>IF($C21="","",MAX(0,$H21-$I21))</f>
        <v/>
      </c>
      <c r="K21" s="57">
        <f>IF($C21="","",IF($H21=0,0,($F21/$H21)*$J21))</f>
        <v/>
      </c>
      <c r="L21" s="59">
        <f>IF($C21="","",IFERROR(INDEX(VARIABLES!$E:$E,$G21),0))</f>
        <v/>
      </c>
      <c r="M21" s="57">
        <f>IF($C21="","",IF($H21=0,0,($F21/$H21/heures_par_jour)*(MIN($L21,6)*taux_majoration_hs+MAX($L21-6,0)*taux_majoration_hs_tier2)))</f>
        <v/>
      </c>
      <c r="N21" s="57">
        <f>IF($C21="","",IFERROR(INDEX(VARIABLES!$F:$F,$G21),0))</f>
        <v/>
      </c>
      <c r="O21" s="57">
        <f>IF($C21="","",allocation_familiale_enfant*EMPLOYES!O29)</f>
        <v/>
      </c>
      <c r="P21" s="57">
        <f>IF($C21="","",contrevaleur_logement)</f>
        <v/>
      </c>
      <c r="Q21" s="57">
        <f>IF($C21="","",$K21+$M21+$N21+$O21+$P21+$AH21+$AJ21)</f>
        <v/>
      </c>
      <c r="R21" s="57">
        <f>IF($C21="","",$Q21*t_cnss_pension_salarie)</f>
        <v/>
      </c>
      <c r="S21" s="57">
        <f>IF($C21="","",IF(opt_cnss_deductible_ipr="Oui",$Q21-$R21,$Q21))</f>
        <v/>
      </c>
      <c r="T21" s="57">
        <f>IF($C21="","",MAX(ipr_plancher,MIN((IF($S21&lt;=ipr_t1_sup_mensuel,$S21*ipr_taux1,IF($S21&lt;=ipr_t2_sup_mensuel,ipr_t1_sup_mensuel*ipr_taux1+($S21-ipr_t1_sup_mensuel)*ipr_taux2,IF($S21&lt;=ipr_t3_sup_mensuel,ipr_t1_sup_mensuel*ipr_taux1+(ipr_t2_sup_mensuel-ipr_t1_sup_mensuel)*ipr_taux2+($S21-ipr_t2_sup_mensuel)*ipr_taux3,ipr_t1_sup_mensuel*ipr_taux1+(ipr_t2_sup_mensuel-ipr_t1_sup_mensuel)*ipr_taux2+(ipr_t3_sup_mensuel-ipr_t2_sup_mensuel)*ipr_taux3+($S21-ipr_t3_sup_mensuel)*ipr_taux4))))-MIN(EMPLOYES!O29,9)*ipr_reduction_famille*(IF($S21&lt;=ipr_t1_sup_mensuel,$S21*ipr_taux1,IF($S21&lt;=ipr_t2_sup_mensuel,ipr_t1_sup_mensuel*ipr_taux1+($S21-ipr_t1_sup_mensuel)*ipr_taux2,IF($S21&lt;=ipr_t3_sup_mensuel,ipr_t1_sup_mensuel*ipr_taux1+(ipr_t2_sup_mensuel-ipr_t1_sup_mensuel)*ipr_taux2+($S21-ipr_t2_sup_mensuel)*ipr_taux3,ipr_t1_sup_mensuel*ipr_taux1+(ipr_t2_sup_mensuel-ipr_t1_sup_mensuel)*ipr_taux2+(ipr_t3_sup_mensuel-ipr_t2_sup_mensuel)*ipr_taux3+($S21-ipr_t3_sup_mensuel)*ipr_taux4)))),$S21*ipr_plafond_pct)))</f>
        <v/>
      </c>
      <c r="U21" s="57">
        <f>IF($C21="","",$Q21-$R21-$T21)</f>
        <v/>
      </c>
      <c r="V21" s="57">
        <f>IF($C21="","",IFERROR(INDEX(VARIABLES!$H:$H,$G21),0))</f>
        <v/>
      </c>
      <c r="W21" s="57">
        <f>IF($C21="","",IFERROR(INDEX(VARIABLES!$J:$J,$G21),0))</f>
        <v/>
      </c>
      <c r="X21" s="57">
        <f>IF($C21="","",$U21-$V21-$W21)</f>
        <v/>
      </c>
      <c r="Y21" s="57">
        <f>IF($C21="","",$Q21*t_cnss_total_employeur)</f>
        <v/>
      </c>
      <c r="Z21" s="57">
        <f>IF($C21="","",$Q21*t_inpp_applicable)</f>
        <v/>
      </c>
      <c r="AA21" s="57">
        <f>IF($C21="","",$Q21*t_onem)</f>
        <v/>
      </c>
      <c r="AB21" s="57">
        <f>IF($C21="","",$Q21+$Y21+$Z21+$AA21)</f>
        <v/>
      </c>
      <c r="AC21" s="55">
        <f>IF(AND($C21&lt;&gt;"",$I21&gt;0),1,0)</f>
        <v/>
      </c>
      <c r="AD21" s="55">
        <f>SUM(AC$7:AC21)</f>
        <v/>
      </c>
      <c r="AE21" s="55">
        <f>IF(AND($C21&lt;&gt;"",$V21&gt;0),1,0)</f>
        <v/>
      </c>
      <c r="AF21" s="55">
        <f>SUM(AE$7:AE21)</f>
        <v/>
      </c>
      <c r="AG21" s="59">
        <f>IF($C21="","",IFERROR(INDEX(VARIABLES!$AY:$AY,$G21),0))</f>
        <v/>
      </c>
      <c r="AH21" s="57">
        <f>IF($C21="","",IF($H21=0,0,$AG21*(($F21/$H21)/heures_par_jour)*taux_majoration_nuit))</f>
        <v/>
      </c>
      <c r="AI21" s="59">
        <f>IF($C21="","",IFERROR(INDEX(VARIABLES!$AX:$AX,$G21),0))</f>
        <v/>
      </c>
      <c r="AJ21" s="57">
        <f>IF($C21="","",IF($H21=0,0,$AI21*($F21/$H21)*(1+taux_majoration_repos)))</f>
        <v/>
      </c>
    </row>
    <row r="22" ht="15" customHeight="1" s="15">
      <c r="B22" s="41" t="n">
        <v>16</v>
      </c>
      <c r="C22" s="41">
        <f>IF(EMPLOYES!C30="","",EMPLOYES!C30)</f>
        <v/>
      </c>
      <c r="D22" s="56">
        <f>IF(EMPLOYES!C30="","",EMPLOYES!D30)</f>
        <v/>
      </c>
      <c r="E22" s="41">
        <f>IF(EMPLOYES!C30="","",EMPLOYES!M30)</f>
        <v/>
      </c>
      <c r="F22" s="57">
        <f>IF(EMPLOYES!C30="","",EMPLOYES!Y30)</f>
        <v/>
      </c>
      <c r="G22" s="47">
        <f>INDEX(BULLETIN!$C$201:$C$212,MATCH(mois_courant_numero,BULLETIN!$B$201:$B$212,0))+15</f>
        <v/>
      </c>
      <c r="H22" s="41">
        <f>IF($C22="","",IF($E22="5j",jours_ouvrables_5j_mois_courant,jours_ouvrables_6j_mois_courant))</f>
        <v/>
      </c>
      <c r="I22" s="41">
        <f>IF($C22="","",IFERROR(INDEX(VARIABLES!$G:$G,$G22),0))</f>
        <v/>
      </c>
      <c r="J22" s="41">
        <f>IF($C22="","",MAX(0,$H22-$I22))</f>
        <v/>
      </c>
      <c r="K22" s="57">
        <f>IF($C22="","",IF($H22=0,0,($F22/$H22)*$J22))</f>
        <v/>
      </c>
      <c r="L22" s="59">
        <f>IF($C22="","",IFERROR(INDEX(VARIABLES!$E:$E,$G22),0))</f>
        <v/>
      </c>
      <c r="M22" s="57">
        <f>IF($C22="","",IF($H22=0,0,($F22/$H22/heures_par_jour)*(MIN($L22,6)*taux_majoration_hs+MAX($L22-6,0)*taux_majoration_hs_tier2)))</f>
        <v/>
      </c>
      <c r="N22" s="57">
        <f>IF($C22="","",IFERROR(INDEX(VARIABLES!$F:$F,$G22),0))</f>
        <v/>
      </c>
      <c r="O22" s="57">
        <f>IF($C22="","",allocation_familiale_enfant*EMPLOYES!O30)</f>
        <v/>
      </c>
      <c r="P22" s="57">
        <f>IF($C22="","",contrevaleur_logement)</f>
        <v/>
      </c>
      <c r="Q22" s="57">
        <f>IF($C22="","",$K22+$M22+$N22+$O22+$P22+$AH22+$AJ22)</f>
        <v/>
      </c>
      <c r="R22" s="57">
        <f>IF($C22="","",$Q22*t_cnss_pension_salarie)</f>
        <v/>
      </c>
      <c r="S22" s="57">
        <f>IF($C22="","",IF(opt_cnss_deductible_ipr="Oui",$Q22-$R22,$Q22))</f>
        <v/>
      </c>
      <c r="T22" s="57">
        <f>IF($C22="","",MAX(ipr_plancher,MIN((IF($S22&lt;=ipr_t1_sup_mensuel,$S22*ipr_taux1,IF($S22&lt;=ipr_t2_sup_mensuel,ipr_t1_sup_mensuel*ipr_taux1+($S22-ipr_t1_sup_mensuel)*ipr_taux2,IF($S22&lt;=ipr_t3_sup_mensuel,ipr_t1_sup_mensuel*ipr_taux1+(ipr_t2_sup_mensuel-ipr_t1_sup_mensuel)*ipr_taux2+($S22-ipr_t2_sup_mensuel)*ipr_taux3,ipr_t1_sup_mensuel*ipr_taux1+(ipr_t2_sup_mensuel-ipr_t1_sup_mensuel)*ipr_taux2+(ipr_t3_sup_mensuel-ipr_t2_sup_mensuel)*ipr_taux3+($S22-ipr_t3_sup_mensuel)*ipr_taux4))))-MIN(EMPLOYES!O30,9)*ipr_reduction_famille*(IF($S22&lt;=ipr_t1_sup_mensuel,$S22*ipr_taux1,IF($S22&lt;=ipr_t2_sup_mensuel,ipr_t1_sup_mensuel*ipr_taux1+($S22-ipr_t1_sup_mensuel)*ipr_taux2,IF($S22&lt;=ipr_t3_sup_mensuel,ipr_t1_sup_mensuel*ipr_taux1+(ipr_t2_sup_mensuel-ipr_t1_sup_mensuel)*ipr_taux2+($S22-ipr_t2_sup_mensuel)*ipr_taux3,ipr_t1_sup_mensuel*ipr_taux1+(ipr_t2_sup_mensuel-ipr_t1_sup_mensuel)*ipr_taux2+(ipr_t3_sup_mensuel-ipr_t2_sup_mensuel)*ipr_taux3+($S22-ipr_t3_sup_mensuel)*ipr_taux4)))),$S22*ipr_plafond_pct)))</f>
        <v/>
      </c>
      <c r="U22" s="57">
        <f>IF($C22="","",$Q22-$R22-$T22)</f>
        <v/>
      </c>
      <c r="V22" s="57">
        <f>IF($C22="","",IFERROR(INDEX(VARIABLES!$H:$H,$G22),0))</f>
        <v/>
      </c>
      <c r="W22" s="57">
        <f>IF($C22="","",IFERROR(INDEX(VARIABLES!$J:$J,$G22),0))</f>
        <v/>
      </c>
      <c r="X22" s="57">
        <f>IF($C22="","",$U22-$V22-$W22)</f>
        <v/>
      </c>
      <c r="Y22" s="57">
        <f>IF($C22="","",$Q22*t_cnss_total_employeur)</f>
        <v/>
      </c>
      <c r="Z22" s="57">
        <f>IF($C22="","",$Q22*t_inpp_applicable)</f>
        <v/>
      </c>
      <c r="AA22" s="57">
        <f>IF($C22="","",$Q22*t_onem)</f>
        <v/>
      </c>
      <c r="AB22" s="57">
        <f>IF($C22="","",$Q22+$Y22+$Z22+$AA22)</f>
        <v/>
      </c>
      <c r="AC22" s="55">
        <f>IF(AND($C22&lt;&gt;"",$I22&gt;0),1,0)</f>
        <v/>
      </c>
      <c r="AD22" s="55">
        <f>SUM(AC$7:AC22)</f>
        <v/>
      </c>
      <c r="AE22" s="55">
        <f>IF(AND($C22&lt;&gt;"",$V22&gt;0),1,0)</f>
        <v/>
      </c>
      <c r="AF22" s="55">
        <f>SUM(AE$7:AE22)</f>
        <v/>
      </c>
      <c r="AG22" s="59">
        <f>IF($C22="","",IFERROR(INDEX(VARIABLES!$AY:$AY,$G22),0))</f>
        <v/>
      </c>
      <c r="AH22" s="57">
        <f>IF($C22="","",IF($H22=0,0,$AG22*(($F22/$H22)/heures_par_jour)*taux_majoration_nuit))</f>
        <v/>
      </c>
      <c r="AI22" s="59">
        <f>IF($C22="","",IFERROR(INDEX(VARIABLES!$AX:$AX,$G22),0))</f>
        <v/>
      </c>
      <c r="AJ22" s="57">
        <f>IF($C22="","",IF($H22=0,0,$AI22*($F22/$H22)*(1+taux_majoration_repos)))</f>
        <v/>
      </c>
    </row>
    <row r="23" ht="15" customHeight="1" s="15">
      <c r="B23" s="41" t="n">
        <v>17</v>
      </c>
      <c r="C23" s="41">
        <f>IF(EMPLOYES!C31="","",EMPLOYES!C31)</f>
        <v/>
      </c>
      <c r="D23" s="56">
        <f>IF(EMPLOYES!C31="","",EMPLOYES!D31)</f>
        <v/>
      </c>
      <c r="E23" s="41">
        <f>IF(EMPLOYES!C31="","",EMPLOYES!M31)</f>
        <v/>
      </c>
      <c r="F23" s="57">
        <f>IF(EMPLOYES!C31="","",EMPLOYES!Y31)</f>
        <v/>
      </c>
      <c r="G23" s="47">
        <f>INDEX(BULLETIN!$C$201:$C$212,MATCH(mois_courant_numero,BULLETIN!$B$201:$B$212,0))+16</f>
        <v/>
      </c>
      <c r="H23" s="41">
        <f>IF($C23="","",IF($E23="5j",jours_ouvrables_5j_mois_courant,jours_ouvrables_6j_mois_courant))</f>
        <v/>
      </c>
      <c r="I23" s="41">
        <f>IF($C23="","",IFERROR(INDEX(VARIABLES!$G:$G,$G23),0))</f>
        <v/>
      </c>
      <c r="J23" s="41">
        <f>IF($C23="","",MAX(0,$H23-$I23))</f>
        <v/>
      </c>
      <c r="K23" s="57">
        <f>IF($C23="","",IF($H23=0,0,($F23/$H23)*$J23))</f>
        <v/>
      </c>
      <c r="L23" s="59">
        <f>IF($C23="","",IFERROR(INDEX(VARIABLES!$E:$E,$G23),0))</f>
        <v/>
      </c>
      <c r="M23" s="57">
        <f>IF($C23="","",IF($H23=0,0,($F23/$H23/heures_par_jour)*(MIN($L23,6)*taux_majoration_hs+MAX($L23-6,0)*taux_majoration_hs_tier2)))</f>
        <v/>
      </c>
      <c r="N23" s="57">
        <f>IF($C23="","",IFERROR(INDEX(VARIABLES!$F:$F,$G23),0))</f>
        <v/>
      </c>
      <c r="O23" s="57">
        <f>IF($C23="","",allocation_familiale_enfant*EMPLOYES!O31)</f>
        <v/>
      </c>
      <c r="P23" s="57">
        <f>IF($C23="","",contrevaleur_logement)</f>
        <v/>
      </c>
      <c r="Q23" s="57">
        <f>IF($C23="","",$K23+$M23+$N23+$O23+$P23+$AH23+$AJ23)</f>
        <v/>
      </c>
      <c r="R23" s="57">
        <f>IF($C23="","",$Q23*t_cnss_pension_salarie)</f>
        <v/>
      </c>
      <c r="S23" s="57">
        <f>IF($C23="","",IF(opt_cnss_deductible_ipr="Oui",$Q23-$R23,$Q23))</f>
        <v/>
      </c>
      <c r="T23" s="57">
        <f>IF($C23="","",MAX(ipr_plancher,MIN((IF($S23&lt;=ipr_t1_sup_mensuel,$S23*ipr_taux1,IF($S23&lt;=ipr_t2_sup_mensuel,ipr_t1_sup_mensuel*ipr_taux1+($S23-ipr_t1_sup_mensuel)*ipr_taux2,IF($S23&lt;=ipr_t3_sup_mensuel,ipr_t1_sup_mensuel*ipr_taux1+(ipr_t2_sup_mensuel-ipr_t1_sup_mensuel)*ipr_taux2+($S23-ipr_t2_sup_mensuel)*ipr_taux3,ipr_t1_sup_mensuel*ipr_taux1+(ipr_t2_sup_mensuel-ipr_t1_sup_mensuel)*ipr_taux2+(ipr_t3_sup_mensuel-ipr_t2_sup_mensuel)*ipr_taux3+($S23-ipr_t3_sup_mensuel)*ipr_taux4))))-MIN(EMPLOYES!O31,9)*ipr_reduction_famille*(IF($S23&lt;=ipr_t1_sup_mensuel,$S23*ipr_taux1,IF($S23&lt;=ipr_t2_sup_mensuel,ipr_t1_sup_mensuel*ipr_taux1+($S23-ipr_t1_sup_mensuel)*ipr_taux2,IF($S23&lt;=ipr_t3_sup_mensuel,ipr_t1_sup_mensuel*ipr_taux1+(ipr_t2_sup_mensuel-ipr_t1_sup_mensuel)*ipr_taux2+($S23-ipr_t2_sup_mensuel)*ipr_taux3,ipr_t1_sup_mensuel*ipr_taux1+(ipr_t2_sup_mensuel-ipr_t1_sup_mensuel)*ipr_taux2+(ipr_t3_sup_mensuel-ipr_t2_sup_mensuel)*ipr_taux3+($S23-ipr_t3_sup_mensuel)*ipr_taux4)))),$S23*ipr_plafond_pct)))</f>
        <v/>
      </c>
      <c r="U23" s="57">
        <f>IF($C23="","",$Q23-$R23-$T23)</f>
        <v/>
      </c>
      <c r="V23" s="57">
        <f>IF($C23="","",IFERROR(INDEX(VARIABLES!$H:$H,$G23),0))</f>
        <v/>
      </c>
      <c r="W23" s="57">
        <f>IF($C23="","",IFERROR(INDEX(VARIABLES!$J:$J,$G23),0))</f>
        <v/>
      </c>
      <c r="X23" s="57">
        <f>IF($C23="","",$U23-$V23-$W23)</f>
        <v/>
      </c>
      <c r="Y23" s="57">
        <f>IF($C23="","",$Q23*t_cnss_total_employeur)</f>
        <v/>
      </c>
      <c r="Z23" s="57">
        <f>IF($C23="","",$Q23*t_inpp_applicable)</f>
        <v/>
      </c>
      <c r="AA23" s="57">
        <f>IF($C23="","",$Q23*t_onem)</f>
        <v/>
      </c>
      <c r="AB23" s="57">
        <f>IF($C23="","",$Q23+$Y23+$Z23+$AA23)</f>
        <v/>
      </c>
      <c r="AC23" s="55">
        <f>IF(AND($C23&lt;&gt;"",$I23&gt;0),1,0)</f>
        <v/>
      </c>
      <c r="AD23" s="55">
        <f>SUM(AC$7:AC23)</f>
        <v/>
      </c>
      <c r="AE23" s="55">
        <f>IF(AND($C23&lt;&gt;"",$V23&gt;0),1,0)</f>
        <v/>
      </c>
      <c r="AF23" s="55">
        <f>SUM(AE$7:AE23)</f>
        <v/>
      </c>
      <c r="AG23" s="59">
        <f>IF($C23="","",IFERROR(INDEX(VARIABLES!$AY:$AY,$G23),0))</f>
        <v/>
      </c>
      <c r="AH23" s="57">
        <f>IF($C23="","",IF($H23=0,0,$AG23*(($F23/$H23)/heures_par_jour)*taux_majoration_nuit))</f>
        <v/>
      </c>
      <c r="AI23" s="59">
        <f>IF($C23="","",IFERROR(INDEX(VARIABLES!$AX:$AX,$G23),0))</f>
        <v/>
      </c>
      <c r="AJ23" s="57">
        <f>IF($C23="","",IF($H23=0,0,$AI23*($F23/$H23)*(1+taux_majoration_repos)))</f>
        <v/>
      </c>
    </row>
    <row r="24" ht="15" customHeight="1" s="15">
      <c r="B24" s="41" t="n">
        <v>18</v>
      </c>
      <c r="C24" s="41">
        <f>IF(EMPLOYES!C32="","",EMPLOYES!C32)</f>
        <v/>
      </c>
      <c r="D24" s="56">
        <f>IF(EMPLOYES!C32="","",EMPLOYES!D32)</f>
        <v/>
      </c>
      <c r="E24" s="41">
        <f>IF(EMPLOYES!C32="","",EMPLOYES!M32)</f>
        <v/>
      </c>
      <c r="F24" s="57">
        <f>IF(EMPLOYES!C32="","",EMPLOYES!Y32)</f>
        <v/>
      </c>
      <c r="G24" s="47">
        <f>INDEX(BULLETIN!$C$201:$C$212,MATCH(mois_courant_numero,BULLETIN!$B$201:$B$212,0))+17</f>
        <v/>
      </c>
      <c r="H24" s="41">
        <f>IF($C24="","",IF($E24="5j",jours_ouvrables_5j_mois_courant,jours_ouvrables_6j_mois_courant))</f>
        <v/>
      </c>
      <c r="I24" s="41">
        <f>IF($C24="","",IFERROR(INDEX(VARIABLES!$G:$G,$G24),0))</f>
        <v/>
      </c>
      <c r="J24" s="41">
        <f>IF($C24="","",MAX(0,$H24-$I24))</f>
        <v/>
      </c>
      <c r="K24" s="57">
        <f>IF($C24="","",IF($H24=0,0,($F24/$H24)*$J24))</f>
        <v/>
      </c>
      <c r="L24" s="59">
        <f>IF($C24="","",IFERROR(INDEX(VARIABLES!$E:$E,$G24),0))</f>
        <v/>
      </c>
      <c r="M24" s="57">
        <f>IF($C24="","",IF($H24=0,0,($F24/$H24/heures_par_jour)*(MIN($L24,6)*taux_majoration_hs+MAX($L24-6,0)*taux_majoration_hs_tier2)))</f>
        <v/>
      </c>
      <c r="N24" s="57">
        <f>IF($C24="","",IFERROR(INDEX(VARIABLES!$F:$F,$G24),0))</f>
        <v/>
      </c>
      <c r="O24" s="57">
        <f>IF($C24="","",allocation_familiale_enfant*EMPLOYES!O32)</f>
        <v/>
      </c>
      <c r="P24" s="57">
        <f>IF($C24="","",contrevaleur_logement)</f>
        <v/>
      </c>
      <c r="Q24" s="57">
        <f>IF($C24="","",$K24+$M24+$N24+$O24+$P24+$AH24+$AJ24)</f>
        <v/>
      </c>
      <c r="R24" s="57">
        <f>IF($C24="","",$Q24*t_cnss_pension_salarie)</f>
        <v/>
      </c>
      <c r="S24" s="57">
        <f>IF($C24="","",IF(opt_cnss_deductible_ipr="Oui",$Q24-$R24,$Q24))</f>
        <v/>
      </c>
      <c r="T24" s="57">
        <f>IF($C24="","",MAX(ipr_plancher,MIN((IF($S24&lt;=ipr_t1_sup_mensuel,$S24*ipr_taux1,IF($S24&lt;=ipr_t2_sup_mensuel,ipr_t1_sup_mensuel*ipr_taux1+($S24-ipr_t1_sup_mensuel)*ipr_taux2,IF($S24&lt;=ipr_t3_sup_mensuel,ipr_t1_sup_mensuel*ipr_taux1+(ipr_t2_sup_mensuel-ipr_t1_sup_mensuel)*ipr_taux2+($S24-ipr_t2_sup_mensuel)*ipr_taux3,ipr_t1_sup_mensuel*ipr_taux1+(ipr_t2_sup_mensuel-ipr_t1_sup_mensuel)*ipr_taux2+(ipr_t3_sup_mensuel-ipr_t2_sup_mensuel)*ipr_taux3+($S24-ipr_t3_sup_mensuel)*ipr_taux4))))-MIN(EMPLOYES!O32,9)*ipr_reduction_famille*(IF($S24&lt;=ipr_t1_sup_mensuel,$S24*ipr_taux1,IF($S24&lt;=ipr_t2_sup_mensuel,ipr_t1_sup_mensuel*ipr_taux1+($S24-ipr_t1_sup_mensuel)*ipr_taux2,IF($S24&lt;=ipr_t3_sup_mensuel,ipr_t1_sup_mensuel*ipr_taux1+(ipr_t2_sup_mensuel-ipr_t1_sup_mensuel)*ipr_taux2+($S24-ipr_t2_sup_mensuel)*ipr_taux3,ipr_t1_sup_mensuel*ipr_taux1+(ipr_t2_sup_mensuel-ipr_t1_sup_mensuel)*ipr_taux2+(ipr_t3_sup_mensuel-ipr_t2_sup_mensuel)*ipr_taux3+($S24-ipr_t3_sup_mensuel)*ipr_taux4)))),$S24*ipr_plafond_pct)))</f>
        <v/>
      </c>
      <c r="U24" s="57">
        <f>IF($C24="","",$Q24-$R24-$T24)</f>
        <v/>
      </c>
      <c r="V24" s="57">
        <f>IF($C24="","",IFERROR(INDEX(VARIABLES!$H:$H,$G24),0))</f>
        <v/>
      </c>
      <c r="W24" s="57">
        <f>IF($C24="","",IFERROR(INDEX(VARIABLES!$J:$J,$G24),0))</f>
        <v/>
      </c>
      <c r="X24" s="57">
        <f>IF($C24="","",$U24-$V24-$W24)</f>
        <v/>
      </c>
      <c r="Y24" s="57">
        <f>IF($C24="","",$Q24*t_cnss_total_employeur)</f>
        <v/>
      </c>
      <c r="Z24" s="57">
        <f>IF($C24="","",$Q24*t_inpp_applicable)</f>
        <v/>
      </c>
      <c r="AA24" s="57">
        <f>IF($C24="","",$Q24*t_onem)</f>
        <v/>
      </c>
      <c r="AB24" s="57">
        <f>IF($C24="","",$Q24+$Y24+$Z24+$AA24)</f>
        <v/>
      </c>
      <c r="AC24" s="55">
        <f>IF(AND($C24&lt;&gt;"",$I24&gt;0),1,0)</f>
        <v/>
      </c>
      <c r="AD24" s="55">
        <f>SUM(AC$7:AC24)</f>
        <v/>
      </c>
      <c r="AE24" s="55">
        <f>IF(AND($C24&lt;&gt;"",$V24&gt;0),1,0)</f>
        <v/>
      </c>
      <c r="AF24" s="55">
        <f>SUM(AE$7:AE24)</f>
        <v/>
      </c>
      <c r="AG24" s="59">
        <f>IF($C24="","",IFERROR(INDEX(VARIABLES!$AY:$AY,$G24),0))</f>
        <v/>
      </c>
      <c r="AH24" s="57">
        <f>IF($C24="","",IF($H24=0,0,$AG24*(($F24/$H24)/heures_par_jour)*taux_majoration_nuit))</f>
        <v/>
      </c>
      <c r="AI24" s="59">
        <f>IF($C24="","",IFERROR(INDEX(VARIABLES!$AX:$AX,$G24),0))</f>
        <v/>
      </c>
      <c r="AJ24" s="57">
        <f>IF($C24="","",IF($H24=0,0,$AI24*($F24/$H24)*(1+taux_majoration_repos)))</f>
        <v/>
      </c>
    </row>
    <row r="25" ht="15" customHeight="1" s="15">
      <c r="B25" s="41" t="n">
        <v>19</v>
      </c>
      <c r="C25" s="41">
        <f>IF(EMPLOYES!C33="","",EMPLOYES!C33)</f>
        <v/>
      </c>
      <c r="D25" s="56">
        <f>IF(EMPLOYES!C33="","",EMPLOYES!D33)</f>
        <v/>
      </c>
      <c r="E25" s="41">
        <f>IF(EMPLOYES!C33="","",EMPLOYES!M33)</f>
        <v/>
      </c>
      <c r="F25" s="57">
        <f>IF(EMPLOYES!C33="","",EMPLOYES!Y33)</f>
        <v/>
      </c>
      <c r="G25" s="47">
        <f>INDEX(BULLETIN!$C$201:$C$212,MATCH(mois_courant_numero,BULLETIN!$B$201:$B$212,0))+18</f>
        <v/>
      </c>
      <c r="H25" s="41">
        <f>IF($C25="","",IF($E25="5j",jours_ouvrables_5j_mois_courant,jours_ouvrables_6j_mois_courant))</f>
        <v/>
      </c>
      <c r="I25" s="41">
        <f>IF($C25="","",IFERROR(INDEX(VARIABLES!$G:$G,$G25),0))</f>
        <v/>
      </c>
      <c r="J25" s="41">
        <f>IF($C25="","",MAX(0,$H25-$I25))</f>
        <v/>
      </c>
      <c r="K25" s="57">
        <f>IF($C25="","",IF($H25=0,0,($F25/$H25)*$J25))</f>
        <v/>
      </c>
      <c r="L25" s="59">
        <f>IF($C25="","",IFERROR(INDEX(VARIABLES!$E:$E,$G25),0))</f>
        <v/>
      </c>
      <c r="M25" s="57">
        <f>IF($C25="","",IF($H25=0,0,($F25/$H25/heures_par_jour)*(MIN($L25,6)*taux_majoration_hs+MAX($L25-6,0)*taux_majoration_hs_tier2)))</f>
        <v/>
      </c>
      <c r="N25" s="57">
        <f>IF($C25="","",IFERROR(INDEX(VARIABLES!$F:$F,$G25),0))</f>
        <v/>
      </c>
      <c r="O25" s="57">
        <f>IF($C25="","",allocation_familiale_enfant*EMPLOYES!O33)</f>
        <v/>
      </c>
      <c r="P25" s="57">
        <f>IF($C25="","",contrevaleur_logement)</f>
        <v/>
      </c>
      <c r="Q25" s="57">
        <f>IF($C25="","",$K25+$M25+$N25+$O25+$P25+$AH25+$AJ25)</f>
        <v/>
      </c>
      <c r="R25" s="57">
        <f>IF($C25="","",$Q25*t_cnss_pension_salarie)</f>
        <v/>
      </c>
      <c r="S25" s="57">
        <f>IF($C25="","",IF(opt_cnss_deductible_ipr="Oui",$Q25-$R25,$Q25))</f>
        <v/>
      </c>
      <c r="T25" s="57">
        <f>IF($C25="","",MAX(ipr_plancher,MIN((IF($S25&lt;=ipr_t1_sup_mensuel,$S25*ipr_taux1,IF($S25&lt;=ipr_t2_sup_mensuel,ipr_t1_sup_mensuel*ipr_taux1+($S25-ipr_t1_sup_mensuel)*ipr_taux2,IF($S25&lt;=ipr_t3_sup_mensuel,ipr_t1_sup_mensuel*ipr_taux1+(ipr_t2_sup_mensuel-ipr_t1_sup_mensuel)*ipr_taux2+($S25-ipr_t2_sup_mensuel)*ipr_taux3,ipr_t1_sup_mensuel*ipr_taux1+(ipr_t2_sup_mensuel-ipr_t1_sup_mensuel)*ipr_taux2+(ipr_t3_sup_mensuel-ipr_t2_sup_mensuel)*ipr_taux3+($S25-ipr_t3_sup_mensuel)*ipr_taux4))))-MIN(EMPLOYES!O33,9)*ipr_reduction_famille*(IF($S25&lt;=ipr_t1_sup_mensuel,$S25*ipr_taux1,IF($S25&lt;=ipr_t2_sup_mensuel,ipr_t1_sup_mensuel*ipr_taux1+($S25-ipr_t1_sup_mensuel)*ipr_taux2,IF($S25&lt;=ipr_t3_sup_mensuel,ipr_t1_sup_mensuel*ipr_taux1+(ipr_t2_sup_mensuel-ipr_t1_sup_mensuel)*ipr_taux2+($S25-ipr_t2_sup_mensuel)*ipr_taux3,ipr_t1_sup_mensuel*ipr_taux1+(ipr_t2_sup_mensuel-ipr_t1_sup_mensuel)*ipr_taux2+(ipr_t3_sup_mensuel-ipr_t2_sup_mensuel)*ipr_taux3+($S25-ipr_t3_sup_mensuel)*ipr_taux4)))),$S25*ipr_plafond_pct)))</f>
        <v/>
      </c>
      <c r="U25" s="57">
        <f>IF($C25="","",$Q25-$R25-$T25)</f>
        <v/>
      </c>
      <c r="V25" s="57">
        <f>IF($C25="","",IFERROR(INDEX(VARIABLES!$H:$H,$G25),0))</f>
        <v/>
      </c>
      <c r="W25" s="57">
        <f>IF($C25="","",IFERROR(INDEX(VARIABLES!$J:$J,$G25),0))</f>
        <v/>
      </c>
      <c r="X25" s="57">
        <f>IF($C25="","",$U25-$V25-$W25)</f>
        <v/>
      </c>
      <c r="Y25" s="57">
        <f>IF($C25="","",$Q25*t_cnss_total_employeur)</f>
        <v/>
      </c>
      <c r="Z25" s="57">
        <f>IF($C25="","",$Q25*t_inpp_applicable)</f>
        <v/>
      </c>
      <c r="AA25" s="57">
        <f>IF($C25="","",$Q25*t_onem)</f>
        <v/>
      </c>
      <c r="AB25" s="57">
        <f>IF($C25="","",$Q25+$Y25+$Z25+$AA25)</f>
        <v/>
      </c>
      <c r="AC25" s="55">
        <f>IF(AND($C25&lt;&gt;"",$I25&gt;0),1,0)</f>
        <v/>
      </c>
      <c r="AD25" s="55">
        <f>SUM(AC$7:AC25)</f>
        <v/>
      </c>
      <c r="AE25" s="55">
        <f>IF(AND($C25&lt;&gt;"",$V25&gt;0),1,0)</f>
        <v/>
      </c>
      <c r="AF25" s="55">
        <f>SUM(AE$7:AE25)</f>
        <v/>
      </c>
      <c r="AG25" s="59">
        <f>IF($C25="","",IFERROR(INDEX(VARIABLES!$AY:$AY,$G25),0))</f>
        <v/>
      </c>
      <c r="AH25" s="57">
        <f>IF($C25="","",IF($H25=0,0,$AG25*(($F25/$H25)/heures_par_jour)*taux_majoration_nuit))</f>
        <v/>
      </c>
      <c r="AI25" s="59">
        <f>IF($C25="","",IFERROR(INDEX(VARIABLES!$AX:$AX,$G25),0))</f>
        <v/>
      </c>
      <c r="AJ25" s="57">
        <f>IF($C25="","",IF($H25=0,0,$AI25*($F25/$H25)*(1+taux_majoration_repos)))</f>
        <v/>
      </c>
    </row>
    <row r="26" ht="15" customHeight="1" s="15">
      <c r="B26" s="41" t="n">
        <v>20</v>
      </c>
      <c r="C26" s="41">
        <f>IF(EMPLOYES!C34="","",EMPLOYES!C34)</f>
        <v/>
      </c>
      <c r="D26" s="56">
        <f>IF(EMPLOYES!C34="","",EMPLOYES!D34)</f>
        <v/>
      </c>
      <c r="E26" s="41">
        <f>IF(EMPLOYES!C34="","",EMPLOYES!M34)</f>
        <v/>
      </c>
      <c r="F26" s="57">
        <f>IF(EMPLOYES!C34="","",EMPLOYES!Y34)</f>
        <v/>
      </c>
      <c r="G26" s="47">
        <f>INDEX(BULLETIN!$C$201:$C$212,MATCH(mois_courant_numero,BULLETIN!$B$201:$B$212,0))+19</f>
        <v/>
      </c>
      <c r="H26" s="41">
        <f>IF($C26="","",IF($E26="5j",jours_ouvrables_5j_mois_courant,jours_ouvrables_6j_mois_courant))</f>
        <v/>
      </c>
      <c r="I26" s="41">
        <f>IF($C26="","",IFERROR(INDEX(VARIABLES!$G:$G,$G26),0))</f>
        <v/>
      </c>
      <c r="J26" s="41">
        <f>IF($C26="","",MAX(0,$H26-$I26))</f>
        <v/>
      </c>
      <c r="K26" s="57">
        <f>IF($C26="","",IF($H26=0,0,($F26/$H26)*$J26))</f>
        <v/>
      </c>
      <c r="L26" s="59">
        <f>IF($C26="","",IFERROR(INDEX(VARIABLES!$E:$E,$G26),0))</f>
        <v/>
      </c>
      <c r="M26" s="57">
        <f>IF($C26="","",IF($H26=0,0,($F26/$H26/heures_par_jour)*(MIN($L26,6)*taux_majoration_hs+MAX($L26-6,0)*taux_majoration_hs_tier2)))</f>
        <v/>
      </c>
      <c r="N26" s="57">
        <f>IF($C26="","",IFERROR(INDEX(VARIABLES!$F:$F,$G26),0))</f>
        <v/>
      </c>
      <c r="O26" s="57">
        <f>IF($C26="","",allocation_familiale_enfant*EMPLOYES!O34)</f>
        <v/>
      </c>
      <c r="P26" s="57">
        <f>IF($C26="","",contrevaleur_logement)</f>
        <v/>
      </c>
      <c r="Q26" s="57">
        <f>IF($C26="","",$K26+$M26+$N26+$O26+$P26+$AH26+$AJ26)</f>
        <v/>
      </c>
      <c r="R26" s="57">
        <f>IF($C26="","",$Q26*t_cnss_pension_salarie)</f>
        <v/>
      </c>
      <c r="S26" s="57">
        <f>IF($C26="","",IF(opt_cnss_deductible_ipr="Oui",$Q26-$R26,$Q26))</f>
        <v/>
      </c>
      <c r="T26" s="57">
        <f>IF($C26="","",MAX(ipr_plancher,MIN((IF($S26&lt;=ipr_t1_sup_mensuel,$S26*ipr_taux1,IF($S26&lt;=ipr_t2_sup_mensuel,ipr_t1_sup_mensuel*ipr_taux1+($S26-ipr_t1_sup_mensuel)*ipr_taux2,IF($S26&lt;=ipr_t3_sup_mensuel,ipr_t1_sup_mensuel*ipr_taux1+(ipr_t2_sup_mensuel-ipr_t1_sup_mensuel)*ipr_taux2+($S26-ipr_t2_sup_mensuel)*ipr_taux3,ipr_t1_sup_mensuel*ipr_taux1+(ipr_t2_sup_mensuel-ipr_t1_sup_mensuel)*ipr_taux2+(ipr_t3_sup_mensuel-ipr_t2_sup_mensuel)*ipr_taux3+($S26-ipr_t3_sup_mensuel)*ipr_taux4))))-MIN(EMPLOYES!O34,9)*ipr_reduction_famille*(IF($S26&lt;=ipr_t1_sup_mensuel,$S26*ipr_taux1,IF($S26&lt;=ipr_t2_sup_mensuel,ipr_t1_sup_mensuel*ipr_taux1+($S26-ipr_t1_sup_mensuel)*ipr_taux2,IF($S26&lt;=ipr_t3_sup_mensuel,ipr_t1_sup_mensuel*ipr_taux1+(ipr_t2_sup_mensuel-ipr_t1_sup_mensuel)*ipr_taux2+($S26-ipr_t2_sup_mensuel)*ipr_taux3,ipr_t1_sup_mensuel*ipr_taux1+(ipr_t2_sup_mensuel-ipr_t1_sup_mensuel)*ipr_taux2+(ipr_t3_sup_mensuel-ipr_t2_sup_mensuel)*ipr_taux3+($S26-ipr_t3_sup_mensuel)*ipr_taux4)))),$S26*ipr_plafond_pct)))</f>
        <v/>
      </c>
      <c r="U26" s="57">
        <f>IF($C26="","",$Q26-$R26-$T26)</f>
        <v/>
      </c>
      <c r="V26" s="57">
        <f>IF($C26="","",IFERROR(INDEX(VARIABLES!$H:$H,$G26),0))</f>
        <v/>
      </c>
      <c r="W26" s="57">
        <f>IF($C26="","",IFERROR(INDEX(VARIABLES!$J:$J,$G26),0))</f>
        <v/>
      </c>
      <c r="X26" s="57">
        <f>IF($C26="","",$U26-$V26-$W26)</f>
        <v/>
      </c>
      <c r="Y26" s="57">
        <f>IF($C26="","",$Q26*t_cnss_total_employeur)</f>
        <v/>
      </c>
      <c r="Z26" s="57">
        <f>IF($C26="","",$Q26*t_inpp_applicable)</f>
        <v/>
      </c>
      <c r="AA26" s="57">
        <f>IF($C26="","",$Q26*t_onem)</f>
        <v/>
      </c>
      <c r="AB26" s="57">
        <f>IF($C26="","",$Q26+$Y26+$Z26+$AA26)</f>
        <v/>
      </c>
      <c r="AC26" s="55">
        <f>IF(AND($C26&lt;&gt;"",$I26&gt;0),1,0)</f>
        <v/>
      </c>
      <c r="AD26" s="55">
        <f>SUM(AC$7:AC26)</f>
        <v/>
      </c>
      <c r="AE26" s="55">
        <f>IF(AND($C26&lt;&gt;"",$V26&gt;0),1,0)</f>
        <v/>
      </c>
      <c r="AF26" s="55">
        <f>SUM(AE$7:AE26)</f>
        <v/>
      </c>
      <c r="AG26" s="59">
        <f>IF($C26="","",IFERROR(INDEX(VARIABLES!$AY:$AY,$G26),0))</f>
        <v/>
      </c>
      <c r="AH26" s="57">
        <f>IF($C26="","",IF($H26=0,0,$AG26*(($F26/$H26)/heures_par_jour)*taux_majoration_nuit))</f>
        <v/>
      </c>
      <c r="AI26" s="59">
        <f>IF($C26="","",IFERROR(INDEX(VARIABLES!$AX:$AX,$G26),0))</f>
        <v/>
      </c>
      <c r="AJ26" s="57">
        <f>IF($C26="","",IF($H26=0,0,$AI26*($F26/$H26)*(1+taux_majoration_repos)))</f>
        <v/>
      </c>
    </row>
    <row r="27" ht="15" customHeight="1" s="15">
      <c r="B27" s="41" t="n">
        <v>21</v>
      </c>
      <c r="C27" s="41">
        <f>IF(EMPLOYES!C35="","",EMPLOYES!C35)</f>
        <v/>
      </c>
      <c r="D27" s="56">
        <f>IF(EMPLOYES!C35="","",EMPLOYES!D35)</f>
        <v/>
      </c>
      <c r="E27" s="41">
        <f>IF(EMPLOYES!C35="","",EMPLOYES!M35)</f>
        <v/>
      </c>
      <c r="F27" s="57">
        <f>IF(EMPLOYES!C35="","",EMPLOYES!Y35)</f>
        <v/>
      </c>
      <c r="G27" s="47">
        <f>INDEX(BULLETIN!$C$201:$C$212,MATCH(mois_courant_numero,BULLETIN!$B$201:$B$212,0))+20</f>
        <v/>
      </c>
      <c r="H27" s="41">
        <f>IF($C27="","",IF($E27="5j",jours_ouvrables_5j_mois_courant,jours_ouvrables_6j_mois_courant))</f>
        <v/>
      </c>
      <c r="I27" s="41">
        <f>IF($C27="","",IFERROR(INDEX(VARIABLES!$G:$G,$G27),0))</f>
        <v/>
      </c>
      <c r="J27" s="41">
        <f>IF($C27="","",MAX(0,$H27-$I27))</f>
        <v/>
      </c>
      <c r="K27" s="57">
        <f>IF($C27="","",IF($H27=0,0,($F27/$H27)*$J27))</f>
        <v/>
      </c>
      <c r="L27" s="59">
        <f>IF($C27="","",IFERROR(INDEX(VARIABLES!$E:$E,$G27),0))</f>
        <v/>
      </c>
      <c r="M27" s="57">
        <f>IF($C27="","",IF($H27=0,0,($F27/$H27/heures_par_jour)*(MIN($L27,6)*taux_majoration_hs+MAX($L27-6,0)*taux_majoration_hs_tier2)))</f>
        <v/>
      </c>
      <c r="N27" s="57">
        <f>IF($C27="","",IFERROR(INDEX(VARIABLES!$F:$F,$G27),0))</f>
        <v/>
      </c>
      <c r="O27" s="57">
        <f>IF($C27="","",allocation_familiale_enfant*EMPLOYES!O35)</f>
        <v/>
      </c>
      <c r="P27" s="57">
        <f>IF($C27="","",contrevaleur_logement)</f>
        <v/>
      </c>
      <c r="Q27" s="57">
        <f>IF($C27="","",$K27+$M27+$N27+$O27+$P27+$AH27+$AJ27)</f>
        <v/>
      </c>
      <c r="R27" s="57">
        <f>IF($C27="","",$Q27*t_cnss_pension_salarie)</f>
        <v/>
      </c>
      <c r="S27" s="57">
        <f>IF($C27="","",IF(opt_cnss_deductible_ipr="Oui",$Q27-$R27,$Q27))</f>
        <v/>
      </c>
      <c r="T27" s="57">
        <f>IF($C27="","",MAX(ipr_plancher,MIN((IF($S27&lt;=ipr_t1_sup_mensuel,$S27*ipr_taux1,IF($S27&lt;=ipr_t2_sup_mensuel,ipr_t1_sup_mensuel*ipr_taux1+($S27-ipr_t1_sup_mensuel)*ipr_taux2,IF($S27&lt;=ipr_t3_sup_mensuel,ipr_t1_sup_mensuel*ipr_taux1+(ipr_t2_sup_mensuel-ipr_t1_sup_mensuel)*ipr_taux2+($S27-ipr_t2_sup_mensuel)*ipr_taux3,ipr_t1_sup_mensuel*ipr_taux1+(ipr_t2_sup_mensuel-ipr_t1_sup_mensuel)*ipr_taux2+(ipr_t3_sup_mensuel-ipr_t2_sup_mensuel)*ipr_taux3+($S27-ipr_t3_sup_mensuel)*ipr_taux4))))-MIN(EMPLOYES!O35,9)*ipr_reduction_famille*(IF($S27&lt;=ipr_t1_sup_mensuel,$S27*ipr_taux1,IF($S27&lt;=ipr_t2_sup_mensuel,ipr_t1_sup_mensuel*ipr_taux1+($S27-ipr_t1_sup_mensuel)*ipr_taux2,IF($S27&lt;=ipr_t3_sup_mensuel,ipr_t1_sup_mensuel*ipr_taux1+(ipr_t2_sup_mensuel-ipr_t1_sup_mensuel)*ipr_taux2+($S27-ipr_t2_sup_mensuel)*ipr_taux3,ipr_t1_sup_mensuel*ipr_taux1+(ipr_t2_sup_mensuel-ipr_t1_sup_mensuel)*ipr_taux2+(ipr_t3_sup_mensuel-ipr_t2_sup_mensuel)*ipr_taux3+($S27-ipr_t3_sup_mensuel)*ipr_taux4)))),$S27*ipr_plafond_pct)))</f>
        <v/>
      </c>
      <c r="U27" s="57">
        <f>IF($C27="","",$Q27-$R27-$T27)</f>
        <v/>
      </c>
      <c r="V27" s="57">
        <f>IF($C27="","",IFERROR(INDEX(VARIABLES!$H:$H,$G27),0))</f>
        <v/>
      </c>
      <c r="W27" s="57">
        <f>IF($C27="","",IFERROR(INDEX(VARIABLES!$J:$J,$G27),0))</f>
        <v/>
      </c>
      <c r="X27" s="57">
        <f>IF($C27="","",$U27-$V27-$W27)</f>
        <v/>
      </c>
      <c r="Y27" s="57">
        <f>IF($C27="","",$Q27*t_cnss_total_employeur)</f>
        <v/>
      </c>
      <c r="Z27" s="57">
        <f>IF($C27="","",$Q27*t_inpp_applicable)</f>
        <v/>
      </c>
      <c r="AA27" s="57">
        <f>IF($C27="","",$Q27*t_onem)</f>
        <v/>
      </c>
      <c r="AB27" s="57">
        <f>IF($C27="","",$Q27+$Y27+$Z27+$AA27)</f>
        <v/>
      </c>
      <c r="AC27" s="55">
        <f>IF(AND($C27&lt;&gt;"",$I27&gt;0),1,0)</f>
        <v/>
      </c>
      <c r="AD27" s="55">
        <f>SUM(AC$7:AC27)</f>
        <v/>
      </c>
      <c r="AE27" s="55">
        <f>IF(AND($C27&lt;&gt;"",$V27&gt;0),1,0)</f>
        <v/>
      </c>
      <c r="AF27" s="55">
        <f>SUM(AE$7:AE27)</f>
        <v/>
      </c>
      <c r="AG27" s="59">
        <f>IF($C27="","",IFERROR(INDEX(VARIABLES!$AY:$AY,$G27),0))</f>
        <v/>
      </c>
      <c r="AH27" s="57">
        <f>IF($C27="","",IF($H27=0,0,$AG27*(($F27/$H27)/heures_par_jour)*taux_majoration_nuit))</f>
        <v/>
      </c>
      <c r="AI27" s="59">
        <f>IF($C27="","",IFERROR(INDEX(VARIABLES!$AX:$AX,$G27),0))</f>
        <v/>
      </c>
      <c r="AJ27" s="57">
        <f>IF($C27="","",IF($H27=0,0,$AI27*($F27/$H27)*(1+taux_majoration_repos)))</f>
        <v/>
      </c>
    </row>
    <row r="28" ht="15" customHeight="1" s="15">
      <c r="B28" s="41" t="n">
        <v>22</v>
      </c>
      <c r="C28" s="41">
        <f>IF(EMPLOYES!C36="","",EMPLOYES!C36)</f>
        <v/>
      </c>
      <c r="D28" s="56">
        <f>IF(EMPLOYES!C36="","",EMPLOYES!D36)</f>
        <v/>
      </c>
      <c r="E28" s="41">
        <f>IF(EMPLOYES!C36="","",EMPLOYES!M36)</f>
        <v/>
      </c>
      <c r="F28" s="57">
        <f>IF(EMPLOYES!C36="","",EMPLOYES!Y36)</f>
        <v/>
      </c>
      <c r="G28" s="47">
        <f>INDEX(BULLETIN!$C$201:$C$212,MATCH(mois_courant_numero,BULLETIN!$B$201:$B$212,0))+21</f>
        <v/>
      </c>
      <c r="H28" s="41">
        <f>IF($C28="","",IF($E28="5j",jours_ouvrables_5j_mois_courant,jours_ouvrables_6j_mois_courant))</f>
        <v/>
      </c>
      <c r="I28" s="41">
        <f>IF($C28="","",IFERROR(INDEX(VARIABLES!$G:$G,$G28),0))</f>
        <v/>
      </c>
      <c r="J28" s="41">
        <f>IF($C28="","",MAX(0,$H28-$I28))</f>
        <v/>
      </c>
      <c r="K28" s="57">
        <f>IF($C28="","",IF($H28=0,0,($F28/$H28)*$J28))</f>
        <v/>
      </c>
      <c r="L28" s="59">
        <f>IF($C28="","",IFERROR(INDEX(VARIABLES!$E:$E,$G28),0))</f>
        <v/>
      </c>
      <c r="M28" s="57">
        <f>IF($C28="","",IF($H28=0,0,($F28/$H28/heures_par_jour)*(MIN($L28,6)*taux_majoration_hs+MAX($L28-6,0)*taux_majoration_hs_tier2)))</f>
        <v/>
      </c>
      <c r="N28" s="57">
        <f>IF($C28="","",IFERROR(INDEX(VARIABLES!$F:$F,$G28),0))</f>
        <v/>
      </c>
      <c r="O28" s="57">
        <f>IF($C28="","",allocation_familiale_enfant*EMPLOYES!O36)</f>
        <v/>
      </c>
      <c r="P28" s="57">
        <f>IF($C28="","",contrevaleur_logement)</f>
        <v/>
      </c>
      <c r="Q28" s="57">
        <f>IF($C28="","",$K28+$M28+$N28+$O28+$P28+$AH28+$AJ28)</f>
        <v/>
      </c>
      <c r="R28" s="57">
        <f>IF($C28="","",$Q28*t_cnss_pension_salarie)</f>
        <v/>
      </c>
      <c r="S28" s="57">
        <f>IF($C28="","",IF(opt_cnss_deductible_ipr="Oui",$Q28-$R28,$Q28))</f>
        <v/>
      </c>
      <c r="T28" s="57">
        <f>IF($C28="","",MAX(ipr_plancher,MIN((IF($S28&lt;=ipr_t1_sup_mensuel,$S28*ipr_taux1,IF($S28&lt;=ipr_t2_sup_mensuel,ipr_t1_sup_mensuel*ipr_taux1+($S28-ipr_t1_sup_mensuel)*ipr_taux2,IF($S28&lt;=ipr_t3_sup_mensuel,ipr_t1_sup_mensuel*ipr_taux1+(ipr_t2_sup_mensuel-ipr_t1_sup_mensuel)*ipr_taux2+($S28-ipr_t2_sup_mensuel)*ipr_taux3,ipr_t1_sup_mensuel*ipr_taux1+(ipr_t2_sup_mensuel-ipr_t1_sup_mensuel)*ipr_taux2+(ipr_t3_sup_mensuel-ipr_t2_sup_mensuel)*ipr_taux3+($S28-ipr_t3_sup_mensuel)*ipr_taux4))))-MIN(EMPLOYES!O36,9)*ipr_reduction_famille*(IF($S28&lt;=ipr_t1_sup_mensuel,$S28*ipr_taux1,IF($S28&lt;=ipr_t2_sup_mensuel,ipr_t1_sup_mensuel*ipr_taux1+($S28-ipr_t1_sup_mensuel)*ipr_taux2,IF($S28&lt;=ipr_t3_sup_mensuel,ipr_t1_sup_mensuel*ipr_taux1+(ipr_t2_sup_mensuel-ipr_t1_sup_mensuel)*ipr_taux2+($S28-ipr_t2_sup_mensuel)*ipr_taux3,ipr_t1_sup_mensuel*ipr_taux1+(ipr_t2_sup_mensuel-ipr_t1_sup_mensuel)*ipr_taux2+(ipr_t3_sup_mensuel-ipr_t2_sup_mensuel)*ipr_taux3+($S28-ipr_t3_sup_mensuel)*ipr_taux4)))),$S28*ipr_plafond_pct)))</f>
        <v/>
      </c>
      <c r="U28" s="57">
        <f>IF($C28="","",$Q28-$R28-$T28)</f>
        <v/>
      </c>
      <c r="V28" s="57">
        <f>IF($C28="","",IFERROR(INDEX(VARIABLES!$H:$H,$G28),0))</f>
        <v/>
      </c>
      <c r="W28" s="57">
        <f>IF($C28="","",IFERROR(INDEX(VARIABLES!$J:$J,$G28),0))</f>
        <v/>
      </c>
      <c r="X28" s="57">
        <f>IF($C28="","",$U28-$V28-$W28)</f>
        <v/>
      </c>
      <c r="Y28" s="57">
        <f>IF($C28="","",$Q28*t_cnss_total_employeur)</f>
        <v/>
      </c>
      <c r="Z28" s="57">
        <f>IF($C28="","",$Q28*t_inpp_applicable)</f>
        <v/>
      </c>
      <c r="AA28" s="57">
        <f>IF($C28="","",$Q28*t_onem)</f>
        <v/>
      </c>
      <c r="AB28" s="57">
        <f>IF($C28="","",$Q28+$Y28+$Z28+$AA28)</f>
        <v/>
      </c>
      <c r="AC28" s="55">
        <f>IF(AND($C28&lt;&gt;"",$I28&gt;0),1,0)</f>
        <v/>
      </c>
      <c r="AD28" s="55">
        <f>SUM(AC$7:AC28)</f>
        <v/>
      </c>
      <c r="AE28" s="55">
        <f>IF(AND($C28&lt;&gt;"",$V28&gt;0),1,0)</f>
        <v/>
      </c>
      <c r="AF28" s="55">
        <f>SUM(AE$7:AE28)</f>
        <v/>
      </c>
      <c r="AG28" s="59">
        <f>IF($C28="","",IFERROR(INDEX(VARIABLES!$AY:$AY,$G28),0))</f>
        <v/>
      </c>
      <c r="AH28" s="57">
        <f>IF($C28="","",IF($H28=0,0,$AG28*(($F28/$H28)/heures_par_jour)*taux_majoration_nuit))</f>
        <v/>
      </c>
      <c r="AI28" s="59">
        <f>IF($C28="","",IFERROR(INDEX(VARIABLES!$AX:$AX,$G28),0))</f>
        <v/>
      </c>
      <c r="AJ28" s="57">
        <f>IF($C28="","",IF($H28=0,0,$AI28*($F28/$H28)*(1+taux_majoration_repos)))</f>
        <v/>
      </c>
    </row>
    <row r="29" ht="15" customHeight="1" s="15">
      <c r="B29" s="41" t="n">
        <v>23</v>
      </c>
      <c r="C29" s="41">
        <f>IF(EMPLOYES!C37="","",EMPLOYES!C37)</f>
        <v/>
      </c>
      <c r="D29" s="56">
        <f>IF(EMPLOYES!C37="","",EMPLOYES!D37)</f>
        <v/>
      </c>
      <c r="E29" s="41">
        <f>IF(EMPLOYES!C37="","",EMPLOYES!M37)</f>
        <v/>
      </c>
      <c r="F29" s="57">
        <f>IF(EMPLOYES!C37="","",EMPLOYES!Y37)</f>
        <v/>
      </c>
      <c r="G29" s="47">
        <f>INDEX(BULLETIN!$C$201:$C$212,MATCH(mois_courant_numero,BULLETIN!$B$201:$B$212,0))+22</f>
        <v/>
      </c>
      <c r="H29" s="41">
        <f>IF($C29="","",IF($E29="5j",jours_ouvrables_5j_mois_courant,jours_ouvrables_6j_mois_courant))</f>
        <v/>
      </c>
      <c r="I29" s="41">
        <f>IF($C29="","",IFERROR(INDEX(VARIABLES!$G:$G,$G29),0))</f>
        <v/>
      </c>
      <c r="J29" s="41">
        <f>IF($C29="","",MAX(0,$H29-$I29))</f>
        <v/>
      </c>
      <c r="K29" s="57">
        <f>IF($C29="","",IF($H29=0,0,($F29/$H29)*$J29))</f>
        <v/>
      </c>
      <c r="L29" s="59">
        <f>IF($C29="","",IFERROR(INDEX(VARIABLES!$E:$E,$G29),0))</f>
        <v/>
      </c>
      <c r="M29" s="57">
        <f>IF($C29="","",IF($H29=0,0,($F29/$H29/heures_par_jour)*(MIN($L29,6)*taux_majoration_hs+MAX($L29-6,0)*taux_majoration_hs_tier2)))</f>
        <v/>
      </c>
      <c r="N29" s="57">
        <f>IF($C29="","",IFERROR(INDEX(VARIABLES!$F:$F,$G29),0))</f>
        <v/>
      </c>
      <c r="O29" s="57">
        <f>IF($C29="","",allocation_familiale_enfant*EMPLOYES!O37)</f>
        <v/>
      </c>
      <c r="P29" s="57">
        <f>IF($C29="","",contrevaleur_logement)</f>
        <v/>
      </c>
      <c r="Q29" s="57">
        <f>IF($C29="","",$K29+$M29+$N29+$O29+$P29+$AH29+$AJ29)</f>
        <v/>
      </c>
      <c r="R29" s="57">
        <f>IF($C29="","",$Q29*t_cnss_pension_salarie)</f>
        <v/>
      </c>
      <c r="S29" s="57">
        <f>IF($C29="","",IF(opt_cnss_deductible_ipr="Oui",$Q29-$R29,$Q29))</f>
        <v/>
      </c>
      <c r="T29" s="57">
        <f>IF($C29="","",MAX(ipr_plancher,MIN((IF($S29&lt;=ipr_t1_sup_mensuel,$S29*ipr_taux1,IF($S29&lt;=ipr_t2_sup_mensuel,ipr_t1_sup_mensuel*ipr_taux1+($S29-ipr_t1_sup_mensuel)*ipr_taux2,IF($S29&lt;=ipr_t3_sup_mensuel,ipr_t1_sup_mensuel*ipr_taux1+(ipr_t2_sup_mensuel-ipr_t1_sup_mensuel)*ipr_taux2+($S29-ipr_t2_sup_mensuel)*ipr_taux3,ipr_t1_sup_mensuel*ipr_taux1+(ipr_t2_sup_mensuel-ipr_t1_sup_mensuel)*ipr_taux2+(ipr_t3_sup_mensuel-ipr_t2_sup_mensuel)*ipr_taux3+($S29-ipr_t3_sup_mensuel)*ipr_taux4))))-MIN(EMPLOYES!O37,9)*ipr_reduction_famille*(IF($S29&lt;=ipr_t1_sup_mensuel,$S29*ipr_taux1,IF($S29&lt;=ipr_t2_sup_mensuel,ipr_t1_sup_mensuel*ipr_taux1+($S29-ipr_t1_sup_mensuel)*ipr_taux2,IF($S29&lt;=ipr_t3_sup_mensuel,ipr_t1_sup_mensuel*ipr_taux1+(ipr_t2_sup_mensuel-ipr_t1_sup_mensuel)*ipr_taux2+($S29-ipr_t2_sup_mensuel)*ipr_taux3,ipr_t1_sup_mensuel*ipr_taux1+(ipr_t2_sup_mensuel-ipr_t1_sup_mensuel)*ipr_taux2+(ipr_t3_sup_mensuel-ipr_t2_sup_mensuel)*ipr_taux3+($S29-ipr_t3_sup_mensuel)*ipr_taux4)))),$S29*ipr_plafond_pct)))</f>
        <v/>
      </c>
      <c r="U29" s="57">
        <f>IF($C29="","",$Q29-$R29-$T29)</f>
        <v/>
      </c>
      <c r="V29" s="57">
        <f>IF($C29="","",IFERROR(INDEX(VARIABLES!$H:$H,$G29),0))</f>
        <v/>
      </c>
      <c r="W29" s="57">
        <f>IF($C29="","",IFERROR(INDEX(VARIABLES!$J:$J,$G29),0))</f>
        <v/>
      </c>
      <c r="X29" s="57">
        <f>IF($C29="","",$U29-$V29-$W29)</f>
        <v/>
      </c>
      <c r="Y29" s="57">
        <f>IF($C29="","",$Q29*t_cnss_total_employeur)</f>
        <v/>
      </c>
      <c r="Z29" s="57">
        <f>IF($C29="","",$Q29*t_inpp_applicable)</f>
        <v/>
      </c>
      <c r="AA29" s="57">
        <f>IF($C29="","",$Q29*t_onem)</f>
        <v/>
      </c>
      <c r="AB29" s="57">
        <f>IF($C29="","",$Q29+$Y29+$Z29+$AA29)</f>
        <v/>
      </c>
      <c r="AC29" s="55">
        <f>IF(AND($C29&lt;&gt;"",$I29&gt;0),1,0)</f>
        <v/>
      </c>
      <c r="AD29" s="55">
        <f>SUM(AC$7:AC29)</f>
        <v/>
      </c>
      <c r="AE29" s="55">
        <f>IF(AND($C29&lt;&gt;"",$V29&gt;0),1,0)</f>
        <v/>
      </c>
      <c r="AF29" s="55">
        <f>SUM(AE$7:AE29)</f>
        <v/>
      </c>
      <c r="AG29" s="59">
        <f>IF($C29="","",IFERROR(INDEX(VARIABLES!$AY:$AY,$G29),0))</f>
        <v/>
      </c>
      <c r="AH29" s="57">
        <f>IF($C29="","",IF($H29=0,0,$AG29*(($F29/$H29)/heures_par_jour)*taux_majoration_nuit))</f>
        <v/>
      </c>
      <c r="AI29" s="59">
        <f>IF($C29="","",IFERROR(INDEX(VARIABLES!$AX:$AX,$G29),0))</f>
        <v/>
      </c>
      <c r="AJ29" s="57">
        <f>IF($C29="","",IF($H29=0,0,$AI29*($F29/$H29)*(1+taux_majoration_repos)))</f>
        <v/>
      </c>
    </row>
    <row r="30" ht="15" customHeight="1" s="15">
      <c r="B30" s="41" t="n">
        <v>24</v>
      </c>
      <c r="C30" s="41">
        <f>IF(EMPLOYES!C38="","",EMPLOYES!C38)</f>
        <v/>
      </c>
      <c r="D30" s="56">
        <f>IF(EMPLOYES!C38="","",EMPLOYES!D38)</f>
        <v/>
      </c>
      <c r="E30" s="41">
        <f>IF(EMPLOYES!C38="","",EMPLOYES!M38)</f>
        <v/>
      </c>
      <c r="F30" s="57">
        <f>IF(EMPLOYES!C38="","",EMPLOYES!Y38)</f>
        <v/>
      </c>
      <c r="G30" s="47">
        <f>INDEX(BULLETIN!$C$201:$C$212,MATCH(mois_courant_numero,BULLETIN!$B$201:$B$212,0))+23</f>
        <v/>
      </c>
      <c r="H30" s="41">
        <f>IF($C30="","",IF($E30="5j",jours_ouvrables_5j_mois_courant,jours_ouvrables_6j_mois_courant))</f>
        <v/>
      </c>
      <c r="I30" s="41">
        <f>IF($C30="","",IFERROR(INDEX(VARIABLES!$G:$G,$G30),0))</f>
        <v/>
      </c>
      <c r="J30" s="41">
        <f>IF($C30="","",MAX(0,$H30-$I30))</f>
        <v/>
      </c>
      <c r="K30" s="57">
        <f>IF($C30="","",IF($H30=0,0,($F30/$H30)*$J30))</f>
        <v/>
      </c>
      <c r="L30" s="59">
        <f>IF($C30="","",IFERROR(INDEX(VARIABLES!$E:$E,$G30),0))</f>
        <v/>
      </c>
      <c r="M30" s="57">
        <f>IF($C30="","",IF($H30=0,0,($F30/$H30/heures_par_jour)*(MIN($L30,6)*taux_majoration_hs+MAX($L30-6,0)*taux_majoration_hs_tier2)))</f>
        <v/>
      </c>
      <c r="N30" s="57">
        <f>IF($C30="","",IFERROR(INDEX(VARIABLES!$F:$F,$G30),0))</f>
        <v/>
      </c>
      <c r="O30" s="57">
        <f>IF($C30="","",allocation_familiale_enfant*EMPLOYES!O38)</f>
        <v/>
      </c>
      <c r="P30" s="57">
        <f>IF($C30="","",contrevaleur_logement)</f>
        <v/>
      </c>
      <c r="Q30" s="57">
        <f>IF($C30="","",$K30+$M30+$N30+$O30+$P30+$AH30+$AJ30)</f>
        <v/>
      </c>
      <c r="R30" s="57">
        <f>IF($C30="","",$Q30*t_cnss_pension_salarie)</f>
        <v/>
      </c>
      <c r="S30" s="57">
        <f>IF($C30="","",IF(opt_cnss_deductible_ipr="Oui",$Q30-$R30,$Q30))</f>
        <v/>
      </c>
      <c r="T30" s="57">
        <f>IF($C30="","",MAX(ipr_plancher,MIN((IF($S30&lt;=ipr_t1_sup_mensuel,$S30*ipr_taux1,IF($S30&lt;=ipr_t2_sup_mensuel,ipr_t1_sup_mensuel*ipr_taux1+($S30-ipr_t1_sup_mensuel)*ipr_taux2,IF($S30&lt;=ipr_t3_sup_mensuel,ipr_t1_sup_mensuel*ipr_taux1+(ipr_t2_sup_mensuel-ipr_t1_sup_mensuel)*ipr_taux2+($S30-ipr_t2_sup_mensuel)*ipr_taux3,ipr_t1_sup_mensuel*ipr_taux1+(ipr_t2_sup_mensuel-ipr_t1_sup_mensuel)*ipr_taux2+(ipr_t3_sup_mensuel-ipr_t2_sup_mensuel)*ipr_taux3+($S30-ipr_t3_sup_mensuel)*ipr_taux4))))-MIN(EMPLOYES!O38,9)*ipr_reduction_famille*(IF($S30&lt;=ipr_t1_sup_mensuel,$S30*ipr_taux1,IF($S30&lt;=ipr_t2_sup_mensuel,ipr_t1_sup_mensuel*ipr_taux1+($S30-ipr_t1_sup_mensuel)*ipr_taux2,IF($S30&lt;=ipr_t3_sup_mensuel,ipr_t1_sup_mensuel*ipr_taux1+(ipr_t2_sup_mensuel-ipr_t1_sup_mensuel)*ipr_taux2+($S30-ipr_t2_sup_mensuel)*ipr_taux3,ipr_t1_sup_mensuel*ipr_taux1+(ipr_t2_sup_mensuel-ipr_t1_sup_mensuel)*ipr_taux2+(ipr_t3_sup_mensuel-ipr_t2_sup_mensuel)*ipr_taux3+($S30-ipr_t3_sup_mensuel)*ipr_taux4)))),$S30*ipr_plafond_pct)))</f>
        <v/>
      </c>
      <c r="U30" s="57">
        <f>IF($C30="","",$Q30-$R30-$T30)</f>
        <v/>
      </c>
      <c r="V30" s="57">
        <f>IF($C30="","",IFERROR(INDEX(VARIABLES!$H:$H,$G30),0))</f>
        <v/>
      </c>
      <c r="W30" s="57">
        <f>IF($C30="","",IFERROR(INDEX(VARIABLES!$J:$J,$G30),0))</f>
        <v/>
      </c>
      <c r="X30" s="57">
        <f>IF($C30="","",$U30-$V30-$W30)</f>
        <v/>
      </c>
      <c r="Y30" s="57">
        <f>IF($C30="","",$Q30*t_cnss_total_employeur)</f>
        <v/>
      </c>
      <c r="Z30" s="57">
        <f>IF($C30="","",$Q30*t_inpp_applicable)</f>
        <v/>
      </c>
      <c r="AA30" s="57">
        <f>IF($C30="","",$Q30*t_onem)</f>
        <v/>
      </c>
      <c r="AB30" s="57">
        <f>IF($C30="","",$Q30+$Y30+$Z30+$AA30)</f>
        <v/>
      </c>
      <c r="AC30" s="55">
        <f>IF(AND($C30&lt;&gt;"",$I30&gt;0),1,0)</f>
        <v/>
      </c>
      <c r="AD30" s="55">
        <f>SUM(AC$7:AC30)</f>
        <v/>
      </c>
      <c r="AE30" s="55">
        <f>IF(AND($C30&lt;&gt;"",$V30&gt;0),1,0)</f>
        <v/>
      </c>
      <c r="AF30" s="55">
        <f>SUM(AE$7:AE30)</f>
        <v/>
      </c>
      <c r="AG30" s="59">
        <f>IF($C30="","",IFERROR(INDEX(VARIABLES!$AY:$AY,$G30),0))</f>
        <v/>
      </c>
      <c r="AH30" s="57">
        <f>IF($C30="","",IF($H30=0,0,$AG30*(($F30/$H30)/heures_par_jour)*taux_majoration_nuit))</f>
        <v/>
      </c>
      <c r="AI30" s="59">
        <f>IF($C30="","",IFERROR(INDEX(VARIABLES!$AX:$AX,$G30),0))</f>
        <v/>
      </c>
      <c r="AJ30" s="57">
        <f>IF($C30="","",IF($H30=0,0,$AI30*($F30/$H30)*(1+taux_majoration_repos)))</f>
        <v/>
      </c>
    </row>
    <row r="31" ht="15" customHeight="1" s="15">
      <c r="B31" s="41" t="n">
        <v>25</v>
      </c>
      <c r="C31" s="41">
        <f>IF(EMPLOYES!C39="","",EMPLOYES!C39)</f>
        <v/>
      </c>
      <c r="D31" s="56">
        <f>IF(EMPLOYES!C39="","",EMPLOYES!D39)</f>
        <v/>
      </c>
      <c r="E31" s="41">
        <f>IF(EMPLOYES!C39="","",EMPLOYES!M39)</f>
        <v/>
      </c>
      <c r="F31" s="57">
        <f>IF(EMPLOYES!C39="","",EMPLOYES!Y39)</f>
        <v/>
      </c>
      <c r="G31" s="47">
        <f>INDEX(BULLETIN!$C$201:$C$212,MATCH(mois_courant_numero,BULLETIN!$B$201:$B$212,0))+24</f>
        <v/>
      </c>
      <c r="H31" s="41">
        <f>IF($C31="","",IF($E31="5j",jours_ouvrables_5j_mois_courant,jours_ouvrables_6j_mois_courant))</f>
        <v/>
      </c>
      <c r="I31" s="41">
        <f>IF($C31="","",IFERROR(INDEX(VARIABLES!$G:$G,$G31),0))</f>
        <v/>
      </c>
      <c r="J31" s="41">
        <f>IF($C31="","",MAX(0,$H31-$I31))</f>
        <v/>
      </c>
      <c r="K31" s="57">
        <f>IF($C31="","",IF($H31=0,0,($F31/$H31)*$J31))</f>
        <v/>
      </c>
      <c r="L31" s="59">
        <f>IF($C31="","",IFERROR(INDEX(VARIABLES!$E:$E,$G31),0))</f>
        <v/>
      </c>
      <c r="M31" s="57">
        <f>IF($C31="","",IF($H31=0,0,($F31/$H31/heures_par_jour)*(MIN($L31,6)*taux_majoration_hs+MAX($L31-6,0)*taux_majoration_hs_tier2)))</f>
        <v/>
      </c>
      <c r="N31" s="57">
        <f>IF($C31="","",IFERROR(INDEX(VARIABLES!$F:$F,$G31),0))</f>
        <v/>
      </c>
      <c r="O31" s="57">
        <f>IF($C31="","",allocation_familiale_enfant*EMPLOYES!O39)</f>
        <v/>
      </c>
      <c r="P31" s="57">
        <f>IF($C31="","",contrevaleur_logement)</f>
        <v/>
      </c>
      <c r="Q31" s="57">
        <f>IF($C31="","",$K31+$M31+$N31+$O31+$P31+$AH31+$AJ31)</f>
        <v/>
      </c>
      <c r="R31" s="57">
        <f>IF($C31="","",$Q31*t_cnss_pension_salarie)</f>
        <v/>
      </c>
      <c r="S31" s="57">
        <f>IF($C31="","",IF(opt_cnss_deductible_ipr="Oui",$Q31-$R31,$Q31))</f>
        <v/>
      </c>
      <c r="T31" s="57">
        <f>IF($C31="","",MAX(ipr_plancher,MIN((IF($S31&lt;=ipr_t1_sup_mensuel,$S31*ipr_taux1,IF($S31&lt;=ipr_t2_sup_mensuel,ipr_t1_sup_mensuel*ipr_taux1+($S31-ipr_t1_sup_mensuel)*ipr_taux2,IF($S31&lt;=ipr_t3_sup_mensuel,ipr_t1_sup_mensuel*ipr_taux1+(ipr_t2_sup_mensuel-ipr_t1_sup_mensuel)*ipr_taux2+($S31-ipr_t2_sup_mensuel)*ipr_taux3,ipr_t1_sup_mensuel*ipr_taux1+(ipr_t2_sup_mensuel-ipr_t1_sup_mensuel)*ipr_taux2+(ipr_t3_sup_mensuel-ipr_t2_sup_mensuel)*ipr_taux3+($S31-ipr_t3_sup_mensuel)*ipr_taux4))))-MIN(EMPLOYES!O39,9)*ipr_reduction_famille*(IF($S31&lt;=ipr_t1_sup_mensuel,$S31*ipr_taux1,IF($S31&lt;=ipr_t2_sup_mensuel,ipr_t1_sup_mensuel*ipr_taux1+($S31-ipr_t1_sup_mensuel)*ipr_taux2,IF($S31&lt;=ipr_t3_sup_mensuel,ipr_t1_sup_mensuel*ipr_taux1+(ipr_t2_sup_mensuel-ipr_t1_sup_mensuel)*ipr_taux2+($S31-ipr_t2_sup_mensuel)*ipr_taux3,ipr_t1_sup_mensuel*ipr_taux1+(ipr_t2_sup_mensuel-ipr_t1_sup_mensuel)*ipr_taux2+(ipr_t3_sup_mensuel-ipr_t2_sup_mensuel)*ipr_taux3+($S31-ipr_t3_sup_mensuel)*ipr_taux4)))),$S31*ipr_plafond_pct)))</f>
        <v/>
      </c>
      <c r="U31" s="57">
        <f>IF($C31="","",$Q31-$R31-$T31)</f>
        <v/>
      </c>
      <c r="V31" s="57">
        <f>IF($C31="","",IFERROR(INDEX(VARIABLES!$H:$H,$G31),0))</f>
        <v/>
      </c>
      <c r="W31" s="57">
        <f>IF($C31="","",IFERROR(INDEX(VARIABLES!$J:$J,$G31),0))</f>
        <v/>
      </c>
      <c r="X31" s="57">
        <f>IF($C31="","",$U31-$V31-$W31)</f>
        <v/>
      </c>
      <c r="Y31" s="57">
        <f>IF($C31="","",$Q31*t_cnss_total_employeur)</f>
        <v/>
      </c>
      <c r="Z31" s="57">
        <f>IF($C31="","",$Q31*t_inpp_applicable)</f>
        <v/>
      </c>
      <c r="AA31" s="57">
        <f>IF($C31="","",$Q31*t_onem)</f>
        <v/>
      </c>
      <c r="AB31" s="57">
        <f>IF($C31="","",$Q31+$Y31+$Z31+$AA31)</f>
        <v/>
      </c>
      <c r="AC31" s="55">
        <f>IF(AND($C31&lt;&gt;"",$I31&gt;0),1,0)</f>
        <v/>
      </c>
      <c r="AD31" s="55">
        <f>SUM(AC$7:AC31)</f>
        <v/>
      </c>
      <c r="AE31" s="55">
        <f>IF(AND($C31&lt;&gt;"",$V31&gt;0),1,0)</f>
        <v/>
      </c>
      <c r="AF31" s="55">
        <f>SUM(AE$7:AE31)</f>
        <v/>
      </c>
      <c r="AG31" s="59">
        <f>IF($C31="","",IFERROR(INDEX(VARIABLES!$AY:$AY,$G31),0))</f>
        <v/>
      </c>
      <c r="AH31" s="57">
        <f>IF($C31="","",IF($H31=0,0,$AG31*(($F31/$H31)/heures_par_jour)*taux_majoration_nuit))</f>
        <v/>
      </c>
      <c r="AI31" s="59">
        <f>IF($C31="","",IFERROR(INDEX(VARIABLES!$AX:$AX,$G31),0))</f>
        <v/>
      </c>
      <c r="AJ31" s="57">
        <f>IF($C31="","",IF($H31=0,0,$AI31*($F31/$H31)*(1+taux_majoration_repos)))</f>
        <v/>
      </c>
    </row>
    <row r="32" ht="15" customHeight="1" s="15">
      <c r="B32" s="41" t="n">
        <v>26</v>
      </c>
      <c r="C32" s="41">
        <f>IF(EMPLOYES!C40="","",EMPLOYES!C40)</f>
        <v/>
      </c>
      <c r="D32" s="56">
        <f>IF(EMPLOYES!C40="","",EMPLOYES!D40)</f>
        <v/>
      </c>
      <c r="E32" s="41">
        <f>IF(EMPLOYES!C40="","",EMPLOYES!M40)</f>
        <v/>
      </c>
      <c r="F32" s="57">
        <f>IF(EMPLOYES!C40="","",EMPLOYES!Y40)</f>
        <v/>
      </c>
      <c r="G32" s="47">
        <f>INDEX(BULLETIN!$C$201:$C$212,MATCH(mois_courant_numero,BULLETIN!$B$201:$B$212,0))+25</f>
        <v/>
      </c>
      <c r="H32" s="41">
        <f>IF($C32="","",IF($E32="5j",jours_ouvrables_5j_mois_courant,jours_ouvrables_6j_mois_courant))</f>
        <v/>
      </c>
      <c r="I32" s="41">
        <f>IF($C32="","",IFERROR(INDEX(VARIABLES!$G:$G,$G32),0))</f>
        <v/>
      </c>
      <c r="J32" s="41">
        <f>IF($C32="","",MAX(0,$H32-$I32))</f>
        <v/>
      </c>
      <c r="K32" s="57">
        <f>IF($C32="","",IF($H32=0,0,($F32/$H32)*$J32))</f>
        <v/>
      </c>
      <c r="L32" s="59">
        <f>IF($C32="","",IFERROR(INDEX(VARIABLES!$E:$E,$G32),0))</f>
        <v/>
      </c>
      <c r="M32" s="57">
        <f>IF($C32="","",IF($H32=0,0,($F32/$H32/heures_par_jour)*(MIN($L32,6)*taux_majoration_hs+MAX($L32-6,0)*taux_majoration_hs_tier2)))</f>
        <v/>
      </c>
      <c r="N32" s="57">
        <f>IF($C32="","",IFERROR(INDEX(VARIABLES!$F:$F,$G32),0))</f>
        <v/>
      </c>
      <c r="O32" s="57">
        <f>IF($C32="","",allocation_familiale_enfant*EMPLOYES!O40)</f>
        <v/>
      </c>
      <c r="P32" s="57">
        <f>IF($C32="","",contrevaleur_logement)</f>
        <v/>
      </c>
      <c r="Q32" s="57">
        <f>IF($C32="","",$K32+$M32+$N32+$O32+$P32+$AH32+$AJ32)</f>
        <v/>
      </c>
      <c r="R32" s="57">
        <f>IF($C32="","",$Q32*t_cnss_pension_salarie)</f>
        <v/>
      </c>
      <c r="S32" s="57">
        <f>IF($C32="","",IF(opt_cnss_deductible_ipr="Oui",$Q32-$R32,$Q32))</f>
        <v/>
      </c>
      <c r="T32" s="57">
        <f>IF($C32="","",MAX(ipr_plancher,MIN((IF($S32&lt;=ipr_t1_sup_mensuel,$S32*ipr_taux1,IF($S32&lt;=ipr_t2_sup_mensuel,ipr_t1_sup_mensuel*ipr_taux1+($S32-ipr_t1_sup_mensuel)*ipr_taux2,IF($S32&lt;=ipr_t3_sup_mensuel,ipr_t1_sup_mensuel*ipr_taux1+(ipr_t2_sup_mensuel-ipr_t1_sup_mensuel)*ipr_taux2+($S32-ipr_t2_sup_mensuel)*ipr_taux3,ipr_t1_sup_mensuel*ipr_taux1+(ipr_t2_sup_mensuel-ipr_t1_sup_mensuel)*ipr_taux2+(ipr_t3_sup_mensuel-ipr_t2_sup_mensuel)*ipr_taux3+($S32-ipr_t3_sup_mensuel)*ipr_taux4))))-MIN(EMPLOYES!O40,9)*ipr_reduction_famille*(IF($S32&lt;=ipr_t1_sup_mensuel,$S32*ipr_taux1,IF($S32&lt;=ipr_t2_sup_mensuel,ipr_t1_sup_mensuel*ipr_taux1+($S32-ipr_t1_sup_mensuel)*ipr_taux2,IF($S32&lt;=ipr_t3_sup_mensuel,ipr_t1_sup_mensuel*ipr_taux1+(ipr_t2_sup_mensuel-ipr_t1_sup_mensuel)*ipr_taux2+($S32-ipr_t2_sup_mensuel)*ipr_taux3,ipr_t1_sup_mensuel*ipr_taux1+(ipr_t2_sup_mensuel-ipr_t1_sup_mensuel)*ipr_taux2+(ipr_t3_sup_mensuel-ipr_t2_sup_mensuel)*ipr_taux3+($S32-ipr_t3_sup_mensuel)*ipr_taux4)))),$S32*ipr_plafond_pct)))</f>
        <v/>
      </c>
      <c r="U32" s="57">
        <f>IF($C32="","",$Q32-$R32-$T32)</f>
        <v/>
      </c>
      <c r="V32" s="57">
        <f>IF($C32="","",IFERROR(INDEX(VARIABLES!$H:$H,$G32),0))</f>
        <v/>
      </c>
      <c r="W32" s="57">
        <f>IF($C32="","",IFERROR(INDEX(VARIABLES!$J:$J,$G32),0))</f>
        <v/>
      </c>
      <c r="X32" s="57">
        <f>IF($C32="","",$U32-$V32-$W32)</f>
        <v/>
      </c>
      <c r="Y32" s="57">
        <f>IF($C32="","",$Q32*t_cnss_total_employeur)</f>
        <v/>
      </c>
      <c r="Z32" s="57">
        <f>IF($C32="","",$Q32*t_inpp_applicable)</f>
        <v/>
      </c>
      <c r="AA32" s="57">
        <f>IF($C32="","",$Q32*t_onem)</f>
        <v/>
      </c>
      <c r="AB32" s="57">
        <f>IF($C32="","",$Q32+$Y32+$Z32+$AA32)</f>
        <v/>
      </c>
      <c r="AC32" s="55">
        <f>IF(AND($C32&lt;&gt;"",$I32&gt;0),1,0)</f>
        <v/>
      </c>
      <c r="AD32" s="55">
        <f>SUM(AC$7:AC32)</f>
        <v/>
      </c>
      <c r="AE32" s="55">
        <f>IF(AND($C32&lt;&gt;"",$V32&gt;0),1,0)</f>
        <v/>
      </c>
      <c r="AF32" s="55">
        <f>SUM(AE$7:AE32)</f>
        <v/>
      </c>
      <c r="AG32" s="59">
        <f>IF($C32="","",IFERROR(INDEX(VARIABLES!$AY:$AY,$G32),0))</f>
        <v/>
      </c>
      <c r="AH32" s="57">
        <f>IF($C32="","",IF($H32=0,0,$AG32*(($F32/$H32)/heures_par_jour)*taux_majoration_nuit))</f>
        <v/>
      </c>
      <c r="AI32" s="59">
        <f>IF($C32="","",IFERROR(INDEX(VARIABLES!$AX:$AX,$G32),0))</f>
        <v/>
      </c>
      <c r="AJ32" s="57">
        <f>IF($C32="","",IF($H32=0,0,$AI32*($F32/$H32)*(1+taux_majoration_repos)))</f>
        <v/>
      </c>
    </row>
    <row r="33" ht="15" customHeight="1" s="15">
      <c r="B33" s="41" t="n">
        <v>27</v>
      </c>
      <c r="C33" s="41">
        <f>IF(EMPLOYES!C41="","",EMPLOYES!C41)</f>
        <v/>
      </c>
      <c r="D33" s="56">
        <f>IF(EMPLOYES!C41="","",EMPLOYES!D41)</f>
        <v/>
      </c>
      <c r="E33" s="41">
        <f>IF(EMPLOYES!C41="","",EMPLOYES!M41)</f>
        <v/>
      </c>
      <c r="F33" s="57">
        <f>IF(EMPLOYES!C41="","",EMPLOYES!Y41)</f>
        <v/>
      </c>
      <c r="G33" s="47">
        <f>INDEX(BULLETIN!$C$201:$C$212,MATCH(mois_courant_numero,BULLETIN!$B$201:$B$212,0))+26</f>
        <v/>
      </c>
      <c r="H33" s="41">
        <f>IF($C33="","",IF($E33="5j",jours_ouvrables_5j_mois_courant,jours_ouvrables_6j_mois_courant))</f>
        <v/>
      </c>
      <c r="I33" s="41">
        <f>IF($C33="","",IFERROR(INDEX(VARIABLES!$G:$G,$G33),0))</f>
        <v/>
      </c>
      <c r="J33" s="41">
        <f>IF($C33="","",MAX(0,$H33-$I33))</f>
        <v/>
      </c>
      <c r="K33" s="57">
        <f>IF($C33="","",IF($H33=0,0,($F33/$H33)*$J33))</f>
        <v/>
      </c>
      <c r="L33" s="59">
        <f>IF($C33="","",IFERROR(INDEX(VARIABLES!$E:$E,$G33),0))</f>
        <v/>
      </c>
      <c r="M33" s="57">
        <f>IF($C33="","",IF($H33=0,0,($F33/$H33/heures_par_jour)*(MIN($L33,6)*taux_majoration_hs+MAX($L33-6,0)*taux_majoration_hs_tier2)))</f>
        <v/>
      </c>
      <c r="N33" s="57">
        <f>IF($C33="","",IFERROR(INDEX(VARIABLES!$F:$F,$G33),0))</f>
        <v/>
      </c>
      <c r="O33" s="57">
        <f>IF($C33="","",allocation_familiale_enfant*EMPLOYES!O41)</f>
        <v/>
      </c>
      <c r="P33" s="57">
        <f>IF($C33="","",contrevaleur_logement)</f>
        <v/>
      </c>
      <c r="Q33" s="57">
        <f>IF($C33="","",$K33+$M33+$N33+$O33+$P33+$AH33+$AJ33)</f>
        <v/>
      </c>
      <c r="R33" s="57">
        <f>IF($C33="","",$Q33*t_cnss_pension_salarie)</f>
        <v/>
      </c>
      <c r="S33" s="57">
        <f>IF($C33="","",IF(opt_cnss_deductible_ipr="Oui",$Q33-$R33,$Q33))</f>
        <v/>
      </c>
      <c r="T33" s="57">
        <f>IF($C33="","",MAX(ipr_plancher,MIN((IF($S33&lt;=ipr_t1_sup_mensuel,$S33*ipr_taux1,IF($S33&lt;=ipr_t2_sup_mensuel,ipr_t1_sup_mensuel*ipr_taux1+($S33-ipr_t1_sup_mensuel)*ipr_taux2,IF($S33&lt;=ipr_t3_sup_mensuel,ipr_t1_sup_mensuel*ipr_taux1+(ipr_t2_sup_mensuel-ipr_t1_sup_mensuel)*ipr_taux2+($S33-ipr_t2_sup_mensuel)*ipr_taux3,ipr_t1_sup_mensuel*ipr_taux1+(ipr_t2_sup_mensuel-ipr_t1_sup_mensuel)*ipr_taux2+(ipr_t3_sup_mensuel-ipr_t2_sup_mensuel)*ipr_taux3+($S33-ipr_t3_sup_mensuel)*ipr_taux4))))-MIN(EMPLOYES!O41,9)*ipr_reduction_famille*(IF($S33&lt;=ipr_t1_sup_mensuel,$S33*ipr_taux1,IF($S33&lt;=ipr_t2_sup_mensuel,ipr_t1_sup_mensuel*ipr_taux1+($S33-ipr_t1_sup_mensuel)*ipr_taux2,IF($S33&lt;=ipr_t3_sup_mensuel,ipr_t1_sup_mensuel*ipr_taux1+(ipr_t2_sup_mensuel-ipr_t1_sup_mensuel)*ipr_taux2+($S33-ipr_t2_sup_mensuel)*ipr_taux3,ipr_t1_sup_mensuel*ipr_taux1+(ipr_t2_sup_mensuel-ipr_t1_sup_mensuel)*ipr_taux2+(ipr_t3_sup_mensuel-ipr_t2_sup_mensuel)*ipr_taux3+($S33-ipr_t3_sup_mensuel)*ipr_taux4)))),$S33*ipr_plafond_pct)))</f>
        <v/>
      </c>
      <c r="U33" s="57">
        <f>IF($C33="","",$Q33-$R33-$T33)</f>
        <v/>
      </c>
      <c r="V33" s="57">
        <f>IF($C33="","",IFERROR(INDEX(VARIABLES!$H:$H,$G33),0))</f>
        <v/>
      </c>
      <c r="W33" s="57">
        <f>IF($C33="","",IFERROR(INDEX(VARIABLES!$J:$J,$G33),0))</f>
        <v/>
      </c>
      <c r="X33" s="57">
        <f>IF($C33="","",$U33-$V33-$W33)</f>
        <v/>
      </c>
      <c r="Y33" s="57">
        <f>IF($C33="","",$Q33*t_cnss_total_employeur)</f>
        <v/>
      </c>
      <c r="Z33" s="57">
        <f>IF($C33="","",$Q33*t_inpp_applicable)</f>
        <v/>
      </c>
      <c r="AA33" s="57">
        <f>IF($C33="","",$Q33*t_onem)</f>
        <v/>
      </c>
      <c r="AB33" s="57">
        <f>IF($C33="","",$Q33+$Y33+$Z33+$AA33)</f>
        <v/>
      </c>
      <c r="AC33" s="55">
        <f>IF(AND($C33&lt;&gt;"",$I33&gt;0),1,0)</f>
        <v/>
      </c>
      <c r="AD33" s="55">
        <f>SUM(AC$7:AC33)</f>
        <v/>
      </c>
      <c r="AE33" s="55">
        <f>IF(AND($C33&lt;&gt;"",$V33&gt;0),1,0)</f>
        <v/>
      </c>
      <c r="AF33" s="55">
        <f>SUM(AE$7:AE33)</f>
        <v/>
      </c>
      <c r="AG33" s="59">
        <f>IF($C33="","",IFERROR(INDEX(VARIABLES!$AY:$AY,$G33),0))</f>
        <v/>
      </c>
      <c r="AH33" s="57">
        <f>IF($C33="","",IF($H33=0,0,$AG33*(($F33/$H33)/heures_par_jour)*taux_majoration_nuit))</f>
        <v/>
      </c>
      <c r="AI33" s="59">
        <f>IF($C33="","",IFERROR(INDEX(VARIABLES!$AX:$AX,$G33),0))</f>
        <v/>
      </c>
      <c r="AJ33" s="57">
        <f>IF($C33="","",IF($H33=0,0,$AI33*($F33/$H33)*(1+taux_majoration_repos)))</f>
        <v/>
      </c>
    </row>
    <row r="34" ht="15" customHeight="1" s="15">
      <c r="B34" s="41" t="n">
        <v>28</v>
      </c>
      <c r="C34" s="41">
        <f>IF(EMPLOYES!C42="","",EMPLOYES!C42)</f>
        <v/>
      </c>
      <c r="D34" s="56">
        <f>IF(EMPLOYES!C42="","",EMPLOYES!D42)</f>
        <v/>
      </c>
      <c r="E34" s="41">
        <f>IF(EMPLOYES!C42="","",EMPLOYES!M42)</f>
        <v/>
      </c>
      <c r="F34" s="57">
        <f>IF(EMPLOYES!C42="","",EMPLOYES!Y42)</f>
        <v/>
      </c>
      <c r="G34" s="47">
        <f>INDEX(BULLETIN!$C$201:$C$212,MATCH(mois_courant_numero,BULLETIN!$B$201:$B$212,0))+27</f>
        <v/>
      </c>
      <c r="H34" s="41">
        <f>IF($C34="","",IF($E34="5j",jours_ouvrables_5j_mois_courant,jours_ouvrables_6j_mois_courant))</f>
        <v/>
      </c>
      <c r="I34" s="41">
        <f>IF($C34="","",IFERROR(INDEX(VARIABLES!$G:$G,$G34),0))</f>
        <v/>
      </c>
      <c r="J34" s="41">
        <f>IF($C34="","",MAX(0,$H34-$I34))</f>
        <v/>
      </c>
      <c r="K34" s="57">
        <f>IF($C34="","",IF($H34=0,0,($F34/$H34)*$J34))</f>
        <v/>
      </c>
      <c r="L34" s="59">
        <f>IF($C34="","",IFERROR(INDEX(VARIABLES!$E:$E,$G34),0))</f>
        <v/>
      </c>
      <c r="M34" s="57">
        <f>IF($C34="","",IF($H34=0,0,($F34/$H34/heures_par_jour)*(MIN($L34,6)*taux_majoration_hs+MAX($L34-6,0)*taux_majoration_hs_tier2)))</f>
        <v/>
      </c>
      <c r="N34" s="57">
        <f>IF($C34="","",IFERROR(INDEX(VARIABLES!$F:$F,$G34),0))</f>
        <v/>
      </c>
      <c r="O34" s="57">
        <f>IF($C34="","",allocation_familiale_enfant*EMPLOYES!O42)</f>
        <v/>
      </c>
      <c r="P34" s="57">
        <f>IF($C34="","",contrevaleur_logement)</f>
        <v/>
      </c>
      <c r="Q34" s="57">
        <f>IF($C34="","",$K34+$M34+$N34+$O34+$P34+$AH34+$AJ34)</f>
        <v/>
      </c>
      <c r="R34" s="57">
        <f>IF($C34="","",$Q34*t_cnss_pension_salarie)</f>
        <v/>
      </c>
      <c r="S34" s="57">
        <f>IF($C34="","",IF(opt_cnss_deductible_ipr="Oui",$Q34-$R34,$Q34))</f>
        <v/>
      </c>
      <c r="T34" s="57">
        <f>IF($C34="","",MAX(ipr_plancher,MIN((IF($S34&lt;=ipr_t1_sup_mensuel,$S34*ipr_taux1,IF($S34&lt;=ipr_t2_sup_mensuel,ipr_t1_sup_mensuel*ipr_taux1+($S34-ipr_t1_sup_mensuel)*ipr_taux2,IF($S34&lt;=ipr_t3_sup_mensuel,ipr_t1_sup_mensuel*ipr_taux1+(ipr_t2_sup_mensuel-ipr_t1_sup_mensuel)*ipr_taux2+($S34-ipr_t2_sup_mensuel)*ipr_taux3,ipr_t1_sup_mensuel*ipr_taux1+(ipr_t2_sup_mensuel-ipr_t1_sup_mensuel)*ipr_taux2+(ipr_t3_sup_mensuel-ipr_t2_sup_mensuel)*ipr_taux3+($S34-ipr_t3_sup_mensuel)*ipr_taux4))))-MIN(EMPLOYES!O42,9)*ipr_reduction_famille*(IF($S34&lt;=ipr_t1_sup_mensuel,$S34*ipr_taux1,IF($S34&lt;=ipr_t2_sup_mensuel,ipr_t1_sup_mensuel*ipr_taux1+($S34-ipr_t1_sup_mensuel)*ipr_taux2,IF($S34&lt;=ipr_t3_sup_mensuel,ipr_t1_sup_mensuel*ipr_taux1+(ipr_t2_sup_mensuel-ipr_t1_sup_mensuel)*ipr_taux2+($S34-ipr_t2_sup_mensuel)*ipr_taux3,ipr_t1_sup_mensuel*ipr_taux1+(ipr_t2_sup_mensuel-ipr_t1_sup_mensuel)*ipr_taux2+(ipr_t3_sup_mensuel-ipr_t2_sup_mensuel)*ipr_taux3+($S34-ipr_t3_sup_mensuel)*ipr_taux4)))),$S34*ipr_plafond_pct)))</f>
        <v/>
      </c>
      <c r="U34" s="57">
        <f>IF($C34="","",$Q34-$R34-$T34)</f>
        <v/>
      </c>
      <c r="V34" s="57">
        <f>IF($C34="","",IFERROR(INDEX(VARIABLES!$H:$H,$G34),0))</f>
        <v/>
      </c>
      <c r="W34" s="57">
        <f>IF($C34="","",IFERROR(INDEX(VARIABLES!$J:$J,$G34),0))</f>
        <v/>
      </c>
      <c r="X34" s="57">
        <f>IF($C34="","",$U34-$V34-$W34)</f>
        <v/>
      </c>
      <c r="Y34" s="57">
        <f>IF($C34="","",$Q34*t_cnss_total_employeur)</f>
        <v/>
      </c>
      <c r="Z34" s="57">
        <f>IF($C34="","",$Q34*t_inpp_applicable)</f>
        <v/>
      </c>
      <c r="AA34" s="57">
        <f>IF($C34="","",$Q34*t_onem)</f>
        <v/>
      </c>
      <c r="AB34" s="57">
        <f>IF($C34="","",$Q34+$Y34+$Z34+$AA34)</f>
        <v/>
      </c>
      <c r="AC34" s="55">
        <f>IF(AND($C34&lt;&gt;"",$I34&gt;0),1,0)</f>
        <v/>
      </c>
      <c r="AD34" s="55">
        <f>SUM(AC$7:AC34)</f>
        <v/>
      </c>
      <c r="AE34" s="55">
        <f>IF(AND($C34&lt;&gt;"",$V34&gt;0),1,0)</f>
        <v/>
      </c>
      <c r="AF34" s="55">
        <f>SUM(AE$7:AE34)</f>
        <v/>
      </c>
      <c r="AG34" s="59">
        <f>IF($C34="","",IFERROR(INDEX(VARIABLES!$AY:$AY,$G34),0))</f>
        <v/>
      </c>
      <c r="AH34" s="57">
        <f>IF($C34="","",IF($H34=0,0,$AG34*(($F34/$H34)/heures_par_jour)*taux_majoration_nuit))</f>
        <v/>
      </c>
      <c r="AI34" s="59">
        <f>IF($C34="","",IFERROR(INDEX(VARIABLES!$AX:$AX,$G34),0))</f>
        <v/>
      </c>
      <c r="AJ34" s="57">
        <f>IF($C34="","",IF($H34=0,0,$AI34*($F34/$H34)*(1+taux_majoration_repos)))</f>
        <v/>
      </c>
    </row>
    <row r="35" ht="15" customHeight="1" s="15">
      <c r="B35" s="41" t="n">
        <v>29</v>
      </c>
      <c r="C35" s="41">
        <f>IF(EMPLOYES!C43="","",EMPLOYES!C43)</f>
        <v/>
      </c>
      <c r="D35" s="56">
        <f>IF(EMPLOYES!C43="","",EMPLOYES!D43)</f>
        <v/>
      </c>
      <c r="E35" s="41">
        <f>IF(EMPLOYES!C43="","",EMPLOYES!M43)</f>
        <v/>
      </c>
      <c r="F35" s="57">
        <f>IF(EMPLOYES!C43="","",EMPLOYES!Y43)</f>
        <v/>
      </c>
      <c r="G35" s="47">
        <f>INDEX(BULLETIN!$C$201:$C$212,MATCH(mois_courant_numero,BULLETIN!$B$201:$B$212,0))+28</f>
        <v/>
      </c>
      <c r="H35" s="41">
        <f>IF($C35="","",IF($E35="5j",jours_ouvrables_5j_mois_courant,jours_ouvrables_6j_mois_courant))</f>
        <v/>
      </c>
      <c r="I35" s="41">
        <f>IF($C35="","",IFERROR(INDEX(VARIABLES!$G:$G,$G35),0))</f>
        <v/>
      </c>
      <c r="J35" s="41">
        <f>IF($C35="","",MAX(0,$H35-$I35))</f>
        <v/>
      </c>
      <c r="K35" s="57">
        <f>IF($C35="","",IF($H35=0,0,($F35/$H35)*$J35))</f>
        <v/>
      </c>
      <c r="L35" s="59">
        <f>IF($C35="","",IFERROR(INDEX(VARIABLES!$E:$E,$G35),0))</f>
        <v/>
      </c>
      <c r="M35" s="57">
        <f>IF($C35="","",IF($H35=0,0,($F35/$H35/heures_par_jour)*(MIN($L35,6)*taux_majoration_hs+MAX($L35-6,0)*taux_majoration_hs_tier2)))</f>
        <v/>
      </c>
      <c r="N35" s="57">
        <f>IF($C35="","",IFERROR(INDEX(VARIABLES!$F:$F,$G35),0))</f>
        <v/>
      </c>
      <c r="O35" s="57">
        <f>IF($C35="","",allocation_familiale_enfant*EMPLOYES!O43)</f>
        <v/>
      </c>
      <c r="P35" s="57">
        <f>IF($C35="","",contrevaleur_logement)</f>
        <v/>
      </c>
      <c r="Q35" s="57">
        <f>IF($C35="","",$K35+$M35+$N35+$O35+$P35+$AH35+$AJ35)</f>
        <v/>
      </c>
      <c r="R35" s="57">
        <f>IF($C35="","",$Q35*t_cnss_pension_salarie)</f>
        <v/>
      </c>
      <c r="S35" s="57">
        <f>IF($C35="","",IF(opt_cnss_deductible_ipr="Oui",$Q35-$R35,$Q35))</f>
        <v/>
      </c>
      <c r="T35" s="57">
        <f>IF($C35="","",MAX(ipr_plancher,MIN((IF($S35&lt;=ipr_t1_sup_mensuel,$S35*ipr_taux1,IF($S35&lt;=ipr_t2_sup_mensuel,ipr_t1_sup_mensuel*ipr_taux1+($S35-ipr_t1_sup_mensuel)*ipr_taux2,IF($S35&lt;=ipr_t3_sup_mensuel,ipr_t1_sup_mensuel*ipr_taux1+(ipr_t2_sup_mensuel-ipr_t1_sup_mensuel)*ipr_taux2+($S35-ipr_t2_sup_mensuel)*ipr_taux3,ipr_t1_sup_mensuel*ipr_taux1+(ipr_t2_sup_mensuel-ipr_t1_sup_mensuel)*ipr_taux2+(ipr_t3_sup_mensuel-ipr_t2_sup_mensuel)*ipr_taux3+($S35-ipr_t3_sup_mensuel)*ipr_taux4))))-MIN(EMPLOYES!O43,9)*ipr_reduction_famille*(IF($S35&lt;=ipr_t1_sup_mensuel,$S35*ipr_taux1,IF($S35&lt;=ipr_t2_sup_mensuel,ipr_t1_sup_mensuel*ipr_taux1+($S35-ipr_t1_sup_mensuel)*ipr_taux2,IF($S35&lt;=ipr_t3_sup_mensuel,ipr_t1_sup_mensuel*ipr_taux1+(ipr_t2_sup_mensuel-ipr_t1_sup_mensuel)*ipr_taux2+($S35-ipr_t2_sup_mensuel)*ipr_taux3,ipr_t1_sup_mensuel*ipr_taux1+(ipr_t2_sup_mensuel-ipr_t1_sup_mensuel)*ipr_taux2+(ipr_t3_sup_mensuel-ipr_t2_sup_mensuel)*ipr_taux3+($S35-ipr_t3_sup_mensuel)*ipr_taux4)))),$S35*ipr_plafond_pct)))</f>
        <v/>
      </c>
      <c r="U35" s="57">
        <f>IF($C35="","",$Q35-$R35-$T35)</f>
        <v/>
      </c>
      <c r="V35" s="57">
        <f>IF($C35="","",IFERROR(INDEX(VARIABLES!$H:$H,$G35),0))</f>
        <v/>
      </c>
      <c r="W35" s="57">
        <f>IF($C35="","",IFERROR(INDEX(VARIABLES!$J:$J,$G35),0))</f>
        <v/>
      </c>
      <c r="X35" s="57">
        <f>IF($C35="","",$U35-$V35-$W35)</f>
        <v/>
      </c>
      <c r="Y35" s="57">
        <f>IF($C35="","",$Q35*t_cnss_total_employeur)</f>
        <v/>
      </c>
      <c r="Z35" s="57">
        <f>IF($C35="","",$Q35*t_inpp_applicable)</f>
        <v/>
      </c>
      <c r="AA35" s="57">
        <f>IF($C35="","",$Q35*t_onem)</f>
        <v/>
      </c>
      <c r="AB35" s="57">
        <f>IF($C35="","",$Q35+$Y35+$Z35+$AA35)</f>
        <v/>
      </c>
      <c r="AC35" s="55">
        <f>IF(AND($C35&lt;&gt;"",$I35&gt;0),1,0)</f>
        <v/>
      </c>
      <c r="AD35" s="55">
        <f>SUM(AC$7:AC35)</f>
        <v/>
      </c>
      <c r="AE35" s="55">
        <f>IF(AND($C35&lt;&gt;"",$V35&gt;0),1,0)</f>
        <v/>
      </c>
      <c r="AF35" s="55">
        <f>SUM(AE$7:AE35)</f>
        <v/>
      </c>
      <c r="AG35" s="59">
        <f>IF($C35="","",IFERROR(INDEX(VARIABLES!$AY:$AY,$G35),0))</f>
        <v/>
      </c>
      <c r="AH35" s="57">
        <f>IF($C35="","",IF($H35=0,0,$AG35*(($F35/$H35)/heures_par_jour)*taux_majoration_nuit))</f>
        <v/>
      </c>
      <c r="AI35" s="59">
        <f>IF($C35="","",IFERROR(INDEX(VARIABLES!$AX:$AX,$G35),0))</f>
        <v/>
      </c>
      <c r="AJ35" s="57">
        <f>IF($C35="","",IF($H35=0,0,$AI35*($F35/$H35)*(1+taux_majoration_repos)))</f>
        <v/>
      </c>
    </row>
    <row r="36" ht="15" customHeight="1" s="15">
      <c r="B36" s="41" t="n">
        <v>30</v>
      </c>
      <c r="C36" s="41">
        <f>IF(EMPLOYES!C44="","",EMPLOYES!C44)</f>
        <v/>
      </c>
      <c r="D36" s="56">
        <f>IF(EMPLOYES!C44="","",EMPLOYES!D44)</f>
        <v/>
      </c>
      <c r="E36" s="41">
        <f>IF(EMPLOYES!C44="","",EMPLOYES!M44)</f>
        <v/>
      </c>
      <c r="F36" s="57">
        <f>IF(EMPLOYES!C44="","",EMPLOYES!Y44)</f>
        <v/>
      </c>
      <c r="G36" s="47">
        <f>INDEX(BULLETIN!$C$201:$C$212,MATCH(mois_courant_numero,BULLETIN!$B$201:$B$212,0))+29</f>
        <v/>
      </c>
      <c r="H36" s="41">
        <f>IF($C36="","",IF($E36="5j",jours_ouvrables_5j_mois_courant,jours_ouvrables_6j_mois_courant))</f>
        <v/>
      </c>
      <c r="I36" s="41">
        <f>IF($C36="","",IFERROR(INDEX(VARIABLES!$G:$G,$G36),0))</f>
        <v/>
      </c>
      <c r="J36" s="41">
        <f>IF($C36="","",MAX(0,$H36-$I36))</f>
        <v/>
      </c>
      <c r="K36" s="57">
        <f>IF($C36="","",IF($H36=0,0,($F36/$H36)*$J36))</f>
        <v/>
      </c>
      <c r="L36" s="59">
        <f>IF($C36="","",IFERROR(INDEX(VARIABLES!$E:$E,$G36),0))</f>
        <v/>
      </c>
      <c r="M36" s="57">
        <f>IF($C36="","",IF($H36=0,0,($F36/$H36/heures_par_jour)*(MIN($L36,6)*taux_majoration_hs+MAX($L36-6,0)*taux_majoration_hs_tier2)))</f>
        <v/>
      </c>
      <c r="N36" s="57">
        <f>IF($C36="","",IFERROR(INDEX(VARIABLES!$F:$F,$G36),0))</f>
        <v/>
      </c>
      <c r="O36" s="57">
        <f>IF($C36="","",allocation_familiale_enfant*EMPLOYES!O44)</f>
        <v/>
      </c>
      <c r="P36" s="57">
        <f>IF($C36="","",contrevaleur_logement)</f>
        <v/>
      </c>
      <c r="Q36" s="57">
        <f>IF($C36="","",$K36+$M36+$N36+$O36+$P36+$AH36+$AJ36)</f>
        <v/>
      </c>
      <c r="R36" s="57">
        <f>IF($C36="","",$Q36*t_cnss_pension_salarie)</f>
        <v/>
      </c>
      <c r="S36" s="57">
        <f>IF($C36="","",IF(opt_cnss_deductible_ipr="Oui",$Q36-$R36,$Q36))</f>
        <v/>
      </c>
      <c r="T36" s="57">
        <f>IF($C36="","",MAX(ipr_plancher,MIN((IF($S36&lt;=ipr_t1_sup_mensuel,$S36*ipr_taux1,IF($S36&lt;=ipr_t2_sup_mensuel,ipr_t1_sup_mensuel*ipr_taux1+($S36-ipr_t1_sup_mensuel)*ipr_taux2,IF($S36&lt;=ipr_t3_sup_mensuel,ipr_t1_sup_mensuel*ipr_taux1+(ipr_t2_sup_mensuel-ipr_t1_sup_mensuel)*ipr_taux2+($S36-ipr_t2_sup_mensuel)*ipr_taux3,ipr_t1_sup_mensuel*ipr_taux1+(ipr_t2_sup_mensuel-ipr_t1_sup_mensuel)*ipr_taux2+(ipr_t3_sup_mensuel-ipr_t2_sup_mensuel)*ipr_taux3+($S36-ipr_t3_sup_mensuel)*ipr_taux4))))-MIN(EMPLOYES!O44,9)*ipr_reduction_famille*(IF($S36&lt;=ipr_t1_sup_mensuel,$S36*ipr_taux1,IF($S36&lt;=ipr_t2_sup_mensuel,ipr_t1_sup_mensuel*ipr_taux1+($S36-ipr_t1_sup_mensuel)*ipr_taux2,IF($S36&lt;=ipr_t3_sup_mensuel,ipr_t1_sup_mensuel*ipr_taux1+(ipr_t2_sup_mensuel-ipr_t1_sup_mensuel)*ipr_taux2+($S36-ipr_t2_sup_mensuel)*ipr_taux3,ipr_t1_sup_mensuel*ipr_taux1+(ipr_t2_sup_mensuel-ipr_t1_sup_mensuel)*ipr_taux2+(ipr_t3_sup_mensuel-ipr_t2_sup_mensuel)*ipr_taux3+($S36-ipr_t3_sup_mensuel)*ipr_taux4)))),$S36*ipr_plafond_pct)))</f>
        <v/>
      </c>
      <c r="U36" s="57">
        <f>IF($C36="","",$Q36-$R36-$T36)</f>
        <v/>
      </c>
      <c r="V36" s="57">
        <f>IF($C36="","",IFERROR(INDEX(VARIABLES!$H:$H,$G36),0))</f>
        <v/>
      </c>
      <c r="W36" s="57">
        <f>IF($C36="","",IFERROR(INDEX(VARIABLES!$J:$J,$G36),0))</f>
        <v/>
      </c>
      <c r="X36" s="57">
        <f>IF($C36="","",$U36-$V36-$W36)</f>
        <v/>
      </c>
      <c r="Y36" s="57">
        <f>IF($C36="","",$Q36*t_cnss_total_employeur)</f>
        <v/>
      </c>
      <c r="Z36" s="57">
        <f>IF($C36="","",$Q36*t_inpp_applicable)</f>
        <v/>
      </c>
      <c r="AA36" s="57">
        <f>IF($C36="","",$Q36*t_onem)</f>
        <v/>
      </c>
      <c r="AB36" s="57">
        <f>IF($C36="","",$Q36+$Y36+$Z36+$AA36)</f>
        <v/>
      </c>
      <c r="AC36" s="55">
        <f>IF(AND($C36&lt;&gt;"",$I36&gt;0),1,0)</f>
        <v/>
      </c>
      <c r="AD36" s="55">
        <f>SUM(AC$7:AC36)</f>
        <v/>
      </c>
      <c r="AE36" s="55">
        <f>IF(AND($C36&lt;&gt;"",$V36&gt;0),1,0)</f>
        <v/>
      </c>
      <c r="AF36" s="55">
        <f>SUM(AE$7:AE36)</f>
        <v/>
      </c>
      <c r="AG36" s="59">
        <f>IF($C36="","",IFERROR(INDEX(VARIABLES!$AY:$AY,$G36),0))</f>
        <v/>
      </c>
      <c r="AH36" s="57">
        <f>IF($C36="","",IF($H36=0,0,$AG36*(($F36/$H36)/heures_par_jour)*taux_majoration_nuit))</f>
        <v/>
      </c>
      <c r="AI36" s="59">
        <f>IF($C36="","",IFERROR(INDEX(VARIABLES!$AX:$AX,$G36),0))</f>
        <v/>
      </c>
      <c r="AJ36" s="57">
        <f>IF($C36="","",IF($H36=0,0,$AI36*($F36/$H36)*(1+taux_majoration_repos)))</f>
        <v/>
      </c>
    </row>
    <row r="37" ht="15" customHeight="1" s="15">
      <c r="B37" s="41" t="n">
        <v>31</v>
      </c>
      <c r="C37" s="41">
        <f>IF(EMPLOYES!C45="","",EMPLOYES!C45)</f>
        <v/>
      </c>
      <c r="D37" s="56">
        <f>IF(EMPLOYES!C45="","",EMPLOYES!D45)</f>
        <v/>
      </c>
      <c r="E37" s="41">
        <f>IF(EMPLOYES!C45="","",EMPLOYES!M45)</f>
        <v/>
      </c>
      <c r="F37" s="57">
        <f>IF(EMPLOYES!C45="","",EMPLOYES!Y45)</f>
        <v/>
      </c>
      <c r="G37" s="47">
        <f>INDEX(BULLETIN!$C$201:$C$212,MATCH(mois_courant_numero,BULLETIN!$B$201:$B$212,0))+30</f>
        <v/>
      </c>
      <c r="H37" s="41">
        <f>IF($C37="","",IF($E37="5j",jours_ouvrables_5j_mois_courant,jours_ouvrables_6j_mois_courant))</f>
        <v/>
      </c>
      <c r="I37" s="41">
        <f>IF($C37="","",IFERROR(INDEX(VARIABLES!$G:$G,$G37),0))</f>
        <v/>
      </c>
      <c r="J37" s="41">
        <f>IF($C37="","",MAX(0,$H37-$I37))</f>
        <v/>
      </c>
      <c r="K37" s="57">
        <f>IF($C37="","",IF($H37=0,0,($F37/$H37)*$J37))</f>
        <v/>
      </c>
      <c r="L37" s="59">
        <f>IF($C37="","",IFERROR(INDEX(VARIABLES!$E:$E,$G37),0))</f>
        <v/>
      </c>
      <c r="M37" s="57">
        <f>IF($C37="","",IF($H37=0,0,($F37/$H37/heures_par_jour)*(MIN($L37,6)*taux_majoration_hs+MAX($L37-6,0)*taux_majoration_hs_tier2)))</f>
        <v/>
      </c>
      <c r="N37" s="57">
        <f>IF($C37="","",IFERROR(INDEX(VARIABLES!$F:$F,$G37),0))</f>
        <v/>
      </c>
      <c r="O37" s="57">
        <f>IF($C37="","",allocation_familiale_enfant*EMPLOYES!O45)</f>
        <v/>
      </c>
      <c r="P37" s="57">
        <f>IF($C37="","",contrevaleur_logement)</f>
        <v/>
      </c>
      <c r="Q37" s="57">
        <f>IF($C37="","",$K37+$M37+$N37+$O37+$P37+$AH37+$AJ37)</f>
        <v/>
      </c>
      <c r="R37" s="57">
        <f>IF($C37="","",$Q37*t_cnss_pension_salarie)</f>
        <v/>
      </c>
      <c r="S37" s="57">
        <f>IF($C37="","",IF(opt_cnss_deductible_ipr="Oui",$Q37-$R37,$Q37))</f>
        <v/>
      </c>
      <c r="T37" s="57">
        <f>IF($C37="","",MAX(ipr_plancher,MIN((IF($S37&lt;=ipr_t1_sup_mensuel,$S37*ipr_taux1,IF($S37&lt;=ipr_t2_sup_mensuel,ipr_t1_sup_mensuel*ipr_taux1+($S37-ipr_t1_sup_mensuel)*ipr_taux2,IF($S37&lt;=ipr_t3_sup_mensuel,ipr_t1_sup_mensuel*ipr_taux1+(ipr_t2_sup_mensuel-ipr_t1_sup_mensuel)*ipr_taux2+($S37-ipr_t2_sup_mensuel)*ipr_taux3,ipr_t1_sup_mensuel*ipr_taux1+(ipr_t2_sup_mensuel-ipr_t1_sup_mensuel)*ipr_taux2+(ipr_t3_sup_mensuel-ipr_t2_sup_mensuel)*ipr_taux3+($S37-ipr_t3_sup_mensuel)*ipr_taux4))))-MIN(EMPLOYES!O45,9)*ipr_reduction_famille*(IF($S37&lt;=ipr_t1_sup_mensuel,$S37*ipr_taux1,IF($S37&lt;=ipr_t2_sup_mensuel,ipr_t1_sup_mensuel*ipr_taux1+($S37-ipr_t1_sup_mensuel)*ipr_taux2,IF($S37&lt;=ipr_t3_sup_mensuel,ipr_t1_sup_mensuel*ipr_taux1+(ipr_t2_sup_mensuel-ipr_t1_sup_mensuel)*ipr_taux2+($S37-ipr_t2_sup_mensuel)*ipr_taux3,ipr_t1_sup_mensuel*ipr_taux1+(ipr_t2_sup_mensuel-ipr_t1_sup_mensuel)*ipr_taux2+(ipr_t3_sup_mensuel-ipr_t2_sup_mensuel)*ipr_taux3+($S37-ipr_t3_sup_mensuel)*ipr_taux4)))),$S37*ipr_plafond_pct)))</f>
        <v/>
      </c>
      <c r="U37" s="57">
        <f>IF($C37="","",$Q37-$R37-$T37)</f>
        <v/>
      </c>
      <c r="V37" s="57">
        <f>IF($C37="","",IFERROR(INDEX(VARIABLES!$H:$H,$G37),0))</f>
        <v/>
      </c>
      <c r="W37" s="57">
        <f>IF($C37="","",IFERROR(INDEX(VARIABLES!$J:$J,$G37),0))</f>
        <v/>
      </c>
      <c r="X37" s="57">
        <f>IF($C37="","",$U37-$V37-$W37)</f>
        <v/>
      </c>
      <c r="Y37" s="57">
        <f>IF($C37="","",$Q37*t_cnss_total_employeur)</f>
        <v/>
      </c>
      <c r="Z37" s="57">
        <f>IF($C37="","",$Q37*t_inpp_applicable)</f>
        <v/>
      </c>
      <c r="AA37" s="57">
        <f>IF($C37="","",$Q37*t_onem)</f>
        <v/>
      </c>
      <c r="AB37" s="57">
        <f>IF($C37="","",$Q37+$Y37+$Z37+$AA37)</f>
        <v/>
      </c>
      <c r="AC37" s="55">
        <f>IF(AND($C37&lt;&gt;"",$I37&gt;0),1,0)</f>
        <v/>
      </c>
      <c r="AD37" s="55">
        <f>SUM(AC$7:AC37)</f>
        <v/>
      </c>
      <c r="AE37" s="55">
        <f>IF(AND($C37&lt;&gt;"",$V37&gt;0),1,0)</f>
        <v/>
      </c>
      <c r="AF37" s="55">
        <f>SUM(AE$7:AE37)</f>
        <v/>
      </c>
      <c r="AG37" s="59">
        <f>IF($C37="","",IFERROR(INDEX(VARIABLES!$AY:$AY,$G37),0))</f>
        <v/>
      </c>
      <c r="AH37" s="57">
        <f>IF($C37="","",IF($H37=0,0,$AG37*(($F37/$H37)/heures_par_jour)*taux_majoration_nuit))</f>
        <v/>
      </c>
      <c r="AI37" s="59">
        <f>IF($C37="","",IFERROR(INDEX(VARIABLES!$AX:$AX,$G37),0))</f>
        <v/>
      </c>
      <c r="AJ37" s="57">
        <f>IF($C37="","",IF($H37=0,0,$AI37*($F37/$H37)*(1+taux_majoration_repos)))</f>
        <v/>
      </c>
    </row>
    <row r="38" ht="15" customHeight="1" s="15">
      <c r="B38" s="41" t="n">
        <v>32</v>
      </c>
      <c r="C38" s="41">
        <f>IF(EMPLOYES!C46="","",EMPLOYES!C46)</f>
        <v/>
      </c>
      <c r="D38" s="56">
        <f>IF(EMPLOYES!C46="","",EMPLOYES!D46)</f>
        <v/>
      </c>
      <c r="E38" s="41">
        <f>IF(EMPLOYES!C46="","",EMPLOYES!M46)</f>
        <v/>
      </c>
      <c r="F38" s="57">
        <f>IF(EMPLOYES!C46="","",EMPLOYES!Y46)</f>
        <v/>
      </c>
      <c r="G38" s="47">
        <f>INDEX(BULLETIN!$C$201:$C$212,MATCH(mois_courant_numero,BULLETIN!$B$201:$B$212,0))+31</f>
        <v/>
      </c>
      <c r="H38" s="41">
        <f>IF($C38="","",IF($E38="5j",jours_ouvrables_5j_mois_courant,jours_ouvrables_6j_mois_courant))</f>
        <v/>
      </c>
      <c r="I38" s="41">
        <f>IF($C38="","",IFERROR(INDEX(VARIABLES!$G:$G,$G38),0))</f>
        <v/>
      </c>
      <c r="J38" s="41">
        <f>IF($C38="","",MAX(0,$H38-$I38))</f>
        <v/>
      </c>
      <c r="K38" s="57">
        <f>IF($C38="","",IF($H38=0,0,($F38/$H38)*$J38))</f>
        <v/>
      </c>
      <c r="L38" s="59">
        <f>IF($C38="","",IFERROR(INDEX(VARIABLES!$E:$E,$G38),0))</f>
        <v/>
      </c>
      <c r="M38" s="57">
        <f>IF($C38="","",IF($H38=0,0,($F38/$H38/heures_par_jour)*(MIN($L38,6)*taux_majoration_hs+MAX($L38-6,0)*taux_majoration_hs_tier2)))</f>
        <v/>
      </c>
      <c r="N38" s="57">
        <f>IF($C38="","",IFERROR(INDEX(VARIABLES!$F:$F,$G38),0))</f>
        <v/>
      </c>
      <c r="O38" s="57">
        <f>IF($C38="","",allocation_familiale_enfant*EMPLOYES!O46)</f>
        <v/>
      </c>
      <c r="P38" s="57">
        <f>IF($C38="","",contrevaleur_logement)</f>
        <v/>
      </c>
      <c r="Q38" s="57">
        <f>IF($C38="","",$K38+$M38+$N38+$O38+$P38+$AH38+$AJ38)</f>
        <v/>
      </c>
      <c r="R38" s="57">
        <f>IF($C38="","",$Q38*t_cnss_pension_salarie)</f>
        <v/>
      </c>
      <c r="S38" s="57">
        <f>IF($C38="","",IF(opt_cnss_deductible_ipr="Oui",$Q38-$R38,$Q38))</f>
        <v/>
      </c>
      <c r="T38" s="57">
        <f>IF($C38="","",MAX(ipr_plancher,MIN((IF($S38&lt;=ipr_t1_sup_mensuel,$S38*ipr_taux1,IF($S38&lt;=ipr_t2_sup_mensuel,ipr_t1_sup_mensuel*ipr_taux1+($S38-ipr_t1_sup_mensuel)*ipr_taux2,IF($S38&lt;=ipr_t3_sup_mensuel,ipr_t1_sup_mensuel*ipr_taux1+(ipr_t2_sup_mensuel-ipr_t1_sup_mensuel)*ipr_taux2+($S38-ipr_t2_sup_mensuel)*ipr_taux3,ipr_t1_sup_mensuel*ipr_taux1+(ipr_t2_sup_mensuel-ipr_t1_sup_mensuel)*ipr_taux2+(ipr_t3_sup_mensuel-ipr_t2_sup_mensuel)*ipr_taux3+($S38-ipr_t3_sup_mensuel)*ipr_taux4))))-MIN(EMPLOYES!O46,9)*ipr_reduction_famille*(IF($S38&lt;=ipr_t1_sup_mensuel,$S38*ipr_taux1,IF($S38&lt;=ipr_t2_sup_mensuel,ipr_t1_sup_mensuel*ipr_taux1+($S38-ipr_t1_sup_mensuel)*ipr_taux2,IF($S38&lt;=ipr_t3_sup_mensuel,ipr_t1_sup_mensuel*ipr_taux1+(ipr_t2_sup_mensuel-ipr_t1_sup_mensuel)*ipr_taux2+($S38-ipr_t2_sup_mensuel)*ipr_taux3,ipr_t1_sup_mensuel*ipr_taux1+(ipr_t2_sup_mensuel-ipr_t1_sup_mensuel)*ipr_taux2+(ipr_t3_sup_mensuel-ipr_t2_sup_mensuel)*ipr_taux3+($S38-ipr_t3_sup_mensuel)*ipr_taux4)))),$S38*ipr_plafond_pct)))</f>
        <v/>
      </c>
      <c r="U38" s="57">
        <f>IF($C38="","",$Q38-$R38-$T38)</f>
        <v/>
      </c>
      <c r="V38" s="57">
        <f>IF($C38="","",IFERROR(INDEX(VARIABLES!$H:$H,$G38),0))</f>
        <v/>
      </c>
      <c r="W38" s="57">
        <f>IF($C38="","",IFERROR(INDEX(VARIABLES!$J:$J,$G38),0))</f>
        <v/>
      </c>
      <c r="X38" s="57">
        <f>IF($C38="","",$U38-$V38-$W38)</f>
        <v/>
      </c>
      <c r="Y38" s="57">
        <f>IF($C38="","",$Q38*t_cnss_total_employeur)</f>
        <v/>
      </c>
      <c r="Z38" s="57">
        <f>IF($C38="","",$Q38*t_inpp_applicable)</f>
        <v/>
      </c>
      <c r="AA38" s="57">
        <f>IF($C38="","",$Q38*t_onem)</f>
        <v/>
      </c>
      <c r="AB38" s="57">
        <f>IF($C38="","",$Q38+$Y38+$Z38+$AA38)</f>
        <v/>
      </c>
      <c r="AC38" s="55">
        <f>IF(AND($C38&lt;&gt;"",$I38&gt;0),1,0)</f>
        <v/>
      </c>
      <c r="AD38" s="55">
        <f>SUM(AC$7:AC38)</f>
        <v/>
      </c>
      <c r="AE38" s="55">
        <f>IF(AND($C38&lt;&gt;"",$V38&gt;0),1,0)</f>
        <v/>
      </c>
      <c r="AF38" s="55">
        <f>SUM(AE$7:AE38)</f>
        <v/>
      </c>
      <c r="AG38" s="59">
        <f>IF($C38="","",IFERROR(INDEX(VARIABLES!$AY:$AY,$G38),0))</f>
        <v/>
      </c>
      <c r="AH38" s="57">
        <f>IF($C38="","",IF($H38=0,0,$AG38*(($F38/$H38)/heures_par_jour)*taux_majoration_nuit))</f>
        <v/>
      </c>
      <c r="AI38" s="59">
        <f>IF($C38="","",IFERROR(INDEX(VARIABLES!$AX:$AX,$G38),0))</f>
        <v/>
      </c>
      <c r="AJ38" s="57">
        <f>IF($C38="","",IF($H38=0,0,$AI38*($F38/$H38)*(1+taux_majoration_repos)))</f>
        <v/>
      </c>
    </row>
    <row r="39" ht="15" customHeight="1" s="15">
      <c r="B39" s="41" t="n">
        <v>33</v>
      </c>
      <c r="C39" s="41">
        <f>IF(EMPLOYES!C47="","",EMPLOYES!C47)</f>
        <v/>
      </c>
      <c r="D39" s="56">
        <f>IF(EMPLOYES!C47="","",EMPLOYES!D47)</f>
        <v/>
      </c>
      <c r="E39" s="41">
        <f>IF(EMPLOYES!C47="","",EMPLOYES!M47)</f>
        <v/>
      </c>
      <c r="F39" s="57">
        <f>IF(EMPLOYES!C47="","",EMPLOYES!Y47)</f>
        <v/>
      </c>
      <c r="G39" s="47">
        <f>INDEX(BULLETIN!$C$201:$C$212,MATCH(mois_courant_numero,BULLETIN!$B$201:$B$212,0))+32</f>
        <v/>
      </c>
      <c r="H39" s="41">
        <f>IF($C39="","",IF($E39="5j",jours_ouvrables_5j_mois_courant,jours_ouvrables_6j_mois_courant))</f>
        <v/>
      </c>
      <c r="I39" s="41">
        <f>IF($C39="","",IFERROR(INDEX(VARIABLES!$G:$G,$G39),0))</f>
        <v/>
      </c>
      <c r="J39" s="41">
        <f>IF($C39="","",MAX(0,$H39-$I39))</f>
        <v/>
      </c>
      <c r="K39" s="57">
        <f>IF($C39="","",IF($H39=0,0,($F39/$H39)*$J39))</f>
        <v/>
      </c>
      <c r="L39" s="59">
        <f>IF($C39="","",IFERROR(INDEX(VARIABLES!$E:$E,$G39),0))</f>
        <v/>
      </c>
      <c r="M39" s="57">
        <f>IF($C39="","",IF($H39=0,0,($F39/$H39/heures_par_jour)*(MIN($L39,6)*taux_majoration_hs+MAX($L39-6,0)*taux_majoration_hs_tier2)))</f>
        <v/>
      </c>
      <c r="N39" s="57">
        <f>IF($C39="","",IFERROR(INDEX(VARIABLES!$F:$F,$G39),0))</f>
        <v/>
      </c>
      <c r="O39" s="57">
        <f>IF($C39="","",allocation_familiale_enfant*EMPLOYES!O47)</f>
        <v/>
      </c>
      <c r="P39" s="57">
        <f>IF($C39="","",contrevaleur_logement)</f>
        <v/>
      </c>
      <c r="Q39" s="57">
        <f>IF($C39="","",$K39+$M39+$N39+$O39+$P39+$AH39+$AJ39)</f>
        <v/>
      </c>
      <c r="R39" s="57">
        <f>IF($C39="","",$Q39*t_cnss_pension_salarie)</f>
        <v/>
      </c>
      <c r="S39" s="57">
        <f>IF($C39="","",IF(opt_cnss_deductible_ipr="Oui",$Q39-$R39,$Q39))</f>
        <v/>
      </c>
      <c r="T39" s="57">
        <f>IF($C39="","",MAX(ipr_plancher,MIN((IF($S39&lt;=ipr_t1_sup_mensuel,$S39*ipr_taux1,IF($S39&lt;=ipr_t2_sup_mensuel,ipr_t1_sup_mensuel*ipr_taux1+($S39-ipr_t1_sup_mensuel)*ipr_taux2,IF($S39&lt;=ipr_t3_sup_mensuel,ipr_t1_sup_mensuel*ipr_taux1+(ipr_t2_sup_mensuel-ipr_t1_sup_mensuel)*ipr_taux2+($S39-ipr_t2_sup_mensuel)*ipr_taux3,ipr_t1_sup_mensuel*ipr_taux1+(ipr_t2_sup_mensuel-ipr_t1_sup_mensuel)*ipr_taux2+(ipr_t3_sup_mensuel-ipr_t2_sup_mensuel)*ipr_taux3+($S39-ipr_t3_sup_mensuel)*ipr_taux4))))-MIN(EMPLOYES!O47,9)*ipr_reduction_famille*(IF($S39&lt;=ipr_t1_sup_mensuel,$S39*ipr_taux1,IF($S39&lt;=ipr_t2_sup_mensuel,ipr_t1_sup_mensuel*ipr_taux1+($S39-ipr_t1_sup_mensuel)*ipr_taux2,IF($S39&lt;=ipr_t3_sup_mensuel,ipr_t1_sup_mensuel*ipr_taux1+(ipr_t2_sup_mensuel-ipr_t1_sup_mensuel)*ipr_taux2+($S39-ipr_t2_sup_mensuel)*ipr_taux3,ipr_t1_sup_mensuel*ipr_taux1+(ipr_t2_sup_mensuel-ipr_t1_sup_mensuel)*ipr_taux2+(ipr_t3_sup_mensuel-ipr_t2_sup_mensuel)*ipr_taux3+($S39-ipr_t3_sup_mensuel)*ipr_taux4)))),$S39*ipr_plafond_pct)))</f>
        <v/>
      </c>
      <c r="U39" s="57">
        <f>IF($C39="","",$Q39-$R39-$T39)</f>
        <v/>
      </c>
      <c r="V39" s="57">
        <f>IF($C39="","",IFERROR(INDEX(VARIABLES!$H:$H,$G39),0))</f>
        <v/>
      </c>
      <c r="W39" s="57">
        <f>IF($C39="","",IFERROR(INDEX(VARIABLES!$J:$J,$G39),0))</f>
        <v/>
      </c>
      <c r="X39" s="57">
        <f>IF($C39="","",$U39-$V39-$W39)</f>
        <v/>
      </c>
      <c r="Y39" s="57">
        <f>IF($C39="","",$Q39*t_cnss_total_employeur)</f>
        <v/>
      </c>
      <c r="Z39" s="57">
        <f>IF($C39="","",$Q39*t_inpp_applicable)</f>
        <v/>
      </c>
      <c r="AA39" s="57">
        <f>IF($C39="","",$Q39*t_onem)</f>
        <v/>
      </c>
      <c r="AB39" s="57">
        <f>IF($C39="","",$Q39+$Y39+$Z39+$AA39)</f>
        <v/>
      </c>
      <c r="AC39" s="55">
        <f>IF(AND($C39&lt;&gt;"",$I39&gt;0),1,0)</f>
        <v/>
      </c>
      <c r="AD39" s="55">
        <f>SUM(AC$7:AC39)</f>
        <v/>
      </c>
      <c r="AE39" s="55">
        <f>IF(AND($C39&lt;&gt;"",$V39&gt;0),1,0)</f>
        <v/>
      </c>
      <c r="AF39" s="55">
        <f>SUM(AE$7:AE39)</f>
        <v/>
      </c>
      <c r="AG39" s="59">
        <f>IF($C39="","",IFERROR(INDEX(VARIABLES!$AY:$AY,$G39),0))</f>
        <v/>
      </c>
      <c r="AH39" s="57">
        <f>IF($C39="","",IF($H39=0,0,$AG39*(($F39/$H39)/heures_par_jour)*taux_majoration_nuit))</f>
        <v/>
      </c>
      <c r="AI39" s="59">
        <f>IF($C39="","",IFERROR(INDEX(VARIABLES!$AX:$AX,$G39),0))</f>
        <v/>
      </c>
      <c r="AJ39" s="57">
        <f>IF($C39="","",IF($H39=0,0,$AI39*($F39/$H39)*(1+taux_majoration_repos)))</f>
        <v/>
      </c>
    </row>
    <row r="40" ht="15" customHeight="1" s="15">
      <c r="B40" s="41" t="n">
        <v>34</v>
      </c>
      <c r="C40" s="41">
        <f>IF(EMPLOYES!C48="","",EMPLOYES!C48)</f>
        <v/>
      </c>
      <c r="D40" s="56">
        <f>IF(EMPLOYES!C48="","",EMPLOYES!D48)</f>
        <v/>
      </c>
      <c r="E40" s="41">
        <f>IF(EMPLOYES!C48="","",EMPLOYES!M48)</f>
        <v/>
      </c>
      <c r="F40" s="57">
        <f>IF(EMPLOYES!C48="","",EMPLOYES!Y48)</f>
        <v/>
      </c>
      <c r="G40" s="47">
        <f>INDEX(BULLETIN!$C$201:$C$212,MATCH(mois_courant_numero,BULLETIN!$B$201:$B$212,0))+33</f>
        <v/>
      </c>
      <c r="H40" s="41">
        <f>IF($C40="","",IF($E40="5j",jours_ouvrables_5j_mois_courant,jours_ouvrables_6j_mois_courant))</f>
        <v/>
      </c>
      <c r="I40" s="41">
        <f>IF($C40="","",IFERROR(INDEX(VARIABLES!$G:$G,$G40),0))</f>
        <v/>
      </c>
      <c r="J40" s="41">
        <f>IF($C40="","",MAX(0,$H40-$I40))</f>
        <v/>
      </c>
      <c r="K40" s="57">
        <f>IF($C40="","",IF($H40=0,0,($F40/$H40)*$J40))</f>
        <v/>
      </c>
      <c r="L40" s="59">
        <f>IF($C40="","",IFERROR(INDEX(VARIABLES!$E:$E,$G40),0))</f>
        <v/>
      </c>
      <c r="M40" s="57">
        <f>IF($C40="","",IF($H40=0,0,($F40/$H40/heures_par_jour)*(MIN($L40,6)*taux_majoration_hs+MAX($L40-6,0)*taux_majoration_hs_tier2)))</f>
        <v/>
      </c>
      <c r="N40" s="57">
        <f>IF($C40="","",IFERROR(INDEX(VARIABLES!$F:$F,$G40),0))</f>
        <v/>
      </c>
      <c r="O40" s="57">
        <f>IF($C40="","",allocation_familiale_enfant*EMPLOYES!O48)</f>
        <v/>
      </c>
      <c r="P40" s="57">
        <f>IF($C40="","",contrevaleur_logement)</f>
        <v/>
      </c>
      <c r="Q40" s="57">
        <f>IF($C40="","",$K40+$M40+$N40+$O40+$P40+$AH40+$AJ40)</f>
        <v/>
      </c>
      <c r="R40" s="57">
        <f>IF($C40="","",$Q40*t_cnss_pension_salarie)</f>
        <v/>
      </c>
      <c r="S40" s="57">
        <f>IF($C40="","",IF(opt_cnss_deductible_ipr="Oui",$Q40-$R40,$Q40))</f>
        <v/>
      </c>
      <c r="T40" s="57">
        <f>IF($C40="","",MAX(ipr_plancher,MIN((IF($S40&lt;=ipr_t1_sup_mensuel,$S40*ipr_taux1,IF($S40&lt;=ipr_t2_sup_mensuel,ipr_t1_sup_mensuel*ipr_taux1+($S40-ipr_t1_sup_mensuel)*ipr_taux2,IF($S40&lt;=ipr_t3_sup_mensuel,ipr_t1_sup_mensuel*ipr_taux1+(ipr_t2_sup_mensuel-ipr_t1_sup_mensuel)*ipr_taux2+($S40-ipr_t2_sup_mensuel)*ipr_taux3,ipr_t1_sup_mensuel*ipr_taux1+(ipr_t2_sup_mensuel-ipr_t1_sup_mensuel)*ipr_taux2+(ipr_t3_sup_mensuel-ipr_t2_sup_mensuel)*ipr_taux3+($S40-ipr_t3_sup_mensuel)*ipr_taux4))))-MIN(EMPLOYES!O48,9)*ipr_reduction_famille*(IF($S40&lt;=ipr_t1_sup_mensuel,$S40*ipr_taux1,IF($S40&lt;=ipr_t2_sup_mensuel,ipr_t1_sup_mensuel*ipr_taux1+($S40-ipr_t1_sup_mensuel)*ipr_taux2,IF($S40&lt;=ipr_t3_sup_mensuel,ipr_t1_sup_mensuel*ipr_taux1+(ipr_t2_sup_mensuel-ipr_t1_sup_mensuel)*ipr_taux2+($S40-ipr_t2_sup_mensuel)*ipr_taux3,ipr_t1_sup_mensuel*ipr_taux1+(ipr_t2_sup_mensuel-ipr_t1_sup_mensuel)*ipr_taux2+(ipr_t3_sup_mensuel-ipr_t2_sup_mensuel)*ipr_taux3+($S40-ipr_t3_sup_mensuel)*ipr_taux4)))),$S40*ipr_plafond_pct)))</f>
        <v/>
      </c>
      <c r="U40" s="57">
        <f>IF($C40="","",$Q40-$R40-$T40)</f>
        <v/>
      </c>
      <c r="V40" s="57">
        <f>IF($C40="","",IFERROR(INDEX(VARIABLES!$H:$H,$G40),0))</f>
        <v/>
      </c>
      <c r="W40" s="57">
        <f>IF($C40="","",IFERROR(INDEX(VARIABLES!$J:$J,$G40),0))</f>
        <v/>
      </c>
      <c r="X40" s="57">
        <f>IF($C40="","",$U40-$V40-$W40)</f>
        <v/>
      </c>
      <c r="Y40" s="57">
        <f>IF($C40="","",$Q40*t_cnss_total_employeur)</f>
        <v/>
      </c>
      <c r="Z40" s="57">
        <f>IF($C40="","",$Q40*t_inpp_applicable)</f>
        <v/>
      </c>
      <c r="AA40" s="57">
        <f>IF($C40="","",$Q40*t_onem)</f>
        <v/>
      </c>
      <c r="AB40" s="57">
        <f>IF($C40="","",$Q40+$Y40+$Z40+$AA40)</f>
        <v/>
      </c>
      <c r="AC40" s="55">
        <f>IF(AND($C40&lt;&gt;"",$I40&gt;0),1,0)</f>
        <v/>
      </c>
      <c r="AD40" s="55">
        <f>SUM(AC$7:AC40)</f>
        <v/>
      </c>
      <c r="AE40" s="55">
        <f>IF(AND($C40&lt;&gt;"",$V40&gt;0),1,0)</f>
        <v/>
      </c>
      <c r="AF40" s="55">
        <f>SUM(AE$7:AE40)</f>
        <v/>
      </c>
      <c r="AG40" s="59">
        <f>IF($C40="","",IFERROR(INDEX(VARIABLES!$AY:$AY,$G40),0))</f>
        <v/>
      </c>
      <c r="AH40" s="57">
        <f>IF($C40="","",IF($H40=0,0,$AG40*(($F40/$H40)/heures_par_jour)*taux_majoration_nuit))</f>
        <v/>
      </c>
      <c r="AI40" s="59">
        <f>IF($C40="","",IFERROR(INDEX(VARIABLES!$AX:$AX,$G40),0))</f>
        <v/>
      </c>
      <c r="AJ40" s="57">
        <f>IF($C40="","",IF($H40=0,0,$AI40*($F40/$H40)*(1+taux_majoration_repos)))</f>
        <v/>
      </c>
    </row>
    <row r="41" ht="15" customHeight="1" s="15">
      <c r="B41" s="41" t="n">
        <v>35</v>
      </c>
      <c r="C41" s="41">
        <f>IF(EMPLOYES!C49="","",EMPLOYES!C49)</f>
        <v/>
      </c>
      <c r="D41" s="56">
        <f>IF(EMPLOYES!C49="","",EMPLOYES!D49)</f>
        <v/>
      </c>
      <c r="E41" s="41">
        <f>IF(EMPLOYES!C49="","",EMPLOYES!M49)</f>
        <v/>
      </c>
      <c r="F41" s="57">
        <f>IF(EMPLOYES!C49="","",EMPLOYES!Y49)</f>
        <v/>
      </c>
      <c r="G41" s="47">
        <f>INDEX(BULLETIN!$C$201:$C$212,MATCH(mois_courant_numero,BULLETIN!$B$201:$B$212,0))+34</f>
        <v/>
      </c>
      <c r="H41" s="41">
        <f>IF($C41="","",IF($E41="5j",jours_ouvrables_5j_mois_courant,jours_ouvrables_6j_mois_courant))</f>
        <v/>
      </c>
      <c r="I41" s="41">
        <f>IF($C41="","",IFERROR(INDEX(VARIABLES!$G:$G,$G41),0))</f>
        <v/>
      </c>
      <c r="J41" s="41">
        <f>IF($C41="","",MAX(0,$H41-$I41))</f>
        <v/>
      </c>
      <c r="K41" s="57">
        <f>IF($C41="","",IF($H41=0,0,($F41/$H41)*$J41))</f>
        <v/>
      </c>
      <c r="L41" s="59">
        <f>IF($C41="","",IFERROR(INDEX(VARIABLES!$E:$E,$G41),0))</f>
        <v/>
      </c>
      <c r="M41" s="57">
        <f>IF($C41="","",IF($H41=0,0,($F41/$H41/heures_par_jour)*(MIN($L41,6)*taux_majoration_hs+MAX($L41-6,0)*taux_majoration_hs_tier2)))</f>
        <v/>
      </c>
      <c r="N41" s="57">
        <f>IF($C41="","",IFERROR(INDEX(VARIABLES!$F:$F,$G41),0))</f>
        <v/>
      </c>
      <c r="O41" s="57">
        <f>IF($C41="","",allocation_familiale_enfant*EMPLOYES!O49)</f>
        <v/>
      </c>
      <c r="P41" s="57">
        <f>IF($C41="","",contrevaleur_logement)</f>
        <v/>
      </c>
      <c r="Q41" s="57">
        <f>IF($C41="","",$K41+$M41+$N41+$O41+$P41+$AH41+$AJ41)</f>
        <v/>
      </c>
      <c r="R41" s="57">
        <f>IF($C41="","",$Q41*t_cnss_pension_salarie)</f>
        <v/>
      </c>
      <c r="S41" s="57">
        <f>IF($C41="","",IF(opt_cnss_deductible_ipr="Oui",$Q41-$R41,$Q41))</f>
        <v/>
      </c>
      <c r="T41" s="57">
        <f>IF($C41="","",MAX(ipr_plancher,MIN((IF($S41&lt;=ipr_t1_sup_mensuel,$S41*ipr_taux1,IF($S41&lt;=ipr_t2_sup_mensuel,ipr_t1_sup_mensuel*ipr_taux1+($S41-ipr_t1_sup_mensuel)*ipr_taux2,IF($S41&lt;=ipr_t3_sup_mensuel,ipr_t1_sup_mensuel*ipr_taux1+(ipr_t2_sup_mensuel-ipr_t1_sup_mensuel)*ipr_taux2+($S41-ipr_t2_sup_mensuel)*ipr_taux3,ipr_t1_sup_mensuel*ipr_taux1+(ipr_t2_sup_mensuel-ipr_t1_sup_mensuel)*ipr_taux2+(ipr_t3_sup_mensuel-ipr_t2_sup_mensuel)*ipr_taux3+($S41-ipr_t3_sup_mensuel)*ipr_taux4))))-MIN(EMPLOYES!O49,9)*ipr_reduction_famille*(IF($S41&lt;=ipr_t1_sup_mensuel,$S41*ipr_taux1,IF($S41&lt;=ipr_t2_sup_mensuel,ipr_t1_sup_mensuel*ipr_taux1+($S41-ipr_t1_sup_mensuel)*ipr_taux2,IF($S41&lt;=ipr_t3_sup_mensuel,ipr_t1_sup_mensuel*ipr_taux1+(ipr_t2_sup_mensuel-ipr_t1_sup_mensuel)*ipr_taux2+($S41-ipr_t2_sup_mensuel)*ipr_taux3,ipr_t1_sup_mensuel*ipr_taux1+(ipr_t2_sup_mensuel-ipr_t1_sup_mensuel)*ipr_taux2+(ipr_t3_sup_mensuel-ipr_t2_sup_mensuel)*ipr_taux3+($S41-ipr_t3_sup_mensuel)*ipr_taux4)))),$S41*ipr_plafond_pct)))</f>
        <v/>
      </c>
      <c r="U41" s="57">
        <f>IF($C41="","",$Q41-$R41-$T41)</f>
        <v/>
      </c>
      <c r="V41" s="57">
        <f>IF($C41="","",IFERROR(INDEX(VARIABLES!$H:$H,$G41),0))</f>
        <v/>
      </c>
      <c r="W41" s="57">
        <f>IF($C41="","",IFERROR(INDEX(VARIABLES!$J:$J,$G41),0))</f>
        <v/>
      </c>
      <c r="X41" s="57">
        <f>IF($C41="","",$U41-$V41-$W41)</f>
        <v/>
      </c>
      <c r="Y41" s="57">
        <f>IF($C41="","",$Q41*t_cnss_total_employeur)</f>
        <v/>
      </c>
      <c r="Z41" s="57">
        <f>IF($C41="","",$Q41*t_inpp_applicable)</f>
        <v/>
      </c>
      <c r="AA41" s="57">
        <f>IF($C41="","",$Q41*t_onem)</f>
        <v/>
      </c>
      <c r="AB41" s="57">
        <f>IF($C41="","",$Q41+$Y41+$Z41+$AA41)</f>
        <v/>
      </c>
      <c r="AC41" s="55">
        <f>IF(AND($C41&lt;&gt;"",$I41&gt;0),1,0)</f>
        <v/>
      </c>
      <c r="AD41" s="55">
        <f>SUM(AC$7:AC41)</f>
        <v/>
      </c>
      <c r="AE41" s="55">
        <f>IF(AND($C41&lt;&gt;"",$V41&gt;0),1,0)</f>
        <v/>
      </c>
      <c r="AF41" s="55">
        <f>SUM(AE$7:AE41)</f>
        <v/>
      </c>
      <c r="AG41" s="59">
        <f>IF($C41="","",IFERROR(INDEX(VARIABLES!$AY:$AY,$G41),0))</f>
        <v/>
      </c>
      <c r="AH41" s="57">
        <f>IF($C41="","",IF($H41=0,0,$AG41*(($F41/$H41)/heures_par_jour)*taux_majoration_nuit))</f>
        <v/>
      </c>
      <c r="AI41" s="59">
        <f>IF($C41="","",IFERROR(INDEX(VARIABLES!$AX:$AX,$G41),0))</f>
        <v/>
      </c>
      <c r="AJ41" s="57">
        <f>IF($C41="","",IF($H41=0,0,$AI41*($F41/$H41)*(1+taux_majoration_repos)))</f>
        <v/>
      </c>
    </row>
    <row r="42" ht="15" customHeight="1" s="15">
      <c r="B42" s="41" t="n">
        <v>36</v>
      </c>
      <c r="C42" s="41">
        <f>IF(EMPLOYES!C50="","",EMPLOYES!C50)</f>
        <v/>
      </c>
      <c r="D42" s="56">
        <f>IF(EMPLOYES!C50="","",EMPLOYES!D50)</f>
        <v/>
      </c>
      <c r="E42" s="41">
        <f>IF(EMPLOYES!C50="","",EMPLOYES!M50)</f>
        <v/>
      </c>
      <c r="F42" s="57">
        <f>IF(EMPLOYES!C50="","",EMPLOYES!Y50)</f>
        <v/>
      </c>
      <c r="G42" s="47">
        <f>INDEX(BULLETIN!$C$201:$C$212,MATCH(mois_courant_numero,BULLETIN!$B$201:$B$212,0))+35</f>
        <v/>
      </c>
      <c r="H42" s="41">
        <f>IF($C42="","",IF($E42="5j",jours_ouvrables_5j_mois_courant,jours_ouvrables_6j_mois_courant))</f>
        <v/>
      </c>
      <c r="I42" s="41">
        <f>IF($C42="","",IFERROR(INDEX(VARIABLES!$G:$G,$G42),0))</f>
        <v/>
      </c>
      <c r="J42" s="41">
        <f>IF($C42="","",MAX(0,$H42-$I42))</f>
        <v/>
      </c>
      <c r="K42" s="57">
        <f>IF($C42="","",IF($H42=0,0,($F42/$H42)*$J42))</f>
        <v/>
      </c>
      <c r="L42" s="59">
        <f>IF($C42="","",IFERROR(INDEX(VARIABLES!$E:$E,$G42),0))</f>
        <v/>
      </c>
      <c r="M42" s="57">
        <f>IF($C42="","",IF($H42=0,0,($F42/$H42/heures_par_jour)*(MIN($L42,6)*taux_majoration_hs+MAX($L42-6,0)*taux_majoration_hs_tier2)))</f>
        <v/>
      </c>
      <c r="N42" s="57">
        <f>IF($C42="","",IFERROR(INDEX(VARIABLES!$F:$F,$G42),0))</f>
        <v/>
      </c>
      <c r="O42" s="57">
        <f>IF($C42="","",allocation_familiale_enfant*EMPLOYES!O50)</f>
        <v/>
      </c>
      <c r="P42" s="57">
        <f>IF($C42="","",contrevaleur_logement)</f>
        <v/>
      </c>
      <c r="Q42" s="57">
        <f>IF($C42="","",$K42+$M42+$N42+$O42+$P42+$AH42+$AJ42)</f>
        <v/>
      </c>
      <c r="R42" s="57">
        <f>IF($C42="","",$Q42*t_cnss_pension_salarie)</f>
        <v/>
      </c>
      <c r="S42" s="57">
        <f>IF($C42="","",IF(opt_cnss_deductible_ipr="Oui",$Q42-$R42,$Q42))</f>
        <v/>
      </c>
      <c r="T42" s="57">
        <f>IF($C42="","",MAX(ipr_plancher,MIN((IF($S42&lt;=ipr_t1_sup_mensuel,$S42*ipr_taux1,IF($S42&lt;=ipr_t2_sup_mensuel,ipr_t1_sup_mensuel*ipr_taux1+($S42-ipr_t1_sup_mensuel)*ipr_taux2,IF($S42&lt;=ipr_t3_sup_mensuel,ipr_t1_sup_mensuel*ipr_taux1+(ipr_t2_sup_mensuel-ipr_t1_sup_mensuel)*ipr_taux2+($S42-ipr_t2_sup_mensuel)*ipr_taux3,ipr_t1_sup_mensuel*ipr_taux1+(ipr_t2_sup_mensuel-ipr_t1_sup_mensuel)*ipr_taux2+(ipr_t3_sup_mensuel-ipr_t2_sup_mensuel)*ipr_taux3+($S42-ipr_t3_sup_mensuel)*ipr_taux4))))-MIN(EMPLOYES!O50,9)*ipr_reduction_famille*(IF($S42&lt;=ipr_t1_sup_mensuel,$S42*ipr_taux1,IF($S42&lt;=ipr_t2_sup_mensuel,ipr_t1_sup_mensuel*ipr_taux1+($S42-ipr_t1_sup_mensuel)*ipr_taux2,IF($S42&lt;=ipr_t3_sup_mensuel,ipr_t1_sup_mensuel*ipr_taux1+(ipr_t2_sup_mensuel-ipr_t1_sup_mensuel)*ipr_taux2+($S42-ipr_t2_sup_mensuel)*ipr_taux3,ipr_t1_sup_mensuel*ipr_taux1+(ipr_t2_sup_mensuel-ipr_t1_sup_mensuel)*ipr_taux2+(ipr_t3_sup_mensuel-ipr_t2_sup_mensuel)*ipr_taux3+($S42-ipr_t3_sup_mensuel)*ipr_taux4)))),$S42*ipr_plafond_pct)))</f>
        <v/>
      </c>
      <c r="U42" s="57">
        <f>IF($C42="","",$Q42-$R42-$T42)</f>
        <v/>
      </c>
      <c r="V42" s="57">
        <f>IF($C42="","",IFERROR(INDEX(VARIABLES!$H:$H,$G42),0))</f>
        <v/>
      </c>
      <c r="W42" s="57">
        <f>IF($C42="","",IFERROR(INDEX(VARIABLES!$J:$J,$G42),0))</f>
        <v/>
      </c>
      <c r="X42" s="57">
        <f>IF($C42="","",$U42-$V42-$W42)</f>
        <v/>
      </c>
      <c r="Y42" s="57">
        <f>IF($C42="","",$Q42*t_cnss_total_employeur)</f>
        <v/>
      </c>
      <c r="Z42" s="57">
        <f>IF($C42="","",$Q42*t_inpp_applicable)</f>
        <v/>
      </c>
      <c r="AA42" s="57">
        <f>IF($C42="","",$Q42*t_onem)</f>
        <v/>
      </c>
      <c r="AB42" s="57">
        <f>IF($C42="","",$Q42+$Y42+$Z42+$AA42)</f>
        <v/>
      </c>
      <c r="AC42" s="55">
        <f>IF(AND($C42&lt;&gt;"",$I42&gt;0),1,0)</f>
        <v/>
      </c>
      <c r="AD42" s="55">
        <f>SUM(AC$7:AC42)</f>
        <v/>
      </c>
      <c r="AE42" s="55">
        <f>IF(AND($C42&lt;&gt;"",$V42&gt;0),1,0)</f>
        <v/>
      </c>
      <c r="AF42" s="55">
        <f>SUM(AE$7:AE42)</f>
        <v/>
      </c>
      <c r="AG42" s="59">
        <f>IF($C42="","",IFERROR(INDEX(VARIABLES!$AY:$AY,$G42),0))</f>
        <v/>
      </c>
      <c r="AH42" s="57">
        <f>IF($C42="","",IF($H42=0,0,$AG42*(($F42/$H42)/heures_par_jour)*taux_majoration_nuit))</f>
        <v/>
      </c>
      <c r="AI42" s="59">
        <f>IF($C42="","",IFERROR(INDEX(VARIABLES!$AX:$AX,$G42),0))</f>
        <v/>
      </c>
      <c r="AJ42" s="57">
        <f>IF($C42="","",IF($H42=0,0,$AI42*($F42/$H42)*(1+taux_majoration_repos)))</f>
        <v/>
      </c>
    </row>
    <row r="43" ht="15" customHeight="1" s="15">
      <c r="B43" s="41" t="n">
        <v>37</v>
      </c>
      <c r="C43" s="41">
        <f>IF(EMPLOYES!C51="","",EMPLOYES!C51)</f>
        <v/>
      </c>
      <c r="D43" s="56">
        <f>IF(EMPLOYES!C51="","",EMPLOYES!D51)</f>
        <v/>
      </c>
      <c r="E43" s="41">
        <f>IF(EMPLOYES!C51="","",EMPLOYES!M51)</f>
        <v/>
      </c>
      <c r="F43" s="57">
        <f>IF(EMPLOYES!C51="","",EMPLOYES!Y51)</f>
        <v/>
      </c>
      <c r="G43" s="47">
        <f>INDEX(BULLETIN!$C$201:$C$212,MATCH(mois_courant_numero,BULLETIN!$B$201:$B$212,0))+36</f>
        <v/>
      </c>
      <c r="H43" s="41">
        <f>IF($C43="","",IF($E43="5j",jours_ouvrables_5j_mois_courant,jours_ouvrables_6j_mois_courant))</f>
        <v/>
      </c>
      <c r="I43" s="41">
        <f>IF($C43="","",IFERROR(INDEX(VARIABLES!$G:$G,$G43),0))</f>
        <v/>
      </c>
      <c r="J43" s="41">
        <f>IF($C43="","",MAX(0,$H43-$I43))</f>
        <v/>
      </c>
      <c r="K43" s="57">
        <f>IF($C43="","",IF($H43=0,0,($F43/$H43)*$J43))</f>
        <v/>
      </c>
      <c r="L43" s="59">
        <f>IF($C43="","",IFERROR(INDEX(VARIABLES!$E:$E,$G43),0))</f>
        <v/>
      </c>
      <c r="M43" s="57">
        <f>IF($C43="","",IF($H43=0,0,($F43/$H43/heures_par_jour)*(MIN($L43,6)*taux_majoration_hs+MAX($L43-6,0)*taux_majoration_hs_tier2)))</f>
        <v/>
      </c>
      <c r="N43" s="57">
        <f>IF($C43="","",IFERROR(INDEX(VARIABLES!$F:$F,$G43),0))</f>
        <v/>
      </c>
      <c r="O43" s="57">
        <f>IF($C43="","",allocation_familiale_enfant*EMPLOYES!O51)</f>
        <v/>
      </c>
      <c r="P43" s="57">
        <f>IF($C43="","",contrevaleur_logement)</f>
        <v/>
      </c>
      <c r="Q43" s="57">
        <f>IF($C43="","",$K43+$M43+$N43+$O43+$P43+$AH43+$AJ43)</f>
        <v/>
      </c>
      <c r="R43" s="57">
        <f>IF($C43="","",$Q43*t_cnss_pension_salarie)</f>
        <v/>
      </c>
      <c r="S43" s="57">
        <f>IF($C43="","",IF(opt_cnss_deductible_ipr="Oui",$Q43-$R43,$Q43))</f>
        <v/>
      </c>
      <c r="T43" s="57">
        <f>IF($C43="","",MAX(ipr_plancher,MIN((IF($S43&lt;=ipr_t1_sup_mensuel,$S43*ipr_taux1,IF($S43&lt;=ipr_t2_sup_mensuel,ipr_t1_sup_mensuel*ipr_taux1+($S43-ipr_t1_sup_mensuel)*ipr_taux2,IF($S43&lt;=ipr_t3_sup_mensuel,ipr_t1_sup_mensuel*ipr_taux1+(ipr_t2_sup_mensuel-ipr_t1_sup_mensuel)*ipr_taux2+($S43-ipr_t2_sup_mensuel)*ipr_taux3,ipr_t1_sup_mensuel*ipr_taux1+(ipr_t2_sup_mensuel-ipr_t1_sup_mensuel)*ipr_taux2+(ipr_t3_sup_mensuel-ipr_t2_sup_mensuel)*ipr_taux3+($S43-ipr_t3_sup_mensuel)*ipr_taux4))))-MIN(EMPLOYES!O51,9)*ipr_reduction_famille*(IF($S43&lt;=ipr_t1_sup_mensuel,$S43*ipr_taux1,IF($S43&lt;=ipr_t2_sup_mensuel,ipr_t1_sup_mensuel*ipr_taux1+($S43-ipr_t1_sup_mensuel)*ipr_taux2,IF($S43&lt;=ipr_t3_sup_mensuel,ipr_t1_sup_mensuel*ipr_taux1+(ipr_t2_sup_mensuel-ipr_t1_sup_mensuel)*ipr_taux2+($S43-ipr_t2_sup_mensuel)*ipr_taux3,ipr_t1_sup_mensuel*ipr_taux1+(ipr_t2_sup_mensuel-ipr_t1_sup_mensuel)*ipr_taux2+(ipr_t3_sup_mensuel-ipr_t2_sup_mensuel)*ipr_taux3+($S43-ipr_t3_sup_mensuel)*ipr_taux4)))),$S43*ipr_plafond_pct)))</f>
        <v/>
      </c>
      <c r="U43" s="57">
        <f>IF($C43="","",$Q43-$R43-$T43)</f>
        <v/>
      </c>
      <c r="V43" s="57">
        <f>IF($C43="","",IFERROR(INDEX(VARIABLES!$H:$H,$G43),0))</f>
        <v/>
      </c>
      <c r="W43" s="57">
        <f>IF($C43="","",IFERROR(INDEX(VARIABLES!$J:$J,$G43),0))</f>
        <v/>
      </c>
      <c r="X43" s="57">
        <f>IF($C43="","",$U43-$V43-$W43)</f>
        <v/>
      </c>
      <c r="Y43" s="57">
        <f>IF($C43="","",$Q43*t_cnss_total_employeur)</f>
        <v/>
      </c>
      <c r="Z43" s="57">
        <f>IF($C43="","",$Q43*t_inpp_applicable)</f>
        <v/>
      </c>
      <c r="AA43" s="57">
        <f>IF($C43="","",$Q43*t_onem)</f>
        <v/>
      </c>
      <c r="AB43" s="57">
        <f>IF($C43="","",$Q43+$Y43+$Z43+$AA43)</f>
        <v/>
      </c>
      <c r="AC43" s="55">
        <f>IF(AND($C43&lt;&gt;"",$I43&gt;0),1,0)</f>
        <v/>
      </c>
      <c r="AD43" s="55">
        <f>SUM(AC$7:AC43)</f>
        <v/>
      </c>
      <c r="AE43" s="55">
        <f>IF(AND($C43&lt;&gt;"",$V43&gt;0),1,0)</f>
        <v/>
      </c>
      <c r="AF43" s="55">
        <f>SUM(AE$7:AE43)</f>
        <v/>
      </c>
      <c r="AG43" s="59">
        <f>IF($C43="","",IFERROR(INDEX(VARIABLES!$AY:$AY,$G43),0))</f>
        <v/>
      </c>
      <c r="AH43" s="57">
        <f>IF($C43="","",IF($H43=0,0,$AG43*(($F43/$H43)/heures_par_jour)*taux_majoration_nuit))</f>
        <v/>
      </c>
      <c r="AI43" s="59">
        <f>IF($C43="","",IFERROR(INDEX(VARIABLES!$AX:$AX,$G43),0))</f>
        <v/>
      </c>
      <c r="AJ43" s="57">
        <f>IF($C43="","",IF($H43=0,0,$AI43*($F43/$H43)*(1+taux_majoration_repos)))</f>
        <v/>
      </c>
    </row>
    <row r="44" ht="15" customHeight="1" s="15">
      <c r="B44" s="41" t="n">
        <v>38</v>
      </c>
      <c r="C44" s="41">
        <f>IF(EMPLOYES!C52="","",EMPLOYES!C52)</f>
        <v/>
      </c>
      <c r="D44" s="56">
        <f>IF(EMPLOYES!C52="","",EMPLOYES!D52)</f>
        <v/>
      </c>
      <c r="E44" s="41">
        <f>IF(EMPLOYES!C52="","",EMPLOYES!M52)</f>
        <v/>
      </c>
      <c r="F44" s="57">
        <f>IF(EMPLOYES!C52="","",EMPLOYES!Y52)</f>
        <v/>
      </c>
      <c r="G44" s="47">
        <f>INDEX(BULLETIN!$C$201:$C$212,MATCH(mois_courant_numero,BULLETIN!$B$201:$B$212,0))+37</f>
        <v/>
      </c>
      <c r="H44" s="41">
        <f>IF($C44="","",IF($E44="5j",jours_ouvrables_5j_mois_courant,jours_ouvrables_6j_mois_courant))</f>
        <v/>
      </c>
      <c r="I44" s="41">
        <f>IF($C44="","",IFERROR(INDEX(VARIABLES!$G:$G,$G44),0))</f>
        <v/>
      </c>
      <c r="J44" s="41">
        <f>IF($C44="","",MAX(0,$H44-$I44))</f>
        <v/>
      </c>
      <c r="K44" s="57">
        <f>IF($C44="","",IF($H44=0,0,($F44/$H44)*$J44))</f>
        <v/>
      </c>
      <c r="L44" s="59">
        <f>IF($C44="","",IFERROR(INDEX(VARIABLES!$E:$E,$G44),0))</f>
        <v/>
      </c>
      <c r="M44" s="57">
        <f>IF($C44="","",IF($H44=0,0,($F44/$H44/heures_par_jour)*(MIN($L44,6)*taux_majoration_hs+MAX($L44-6,0)*taux_majoration_hs_tier2)))</f>
        <v/>
      </c>
      <c r="N44" s="57">
        <f>IF($C44="","",IFERROR(INDEX(VARIABLES!$F:$F,$G44),0))</f>
        <v/>
      </c>
      <c r="O44" s="57">
        <f>IF($C44="","",allocation_familiale_enfant*EMPLOYES!O52)</f>
        <v/>
      </c>
      <c r="P44" s="57">
        <f>IF($C44="","",contrevaleur_logement)</f>
        <v/>
      </c>
      <c r="Q44" s="57">
        <f>IF($C44="","",$K44+$M44+$N44+$O44+$P44+$AH44+$AJ44)</f>
        <v/>
      </c>
      <c r="R44" s="57">
        <f>IF($C44="","",$Q44*t_cnss_pension_salarie)</f>
        <v/>
      </c>
      <c r="S44" s="57">
        <f>IF($C44="","",IF(opt_cnss_deductible_ipr="Oui",$Q44-$R44,$Q44))</f>
        <v/>
      </c>
      <c r="T44" s="57">
        <f>IF($C44="","",MAX(ipr_plancher,MIN((IF($S44&lt;=ipr_t1_sup_mensuel,$S44*ipr_taux1,IF($S44&lt;=ipr_t2_sup_mensuel,ipr_t1_sup_mensuel*ipr_taux1+($S44-ipr_t1_sup_mensuel)*ipr_taux2,IF($S44&lt;=ipr_t3_sup_mensuel,ipr_t1_sup_mensuel*ipr_taux1+(ipr_t2_sup_mensuel-ipr_t1_sup_mensuel)*ipr_taux2+($S44-ipr_t2_sup_mensuel)*ipr_taux3,ipr_t1_sup_mensuel*ipr_taux1+(ipr_t2_sup_mensuel-ipr_t1_sup_mensuel)*ipr_taux2+(ipr_t3_sup_mensuel-ipr_t2_sup_mensuel)*ipr_taux3+($S44-ipr_t3_sup_mensuel)*ipr_taux4))))-MIN(EMPLOYES!O52,9)*ipr_reduction_famille*(IF($S44&lt;=ipr_t1_sup_mensuel,$S44*ipr_taux1,IF($S44&lt;=ipr_t2_sup_mensuel,ipr_t1_sup_mensuel*ipr_taux1+($S44-ipr_t1_sup_mensuel)*ipr_taux2,IF($S44&lt;=ipr_t3_sup_mensuel,ipr_t1_sup_mensuel*ipr_taux1+(ipr_t2_sup_mensuel-ipr_t1_sup_mensuel)*ipr_taux2+($S44-ipr_t2_sup_mensuel)*ipr_taux3,ipr_t1_sup_mensuel*ipr_taux1+(ipr_t2_sup_mensuel-ipr_t1_sup_mensuel)*ipr_taux2+(ipr_t3_sup_mensuel-ipr_t2_sup_mensuel)*ipr_taux3+($S44-ipr_t3_sup_mensuel)*ipr_taux4)))),$S44*ipr_plafond_pct)))</f>
        <v/>
      </c>
      <c r="U44" s="57">
        <f>IF($C44="","",$Q44-$R44-$T44)</f>
        <v/>
      </c>
      <c r="V44" s="57">
        <f>IF($C44="","",IFERROR(INDEX(VARIABLES!$H:$H,$G44),0))</f>
        <v/>
      </c>
      <c r="W44" s="57">
        <f>IF($C44="","",IFERROR(INDEX(VARIABLES!$J:$J,$G44),0))</f>
        <v/>
      </c>
      <c r="X44" s="57">
        <f>IF($C44="","",$U44-$V44-$W44)</f>
        <v/>
      </c>
      <c r="Y44" s="57">
        <f>IF($C44="","",$Q44*t_cnss_total_employeur)</f>
        <v/>
      </c>
      <c r="Z44" s="57">
        <f>IF($C44="","",$Q44*t_inpp_applicable)</f>
        <v/>
      </c>
      <c r="AA44" s="57">
        <f>IF($C44="","",$Q44*t_onem)</f>
        <v/>
      </c>
      <c r="AB44" s="57">
        <f>IF($C44="","",$Q44+$Y44+$Z44+$AA44)</f>
        <v/>
      </c>
      <c r="AC44" s="55">
        <f>IF(AND($C44&lt;&gt;"",$I44&gt;0),1,0)</f>
        <v/>
      </c>
      <c r="AD44" s="55">
        <f>SUM(AC$7:AC44)</f>
        <v/>
      </c>
      <c r="AE44" s="55">
        <f>IF(AND($C44&lt;&gt;"",$V44&gt;0),1,0)</f>
        <v/>
      </c>
      <c r="AF44" s="55">
        <f>SUM(AE$7:AE44)</f>
        <v/>
      </c>
      <c r="AG44" s="59">
        <f>IF($C44="","",IFERROR(INDEX(VARIABLES!$AY:$AY,$G44),0))</f>
        <v/>
      </c>
      <c r="AH44" s="57">
        <f>IF($C44="","",IF($H44=0,0,$AG44*(($F44/$H44)/heures_par_jour)*taux_majoration_nuit))</f>
        <v/>
      </c>
      <c r="AI44" s="59">
        <f>IF($C44="","",IFERROR(INDEX(VARIABLES!$AX:$AX,$G44),0))</f>
        <v/>
      </c>
      <c r="AJ44" s="57">
        <f>IF($C44="","",IF($H44=0,0,$AI44*($F44/$H44)*(1+taux_majoration_repos)))</f>
        <v/>
      </c>
    </row>
    <row r="45" ht="15" customHeight="1" s="15">
      <c r="B45" s="41" t="n">
        <v>39</v>
      </c>
      <c r="C45" s="41">
        <f>IF(EMPLOYES!C53="","",EMPLOYES!C53)</f>
        <v/>
      </c>
      <c r="D45" s="56">
        <f>IF(EMPLOYES!C53="","",EMPLOYES!D53)</f>
        <v/>
      </c>
      <c r="E45" s="41">
        <f>IF(EMPLOYES!C53="","",EMPLOYES!M53)</f>
        <v/>
      </c>
      <c r="F45" s="57">
        <f>IF(EMPLOYES!C53="","",EMPLOYES!Y53)</f>
        <v/>
      </c>
      <c r="G45" s="47">
        <f>INDEX(BULLETIN!$C$201:$C$212,MATCH(mois_courant_numero,BULLETIN!$B$201:$B$212,0))+38</f>
        <v/>
      </c>
      <c r="H45" s="41">
        <f>IF($C45="","",IF($E45="5j",jours_ouvrables_5j_mois_courant,jours_ouvrables_6j_mois_courant))</f>
        <v/>
      </c>
      <c r="I45" s="41">
        <f>IF($C45="","",IFERROR(INDEX(VARIABLES!$G:$G,$G45),0))</f>
        <v/>
      </c>
      <c r="J45" s="41">
        <f>IF($C45="","",MAX(0,$H45-$I45))</f>
        <v/>
      </c>
      <c r="K45" s="57">
        <f>IF($C45="","",IF($H45=0,0,($F45/$H45)*$J45))</f>
        <v/>
      </c>
      <c r="L45" s="59">
        <f>IF($C45="","",IFERROR(INDEX(VARIABLES!$E:$E,$G45),0))</f>
        <v/>
      </c>
      <c r="M45" s="57">
        <f>IF($C45="","",IF($H45=0,0,($F45/$H45/heures_par_jour)*(MIN($L45,6)*taux_majoration_hs+MAX($L45-6,0)*taux_majoration_hs_tier2)))</f>
        <v/>
      </c>
      <c r="N45" s="57">
        <f>IF($C45="","",IFERROR(INDEX(VARIABLES!$F:$F,$G45),0))</f>
        <v/>
      </c>
      <c r="O45" s="57">
        <f>IF($C45="","",allocation_familiale_enfant*EMPLOYES!O53)</f>
        <v/>
      </c>
      <c r="P45" s="57">
        <f>IF($C45="","",contrevaleur_logement)</f>
        <v/>
      </c>
      <c r="Q45" s="57">
        <f>IF($C45="","",$K45+$M45+$N45+$O45+$P45+$AH45+$AJ45)</f>
        <v/>
      </c>
      <c r="R45" s="57">
        <f>IF($C45="","",$Q45*t_cnss_pension_salarie)</f>
        <v/>
      </c>
      <c r="S45" s="57">
        <f>IF($C45="","",IF(opt_cnss_deductible_ipr="Oui",$Q45-$R45,$Q45))</f>
        <v/>
      </c>
      <c r="T45" s="57">
        <f>IF($C45="","",MAX(ipr_plancher,MIN((IF($S45&lt;=ipr_t1_sup_mensuel,$S45*ipr_taux1,IF($S45&lt;=ipr_t2_sup_mensuel,ipr_t1_sup_mensuel*ipr_taux1+($S45-ipr_t1_sup_mensuel)*ipr_taux2,IF($S45&lt;=ipr_t3_sup_mensuel,ipr_t1_sup_mensuel*ipr_taux1+(ipr_t2_sup_mensuel-ipr_t1_sup_mensuel)*ipr_taux2+($S45-ipr_t2_sup_mensuel)*ipr_taux3,ipr_t1_sup_mensuel*ipr_taux1+(ipr_t2_sup_mensuel-ipr_t1_sup_mensuel)*ipr_taux2+(ipr_t3_sup_mensuel-ipr_t2_sup_mensuel)*ipr_taux3+($S45-ipr_t3_sup_mensuel)*ipr_taux4))))-MIN(EMPLOYES!O53,9)*ipr_reduction_famille*(IF($S45&lt;=ipr_t1_sup_mensuel,$S45*ipr_taux1,IF($S45&lt;=ipr_t2_sup_mensuel,ipr_t1_sup_mensuel*ipr_taux1+($S45-ipr_t1_sup_mensuel)*ipr_taux2,IF($S45&lt;=ipr_t3_sup_mensuel,ipr_t1_sup_mensuel*ipr_taux1+(ipr_t2_sup_mensuel-ipr_t1_sup_mensuel)*ipr_taux2+($S45-ipr_t2_sup_mensuel)*ipr_taux3,ipr_t1_sup_mensuel*ipr_taux1+(ipr_t2_sup_mensuel-ipr_t1_sup_mensuel)*ipr_taux2+(ipr_t3_sup_mensuel-ipr_t2_sup_mensuel)*ipr_taux3+($S45-ipr_t3_sup_mensuel)*ipr_taux4)))),$S45*ipr_plafond_pct)))</f>
        <v/>
      </c>
      <c r="U45" s="57">
        <f>IF($C45="","",$Q45-$R45-$T45)</f>
        <v/>
      </c>
      <c r="V45" s="57">
        <f>IF($C45="","",IFERROR(INDEX(VARIABLES!$H:$H,$G45),0))</f>
        <v/>
      </c>
      <c r="W45" s="57">
        <f>IF($C45="","",IFERROR(INDEX(VARIABLES!$J:$J,$G45),0))</f>
        <v/>
      </c>
      <c r="X45" s="57">
        <f>IF($C45="","",$U45-$V45-$W45)</f>
        <v/>
      </c>
      <c r="Y45" s="57">
        <f>IF($C45="","",$Q45*t_cnss_total_employeur)</f>
        <v/>
      </c>
      <c r="Z45" s="57">
        <f>IF($C45="","",$Q45*t_inpp_applicable)</f>
        <v/>
      </c>
      <c r="AA45" s="57">
        <f>IF($C45="","",$Q45*t_onem)</f>
        <v/>
      </c>
      <c r="AB45" s="57">
        <f>IF($C45="","",$Q45+$Y45+$Z45+$AA45)</f>
        <v/>
      </c>
      <c r="AC45" s="55">
        <f>IF(AND($C45&lt;&gt;"",$I45&gt;0),1,0)</f>
        <v/>
      </c>
      <c r="AD45" s="55">
        <f>SUM(AC$7:AC45)</f>
        <v/>
      </c>
      <c r="AE45" s="55">
        <f>IF(AND($C45&lt;&gt;"",$V45&gt;0),1,0)</f>
        <v/>
      </c>
      <c r="AF45" s="55">
        <f>SUM(AE$7:AE45)</f>
        <v/>
      </c>
      <c r="AG45" s="59">
        <f>IF($C45="","",IFERROR(INDEX(VARIABLES!$AY:$AY,$G45),0))</f>
        <v/>
      </c>
      <c r="AH45" s="57">
        <f>IF($C45="","",IF($H45=0,0,$AG45*(($F45/$H45)/heures_par_jour)*taux_majoration_nuit))</f>
        <v/>
      </c>
      <c r="AI45" s="59">
        <f>IF($C45="","",IFERROR(INDEX(VARIABLES!$AX:$AX,$G45),0))</f>
        <v/>
      </c>
      <c r="AJ45" s="57">
        <f>IF($C45="","",IF($H45=0,0,$AI45*($F45/$H45)*(1+taux_majoration_repos)))</f>
        <v/>
      </c>
    </row>
    <row r="46" ht="15" customHeight="1" s="15">
      <c r="B46" s="41" t="n">
        <v>40</v>
      </c>
      <c r="C46" s="41">
        <f>IF(EMPLOYES!C54="","",EMPLOYES!C54)</f>
        <v/>
      </c>
      <c r="D46" s="56">
        <f>IF(EMPLOYES!C54="","",EMPLOYES!D54)</f>
        <v/>
      </c>
      <c r="E46" s="41">
        <f>IF(EMPLOYES!C54="","",EMPLOYES!M54)</f>
        <v/>
      </c>
      <c r="F46" s="57">
        <f>IF(EMPLOYES!C54="","",EMPLOYES!Y54)</f>
        <v/>
      </c>
      <c r="G46" s="47">
        <f>INDEX(BULLETIN!$C$201:$C$212,MATCH(mois_courant_numero,BULLETIN!$B$201:$B$212,0))+39</f>
        <v/>
      </c>
      <c r="H46" s="41">
        <f>IF($C46="","",IF($E46="5j",jours_ouvrables_5j_mois_courant,jours_ouvrables_6j_mois_courant))</f>
        <v/>
      </c>
      <c r="I46" s="41">
        <f>IF($C46="","",IFERROR(INDEX(VARIABLES!$G:$G,$G46),0))</f>
        <v/>
      </c>
      <c r="J46" s="41">
        <f>IF($C46="","",MAX(0,$H46-$I46))</f>
        <v/>
      </c>
      <c r="K46" s="57">
        <f>IF($C46="","",IF($H46=0,0,($F46/$H46)*$J46))</f>
        <v/>
      </c>
      <c r="L46" s="59">
        <f>IF($C46="","",IFERROR(INDEX(VARIABLES!$E:$E,$G46),0))</f>
        <v/>
      </c>
      <c r="M46" s="57">
        <f>IF($C46="","",IF($H46=0,0,($F46/$H46/heures_par_jour)*(MIN($L46,6)*taux_majoration_hs+MAX($L46-6,0)*taux_majoration_hs_tier2)))</f>
        <v/>
      </c>
      <c r="N46" s="57">
        <f>IF($C46="","",IFERROR(INDEX(VARIABLES!$F:$F,$G46),0))</f>
        <v/>
      </c>
      <c r="O46" s="57">
        <f>IF($C46="","",allocation_familiale_enfant*EMPLOYES!O54)</f>
        <v/>
      </c>
      <c r="P46" s="57">
        <f>IF($C46="","",contrevaleur_logement)</f>
        <v/>
      </c>
      <c r="Q46" s="57">
        <f>IF($C46="","",$K46+$M46+$N46+$O46+$P46+$AH46+$AJ46)</f>
        <v/>
      </c>
      <c r="R46" s="57">
        <f>IF($C46="","",$Q46*t_cnss_pension_salarie)</f>
        <v/>
      </c>
      <c r="S46" s="57">
        <f>IF($C46="","",IF(opt_cnss_deductible_ipr="Oui",$Q46-$R46,$Q46))</f>
        <v/>
      </c>
      <c r="T46" s="57">
        <f>IF($C46="","",MAX(ipr_plancher,MIN((IF($S46&lt;=ipr_t1_sup_mensuel,$S46*ipr_taux1,IF($S46&lt;=ipr_t2_sup_mensuel,ipr_t1_sup_mensuel*ipr_taux1+($S46-ipr_t1_sup_mensuel)*ipr_taux2,IF($S46&lt;=ipr_t3_sup_mensuel,ipr_t1_sup_mensuel*ipr_taux1+(ipr_t2_sup_mensuel-ipr_t1_sup_mensuel)*ipr_taux2+($S46-ipr_t2_sup_mensuel)*ipr_taux3,ipr_t1_sup_mensuel*ipr_taux1+(ipr_t2_sup_mensuel-ipr_t1_sup_mensuel)*ipr_taux2+(ipr_t3_sup_mensuel-ipr_t2_sup_mensuel)*ipr_taux3+($S46-ipr_t3_sup_mensuel)*ipr_taux4))))-MIN(EMPLOYES!O54,9)*ipr_reduction_famille*(IF($S46&lt;=ipr_t1_sup_mensuel,$S46*ipr_taux1,IF($S46&lt;=ipr_t2_sup_mensuel,ipr_t1_sup_mensuel*ipr_taux1+($S46-ipr_t1_sup_mensuel)*ipr_taux2,IF($S46&lt;=ipr_t3_sup_mensuel,ipr_t1_sup_mensuel*ipr_taux1+(ipr_t2_sup_mensuel-ipr_t1_sup_mensuel)*ipr_taux2+($S46-ipr_t2_sup_mensuel)*ipr_taux3,ipr_t1_sup_mensuel*ipr_taux1+(ipr_t2_sup_mensuel-ipr_t1_sup_mensuel)*ipr_taux2+(ipr_t3_sup_mensuel-ipr_t2_sup_mensuel)*ipr_taux3+($S46-ipr_t3_sup_mensuel)*ipr_taux4)))),$S46*ipr_plafond_pct)))</f>
        <v/>
      </c>
      <c r="U46" s="57">
        <f>IF($C46="","",$Q46-$R46-$T46)</f>
        <v/>
      </c>
      <c r="V46" s="57">
        <f>IF($C46="","",IFERROR(INDEX(VARIABLES!$H:$H,$G46),0))</f>
        <v/>
      </c>
      <c r="W46" s="57">
        <f>IF($C46="","",IFERROR(INDEX(VARIABLES!$J:$J,$G46),0))</f>
        <v/>
      </c>
      <c r="X46" s="57">
        <f>IF($C46="","",$U46-$V46-$W46)</f>
        <v/>
      </c>
      <c r="Y46" s="57">
        <f>IF($C46="","",$Q46*t_cnss_total_employeur)</f>
        <v/>
      </c>
      <c r="Z46" s="57">
        <f>IF($C46="","",$Q46*t_inpp_applicable)</f>
        <v/>
      </c>
      <c r="AA46" s="57">
        <f>IF($C46="","",$Q46*t_onem)</f>
        <v/>
      </c>
      <c r="AB46" s="57">
        <f>IF($C46="","",$Q46+$Y46+$Z46+$AA46)</f>
        <v/>
      </c>
      <c r="AC46" s="55">
        <f>IF(AND($C46&lt;&gt;"",$I46&gt;0),1,0)</f>
        <v/>
      </c>
      <c r="AD46" s="55">
        <f>SUM(AC$7:AC46)</f>
        <v/>
      </c>
      <c r="AE46" s="55">
        <f>IF(AND($C46&lt;&gt;"",$V46&gt;0),1,0)</f>
        <v/>
      </c>
      <c r="AF46" s="55">
        <f>SUM(AE$7:AE46)</f>
        <v/>
      </c>
      <c r="AG46" s="59">
        <f>IF($C46="","",IFERROR(INDEX(VARIABLES!$AY:$AY,$G46),0))</f>
        <v/>
      </c>
      <c r="AH46" s="57">
        <f>IF($C46="","",IF($H46=0,0,$AG46*(($F46/$H46)/heures_par_jour)*taux_majoration_nuit))</f>
        <v/>
      </c>
      <c r="AI46" s="59">
        <f>IF($C46="","",IFERROR(INDEX(VARIABLES!$AX:$AX,$G46),0))</f>
        <v/>
      </c>
      <c r="AJ46" s="57">
        <f>IF($C46="","",IF($H46=0,0,$AI46*($F46/$H46)*(1+taux_majoration_repos)))</f>
        <v/>
      </c>
    </row>
    <row r="47" ht="15" customHeight="1" s="15">
      <c r="B47" s="41" t="n">
        <v>41</v>
      </c>
      <c r="C47" s="41">
        <f>IF(EMPLOYES!C55="","",EMPLOYES!C55)</f>
        <v/>
      </c>
      <c r="D47" s="56">
        <f>IF(EMPLOYES!C55="","",EMPLOYES!D55)</f>
        <v/>
      </c>
      <c r="E47" s="41">
        <f>IF(EMPLOYES!C55="","",EMPLOYES!M55)</f>
        <v/>
      </c>
      <c r="F47" s="57">
        <f>IF(EMPLOYES!C55="","",EMPLOYES!Y55)</f>
        <v/>
      </c>
      <c r="G47" s="47">
        <f>INDEX(BULLETIN!$C$201:$C$212,MATCH(mois_courant_numero,BULLETIN!$B$201:$B$212,0))+40</f>
        <v/>
      </c>
      <c r="H47" s="41">
        <f>IF($C47="","",IF($E47="5j",jours_ouvrables_5j_mois_courant,jours_ouvrables_6j_mois_courant))</f>
        <v/>
      </c>
      <c r="I47" s="41">
        <f>IF($C47="","",IFERROR(INDEX(VARIABLES!$G:$G,$G47),0))</f>
        <v/>
      </c>
      <c r="J47" s="41">
        <f>IF($C47="","",MAX(0,$H47-$I47))</f>
        <v/>
      </c>
      <c r="K47" s="57">
        <f>IF($C47="","",IF($H47=0,0,($F47/$H47)*$J47))</f>
        <v/>
      </c>
      <c r="L47" s="59">
        <f>IF($C47="","",IFERROR(INDEX(VARIABLES!$E:$E,$G47),0))</f>
        <v/>
      </c>
      <c r="M47" s="57">
        <f>IF($C47="","",IF($H47=0,0,($F47/$H47/heures_par_jour)*(MIN($L47,6)*taux_majoration_hs+MAX($L47-6,0)*taux_majoration_hs_tier2)))</f>
        <v/>
      </c>
      <c r="N47" s="57">
        <f>IF($C47="","",IFERROR(INDEX(VARIABLES!$F:$F,$G47),0))</f>
        <v/>
      </c>
      <c r="O47" s="57">
        <f>IF($C47="","",allocation_familiale_enfant*EMPLOYES!O55)</f>
        <v/>
      </c>
      <c r="P47" s="57">
        <f>IF($C47="","",contrevaleur_logement)</f>
        <v/>
      </c>
      <c r="Q47" s="57">
        <f>IF($C47="","",$K47+$M47+$N47+$O47+$P47+$AH47+$AJ47)</f>
        <v/>
      </c>
      <c r="R47" s="57">
        <f>IF($C47="","",$Q47*t_cnss_pension_salarie)</f>
        <v/>
      </c>
      <c r="S47" s="57">
        <f>IF($C47="","",IF(opt_cnss_deductible_ipr="Oui",$Q47-$R47,$Q47))</f>
        <v/>
      </c>
      <c r="T47" s="57">
        <f>IF($C47="","",MAX(ipr_plancher,MIN((IF($S47&lt;=ipr_t1_sup_mensuel,$S47*ipr_taux1,IF($S47&lt;=ipr_t2_sup_mensuel,ipr_t1_sup_mensuel*ipr_taux1+($S47-ipr_t1_sup_mensuel)*ipr_taux2,IF($S47&lt;=ipr_t3_sup_mensuel,ipr_t1_sup_mensuel*ipr_taux1+(ipr_t2_sup_mensuel-ipr_t1_sup_mensuel)*ipr_taux2+($S47-ipr_t2_sup_mensuel)*ipr_taux3,ipr_t1_sup_mensuel*ipr_taux1+(ipr_t2_sup_mensuel-ipr_t1_sup_mensuel)*ipr_taux2+(ipr_t3_sup_mensuel-ipr_t2_sup_mensuel)*ipr_taux3+($S47-ipr_t3_sup_mensuel)*ipr_taux4))))-MIN(EMPLOYES!O55,9)*ipr_reduction_famille*(IF($S47&lt;=ipr_t1_sup_mensuel,$S47*ipr_taux1,IF($S47&lt;=ipr_t2_sup_mensuel,ipr_t1_sup_mensuel*ipr_taux1+($S47-ipr_t1_sup_mensuel)*ipr_taux2,IF($S47&lt;=ipr_t3_sup_mensuel,ipr_t1_sup_mensuel*ipr_taux1+(ipr_t2_sup_mensuel-ipr_t1_sup_mensuel)*ipr_taux2+($S47-ipr_t2_sup_mensuel)*ipr_taux3,ipr_t1_sup_mensuel*ipr_taux1+(ipr_t2_sup_mensuel-ipr_t1_sup_mensuel)*ipr_taux2+(ipr_t3_sup_mensuel-ipr_t2_sup_mensuel)*ipr_taux3+($S47-ipr_t3_sup_mensuel)*ipr_taux4)))),$S47*ipr_plafond_pct)))</f>
        <v/>
      </c>
      <c r="U47" s="57">
        <f>IF($C47="","",$Q47-$R47-$T47)</f>
        <v/>
      </c>
      <c r="V47" s="57">
        <f>IF($C47="","",IFERROR(INDEX(VARIABLES!$H:$H,$G47),0))</f>
        <v/>
      </c>
      <c r="W47" s="57">
        <f>IF($C47="","",IFERROR(INDEX(VARIABLES!$J:$J,$G47),0))</f>
        <v/>
      </c>
      <c r="X47" s="57">
        <f>IF($C47="","",$U47-$V47-$W47)</f>
        <v/>
      </c>
      <c r="Y47" s="57">
        <f>IF($C47="","",$Q47*t_cnss_total_employeur)</f>
        <v/>
      </c>
      <c r="Z47" s="57">
        <f>IF($C47="","",$Q47*t_inpp_applicable)</f>
        <v/>
      </c>
      <c r="AA47" s="57">
        <f>IF($C47="","",$Q47*t_onem)</f>
        <v/>
      </c>
      <c r="AB47" s="57">
        <f>IF($C47="","",$Q47+$Y47+$Z47+$AA47)</f>
        <v/>
      </c>
      <c r="AC47" s="55">
        <f>IF(AND($C47&lt;&gt;"",$I47&gt;0),1,0)</f>
        <v/>
      </c>
      <c r="AD47" s="55">
        <f>SUM(AC$7:AC47)</f>
        <v/>
      </c>
      <c r="AE47" s="55">
        <f>IF(AND($C47&lt;&gt;"",$V47&gt;0),1,0)</f>
        <v/>
      </c>
      <c r="AF47" s="55">
        <f>SUM(AE$7:AE47)</f>
        <v/>
      </c>
      <c r="AG47" s="59">
        <f>IF($C47="","",IFERROR(INDEX(VARIABLES!$AY:$AY,$G47),0))</f>
        <v/>
      </c>
      <c r="AH47" s="57">
        <f>IF($C47="","",IF($H47=0,0,$AG47*(($F47/$H47)/heures_par_jour)*taux_majoration_nuit))</f>
        <v/>
      </c>
      <c r="AI47" s="59">
        <f>IF($C47="","",IFERROR(INDEX(VARIABLES!$AX:$AX,$G47),0))</f>
        <v/>
      </c>
      <c r="AJ47" s="57">
        <f>IF($C47="","",IF($H47=0,0,$AI47*($F47/$H47)*(1+taux_majoration_repos)))</f>
        <v/>
      </c>
    </row>
    <row r="48" ht="15" customHeight="1" s="15">
      <c r="B48" s="41" t="n">
        <v>42</v>
      </c>
      <c r="C48" s="41">
        <f>IF(EMPLOYES!C56="","",EMPLOYES!C56)</f>
        <v/>
      </c>
      <c r="D48" s="56">
        <f>IF(EMPLOYES!C56="","",EMPLOYES!D56)</f>
        <v/>
      </c>
      <c r="E48" s="41">
        <f>IF(EMPLOYES!C56="","",EMPLOYES!M56)</f>
        <v/>
      </c>
      <c r="F48" s="57">
        <f>IF(EMPLOYES!C56="","",EMPLOYES!Y56)</f>
        <v/>
      </c>
      <c r="G48" s="47">
        <f>INDEX(BULLETIN!$C$201:$C$212,MATCH(mois_courant_numero,BULLETIN!$B$201:$B$212,0))+41</f>
        <v/>
      </c>
      <c r="H48" s="41">
        <f>IF($C48="","",IF($E48="5j",jours_ouvrables_5j_mois_courant,jours_ouvrables_6j_mois_courant))</f>
        <v/>
      </c>
      <c r="I48" s="41">
        <f>IF($C48="","",IFERROR(INDEX(VARIABLES!$G:$G,$G48),0))</f>
        <v/>
      </c>
      <c r="J48" s="41">
        <f>IF($C48="","",MAX(0,$H48-$I48))</f>
        <v/>
      </c>
      <c r="K48" s="57">
        <f>IF($C48="","",IF($H48=0,0,($F48/$H48)*$J48))</f>
        <v/>
      </c>
      <c r="L48" s="59">
        <f>IF($C48="","",IFERROR(INDEX(VARIABLES!$E:$E,$G48),0))</f>
        <v/>
      </c>
      <c r="M48" s="57">
        <f>IF($C48="","",IF($H48=0,0,($F48/$H48/heures_par_jour)*(MIN($L48,6)*taux_majoration_hs+MAX($L48-6,0)*taux_majoration_hs_tier2)))</f>
        <v/>
      </c>
      <c r="N48" s="57">
        <f>IF($C48="","",IFERROR(INDEX(VARIABLES!$F:$F,$G48),0))</f>
        <v/>
      </c>
      <c r="O48" s="57">
        <f>IF($C48="","",allocation_familiale_enfant*EMPLOYES!O56)</f>
        <v/>
      </c>
      <c r="P48" s="57">
        <f>IF($C48="","",contrevaleur_logement)</f>
        <v/>
      </c>
      <c r="Q48" s="57">
        <f>IF($C48="","",$K48+$M48+$N48+$O48+$P48+$AH48+$AJ48)</f>
        <v/>
      </c>
      <c r="R48" s="57">
        <f>IF($C48="","",$Q48*t_cnss_pension_salarie)</f>
        <v/>
      </c>
      <c r="S48" s="57">
        <f>IF($C48="","",IF(opt_cnss_deductible_ipr="Oui",$Q48-$R48,$Q48))</f>
        <v/>
      </c>
      <c r="T48" s="57">
        <f>IF($C48="","",MAX(ipr_plancher,MIN((IF($S48&lt;=ipr_t1_sup_mensuel,$S48*ipr_taux1,IF($S48&lt;=ipr_t2_sup_mensuel,ipr_t1_sup_mensuel*ipr_taux1+($S48-ipr_t1_sup_mensuel)*ipr_taux2,IF($S48&lt;=ipr_t3_sup_mensuel,ipr_t1_sup_mensuel*ipr_taux1+(ipr_t2_sup_mensuel-ipr_t1_sup_mensuel)*ipr_taux2+($S48-ipr_t2_sup_mensuel)*ipr_taux3,ipr_t1_sup_mensuel*ipr_taux1+(ipr_t2_sup_mensuel-ipr_t1_sup_mensuel)*ipr_taux2+(ipr_t3_sup_mensuel-ipr_t2_sup_mensuel)*ipr_taux3+($S48-ipr_t3_sup_mensuel)*ipr_taux4))))-MIN(EMPLOYES!O56,9)*ipr_reduction_famille*(IF($S48&lt;=ipr_t1_sup_mensuel,$S48*ipr_taux1,IF($S48&lt;=ipr_t2_sup_mensuel,ipr_t1_sup_mensuel*ipr_taux1+($S48-ipr_t1_sup_mensuel)*ipr_taux2,IF($S48&lt;=ipr_t3_sup_mensuel,ipr_t1_sup_mensuel*ipr_taux1+(ipr_t2_sup_mensuel-ipr_t1_sup_mensuel)*ipr_taux2+($S48-ipr_t2_sup_mensuel)*ipr_taux3,ipr_t1_sup_mensuel*ipr_taux1+(ipr_t2_sup_mensuel-ipr_t1_sup_mensuel)*ipr_taux2+(ipr_t3_sup_mensuel-ipr_t2_sup_mensuel)*ipr_taux3+($S48-ipr_t3_sup_mensuel)*ipr_taux4)))),$S48*ipr_plafond_pct)))</f>
        <v/>
      </c>
      <c r="U48" s="57">
        <f>IF($C48="","",$Q48-$R48-$T48)</f>
        <v/>
      </c>
      <c r="V48" s="57">
        <f>IF($C48="","",IFERROR(INDEX(VARIABLES!$H:$H,$G48),0))</f>
        <v/>
      </c>
      <c r="W48" s="57">
        <f>IF($C48="","",IFERROR(INDEX(VARIABLES!$J:$J,$G48),0))</f>
        <v/>
      </c>
      <c r="X48" s="57">
        <f>IF($C48="","",$U48-$V48-$W48)</f>
        <v/>
      </c>
      <c r="Y48" s="57">
        <f>IF($C48="","",$Q48*t_cnss_total_employeur)</f>
        <v/>
      </c>
      <c r="Z48" s="57">
        <f>IF($C48="","",$Q48*t_inpp_applicable)</f>
        <v/>
      </c>
      <c r="AA48" s="57">
        <f>IF($C48="","",$Q48*t_onem)</f>
        <v/>
      </c>
      <c r="AB48" s="57">
        <f>IF($C48="","",$Q48+$Y48+$Z48+$AA48)</f>
        <v/>
      </c>
      <c r="AC48" s="55">
        <f>IF(AND($C48&lt;&gt;"",$I48&gt;0),1,0)</f>
        <v/>
      </c>
      <c r="AD48" s="55">
        <f>SUM(AC$7:AC48)</f>
        <v/>
      </c>
      <c r="AE48" s="55">
        <f>IF(AND($C48&lt;&gt;"",$V48&gt;0),1,0)</f>
        <v/>
      </c>
      <c r="AF48" s="55">
        <f>SUM(AE$7:AE48)</f>
        <v/>
      </c>
      <c r="AG48" s="59">
        <f>IF($C48="","",IFERROR(INDEX(VARIABLES!$AY:$AY,$G48),0))</f>
        <v/>
      </c>
      <c r="AH48" s="57">
        <f>IF($C48="","",IF($H48=0,0,$AG48*(($F48/$H48)/heures_par_jour)*taux_majoration_nuit))</f>
        <v/>
      </c>
      <c r="AI48" s="59">
        <f>IF($C48="","",IFERROR(INDEX(VARIABLES!$AX:$AX,$G48),0))</f>
        <v/>
      </c>
      <c r="AJ48" s="57">
        <f>IF($C48="","",IF($H48=0,0,$AI48*($F48/$H48)*(1+taux_majoration_repos)))</f>
        <v/>
      </c>
    </row>
    <row r="49" ht="15" customHeight="1" s="15">
      <c r="B49" s="41" t="n">
        <v>43</v>
      </c>
      <c r="C49" s="41">
        <f>IF(EMPLOYES!C57="","",EMPLOYES!C57)</f>
        <v/>
      </c>
      <c r="D49" s="56">
        <f>IF(EMPLOYES!C57="","",EMPLOYES!D57)</f>
        <v/>
      </c>
      <c r="E49" s="41">
        <f>IF(EMPLOYES!C57="","",EMPLOYES!M57)</f>
        <v/>
      </c>
      <c r="F49" s="57">
        <f>IF(EMPLOYES!C57="","",EMPLOYES!Y57)</f>
        <v/>
      </c>
      <c r="G49" s="47">
        <f>INDEX(BULLETIN!$C$201:$C$212,MATCH(mois_courant_numero,BULLETIN!$B$201:$B$212,0))+42</f>
        <v/>
      </c>
      <c r="H49" s="41">
        <f>IF($C49="","",IF($E49="5j",jours_ouvrables_5j_mois_courant,jours_ouvrables_6j_mois_courant))</f>
        <v/>
      </c>
      <c r="I49" s="41">
        <f>IF($C49="","",IFERROR(INDEX(VARIABLES!$G:$G,$G49),0))</f>
        <v/>
      </c>
      <c r="J49" s="41">
        <f>IF($C49="","",MAX(0,$H49-$I49))</f>
        <v/>
      </c>
      <c r="K49" s="57">
        <f>IF($C49="","",IF($H49=0,0,($F49/$H49)*$J49))</f>
        <v/>
      </c>
      <c r="L49" s="59">
        <f>IF($C49="","",IFERROR(INDEX(VARIABLES!$E:$E,$G49),0))</f>
        <v/>
      </c>
      <c r="M49" s="57">
        <f>IF($C49="","",IF($H49=0,0,($F49/$H49/heures_par_jour)*(MIN($L49,6)*taux_majoration_hs+MAX($L49-6,0)*taux_majoration_hs_tier2)))</f>
        <v/>
      </c>
      <c r="N49" s="57">
        <f>IF($C49="","",IFERROR(INDEX(VARIABLES!$F:$F,$G49),0))</f>
        <v/>
      </c>
      <c r="O49" s="57">
        <f>IF($C49="","",allocation_familiale_enfant*EMPLOYES!O57)</f>
        <v/>
      </c>
      <c r="P49" s="57">
        <f>IF($C49="","",contrevaleur_logement)</f>
        <v/>
      </c>
      <c r="Q49" s="57">
        <f>IF($C49="","",$K49+$M49+$N49+$O49+$P49+$AH49+$AJ49)</f>
        <v/>
      </c>
      <c r="R49" s="57">
        <f>IF($C49="","",$Q49*t_cnss_pension_salarie)</f>
        <v/>
      </c>
      <c r="S49" s="57">
        <f>IF($C49="","",IF(opt_cnss_deductible_ipr="Oui",$Q49-$R49,$Q49))</f>
        <v/>
      </c>
      <c r="T49" s="57">
        <f>IF($C49="","",MAX(ipr_plancher,MIN((IF($S49&lt;=ipr_t1_sup_mensuel,$S49*ipr_taux1,IF($S49&lt;=ipr_t2_sup_mensuel,ipr_t1_sup_mensuel*ipr_taux1+($S49-ipr_t1_sup_mensuel)*ipr_taux2,IF($S49&lt;=ipr_t3_sup_mensuel,ipr_t1_sup_mensuel*ipr_taux1+(ipr_t2_sup_mensuel-ipr_t1_sup_mensuel)*ipr_taux2+($S49-ipr_t2_sup_mensuel)*ipr_taux3,ipr_t1_sup_mensuel*ipr_taux1+(ipr_t2_sup_mensuel-ipr_t1_sup_mensuel)*ipr_taux2+(ipr_t3_sup_mensuel-ipr_t2_sup_mensuel)*ipr_taux3+($S49-ipr_t3_sup_mensuel)*ipr_taux4))))-MIN(EMPLOYES!O57,9)*ipr_reduction_famille*(IF($S49&lt;=ipr_t1_sup_mensuel,$S49*ipr_taux1,IF($S49&lt;=ipr_t2_sup_mensuel,ipr_t1_sup_mensuel*ipr_taux1+($S49-ipr_t1_sup_mensuel)*ipr_taux2,IF($S49&lt;=ipr_t3_sup_mensuel,ipr_t1_sup_mensuel*ipr_taux1+(ipr_t2_sup_mensuel-ipr_t1_sup_mensuel)*ipr_taux2+($S49-ipr_t2_sup_mensuel)*ipr_taux3,ipr_t1_sup_mensuel*ipr_taux1+(ipr_t2_sup_mensuel-ipr_t1_sup_mensuel)*ipr_taux2+(ipr_t3_sup_mensuel-ipr_t2_sup_mensuel)*ipr_taux3+($S49-ipr_t3_sup_mensuel)*ipr_taux4)))),$S49*ipr_plafond_pct)))</f>
        <v/>
      </c>
      <c r="U49" s="57">
        <f>IF($C49="","",$Q49-$R49-$T49)</f>
        <v/>
      </c>
      <c r="V49" s="57">
        <f>IF($C49="","",IFERROR(INDEX(VARIABLES!$H:$H,$G49),0))</f>
        <v/>
      </c>
      <c r="W49" s="57">
        <f>IF($C49="","",IFERROR(INDEX(VARIABLES!$J:$J,$G49),0))</f>
        <v/>
      </c>
      <c r="X49" s="57">
        <f>IF($C49="","",$U49-$V49-$W49)</f>
        <v/>
      </c>
      <c r="Y49" s="57">
        <f>IF($C49="","",$Q49*t_cnss_total_employeur)</f>
        <v/>
      </c>
      <c r="Z49" s="57">
        <f>IF($C49="","",$Q49*t_inpp_applicable)</f>
        <v/>
      </c>
      <c r="AA49" s="57">
        <f>IF($C49="","",$Q49*t_onem)</f>
        <v/>
      </c>
      <c r="AB49" s="57">
        <f>IF($C49="","",$Q49+$Y49+$Z49+$AA49)</f>
        <v/>
      </c>
      <c r="AC49" s="55">
        <f>IF(AND($C49&lt;&gt;"",$I49&gt;0),1,0)</f>
        <v/>
      </c>
      <c r="AD49" s="55">
        <f>SUM(AC$7:AC49)</f>
        <v/>
      </c>
      <c r="AE49" s="55">
        <f>IF(AND($C49&lt;&gt;"",$V49&gt;0),1,0)</f>
        <v/>
      </c>
      <c r="AF49" s="55">
        <f>SUM(AE$7:AE49)</f>
        <v/>
      </c>
      <c r="AG49" s="59">
        <f>IF($C49="","",IFERROR(INDEX(VARIABLES!$AY:$AY,$G49),0))</f>
        <v/>
      </c>
      <c r="AH49" s="57">
        <f>IF($C49="","",IF($H49=0,0,$AG49*(($F49/$H49)/heures_par_jour)*taux_majoration_nuit))</f>
        <v/>
      </c>
      <c r="AI49" s="59">
        <f>IF($C49="","",IFERROR(INDEX(VARIABLES!$AX:$AX,$G49),0))</f>
        <v/>
      </c>
      <c r="AJ49" s="57">
        <f>IF($C49="","",IF($H49=0,0,$AI49*($F49/$H49)*(1+taux_majoration_repos)))</f>
        <v/>
      </c>
    </row>
    <row r="50" ht="15" customHeight="1" s="15">
      <c r="B50" s="41" t="n">
        <v>44</v>
      </c>
      <c r="C50" s="41">
        <f>IF(EMPLOYES!C58="","",EMPLOYES!C58)</f>
        <v/>
      </c>
      <c r="D50" s="56">
        <f>IF(EMPLOYES!C58="","",EMPLOYES!D58)</f>
        <v/>
      </c>
      <c r="E50" s="41">
        <f>IF(EMPLOYES!C58="","",EMPLOYES!M58)</f>
        <v/>
      </c>
      <c r="F50" s="57">
        <f>IF(EMPLOYES!C58="","",EMPLOYES!Y58)</f>
        <v/>
      </c>
      <c r="G50" s="47">
        <f>INDEX(BULLETIN!$C$201:$C$212,MATCH(mois_courant_numero,BULLETIN!$B$201:$B$212,0))+43</f>
        <v/>
      </c>
      <c r="H50" s="41">
        <f>IF($C50="","",IF($E50="5j",jours_ouvrables_5j_mois_courant,jours_ouvrables_6j_mois_courant))</f>
        <v/>
      </c>
      <c r="I50" s="41">
        <f>IF($C50="","",IFERROR(INDEX(VARIABLES!$G:$G,$G50),0))</f>
        <v/>
      </c>
      <c r="J50" s="41">
        <f>IF($C50="","",MAX(0,$H50-$I50))</f>
        <v/>
      </c>
      <c r="K50" s="57">
        <f>IF($C50="","",IF($H50=0,0,($F50/$H50)*$J50))</f>
        <v/>
      </c>
      <c r="L50" s="59">
        <f>IF($C50="","",IFERROR(INDEX(VARIABLES!$E:$E,$G50),0))</f>
        <v/>
      </c>
      <c r="M50" s="57">
        <f>IF($C50="","",IF($H50=0,0,($F50/$H50/heures_par_jour)*(MIN($L50,6)*taux_majoration_hs+MAX($L50-6,0)*taux_majoration_hs_tier2)))</f>
        <v/>
      </c>
      <c r="N50" s="57">
        <f>IF($C50="","",IFERROR(INDEX(VARIABLES!$F:$F,$G50),0))</f>
        <v/>
      </c>
      <c r="O50" s="57">
        <f>IF($C50="","",allocation_familiale_enfant*EMPLOYES!O58)</f>
        <v/>
      </c>
      <c r="P50" s="57">
        <f>IF($C50="","",contrevaleur_logement)</f>
        <v/>
      </c>
      <c r="Q50" s="57">
        <f>IF($C50="","",$K50+$M50+$N50+$O50+$P50+$AH50+$AJ50)</f>
        <v/>
      </c>
      <c r="R50" s="57">
        <f>IF($C50="","",$Q50*t_cnss_pension_salarie)</f>
        <v/>
      </c>
      <c r="S50" s="57">
        <f>IF($C50="","",IF(opt_cnss_deductible_ipr="Oui",$Q50-$R50,$Q50))</f>
        <v/>
      </c>
      <c r="T50" s="57">
        <f>IF($C50="","",MAX(ipr_plancher,MIN((IF($S50&lt;=ipr_t1_sup_mensuel,$S50*ipr_taux1,IF($S50&lt;=ipr_t2_sup_mensuel,ipr_t1_sup_mensuel*ipr_taux1+($S50-ipr_t1_sup_mensuel)*ipr_taux2,IF($S50&lt;=ipr_t3_sup_mensuel,ipr_t1_sup_mensuel*ipr_taux1+(ipr_t2_sup_mensuel-ipr_t1_sup_mensuel)*ipr_taux2+($S50-ipr_t2_sup_mensuel)*ipr_taux3,ipr_t1_sup_mensuel*ipr_taux1+(ipr_t2_sup_mensuel-ipr_t1_sup_mensuel)*ipr_taux2+(ipr_t3_sup_mensuel-ipr_t2_sup_mensuel)*ipr_taux3+($S50-ipr_t3_sup_mensuel)*ipr_taux4))))-MIN(EMPLOYES!O58,9)*ipr_reduction_famille*(IF($S50&lt;=ipr_t1_sup_mensuel,$S50*ipr_taux1,IF($S50&lt;=ipr_t2_sup_mensuel,ipr_t1_sup_mensuel*ipr_taux1+($S50-ipr_t1_sup_mensuel)*ipr_taux2,IF($S50&lt;=ipr_t3_sup_mensuel,ipr_t1_sup_mensuel*ipr_taux1+(ipr_t2_sup_mensuel-ipr_t1_sup_mensuel)*ipr_taux2+($S50-ipr_t2_sup_mensuel)*ipr_taux3,ipr_t1_sup_mensuel*ipr_taux1+(ipr_t2_sup_mensuel-ipr_t1_sup_mensuel)*ipr_taux2+(ipr_t3_sup_mensuel-ipr_t2_sup_mensuel)*ipr_taux3+($S50-ipr_t3_sup_mensuel)*ipr_taux4)))),$S50*ipr_plafond_pct)))</f>
        <v/>
      </c>
      <c r="U50" s="57">
        <f>IF($C50="","",$Q50-$R50-$T50)</f>
        <v/>
      </c>
      <c r="V50" s="57">
        <f>IF($C50="","",IFERROR(INDEX(VARIABLES!$H:$H,$G50),0))</f>
        <v/>
      </c>
      <c r="W50" s="57">
        <f>IF($C50="","",IFERROR(INDEX(VARIABLES!$J:$J,$G50),0))</f>
        <v/>
      </c>
      <c r="X50" s="57">
        <f>IF($C50="","",$U50-$V50-$W50)</f>
        <v/>
      </c>
      <c r="Y50" s="57">
        <f>IF($C50="","",$Q50*t_cnss_total_employeur)</f>
        <v/>
      </c>
      <c r="Z50" s="57">
        <f>IF($C50="","",$Q50*t_inpp_applicable)</f>
        <v/>
      </c>
      <c r="AA50" s="57">
        <f>IF($C50="","",$Q50*t_onem)</f>
        <v/>
      </c>
      <c r="AB50" s="57">
        <f>IF($C50="","",$Q50+$Y50+$Z50+$AA50)</f>
        <v/>
      </c>
      <c r="AC50" s="55">
        <f>IF(AND($C50&lt;&gt;"",$I50&gt;0),1,0)</f>
        <v/>
      </c>
      <c r="AD50" s="55">
        <f>SUM(AC$7:AC50)</f>
        <v/>
      </c>
      <c r="AE50" s="55">
        <f>IF(AND($C50&lt;&gt;"",$V50&gt;0),1,0)</f>
        <v/>
      </c>
      <c r="AF50" s="55">
        <f>SUM(AE$7:AE50)</f>
        <v/>
      </c>
      <c r="AG50" s="59">
        <f>IF($C50="","",IFERROR(INDEX(VARIABLES!$AY:$AY,$G50),0))</f>
        <v/>
      </c>
      <c r="AH50" s="57">
        <f>IF($C50="","",IF($H50=0,0,$AG50*(($F50/$H50)/heures_par_jour)*taux_majoration_nuit))</f>
        <v/>
      </c>
      <c r="AI50" s="59">
        <f>IF($C50="","",IFERROR(INDEX(VARIABLES!$AX:$AX,$G50),0))</f>
        <v/>
      </c>
      <c r="AJ50" s="57">
        <f>IF($C50="","",IF($H50=0,0,$AI50*($F50/$H50)*(1+taux_majoration_repos)))</f>
        <v/>
      </c>
    </row>
    <row r="51" ht="15" customHeight="1" s="15">
      <c r="B51" s="41" t="n">
        <v>45</v>
      </c>
      <c r="C51" s="41">
        <f>IF(EMPLOYES!C59="","",EMPLOYES!C59)</f>
        <v/>
      </c>
      <c r="D51" s="56">
        <f>IF(EMPLOYES!C59="","",EMPLOYES!D59)</f>
        <v/>
      </c>
      <c r="E51" s="41">
        <f>IF(EMPLOYES!C59="","",EMPLOYES!M59)</f>
        <v/>
      </c>
      <c r="F51" s="57">
        <f>IF(EMPLOYES!C59="","",EMPLOYES!Y59)</f>
        <v/>
      </c>
      <c r="G51" s="47">
        <f>INDEX(BULLETIN!$C$201:$C$212,MATCH(mois_courant_numero,BULLETIN!$B$201:$B$212,0))+44</f>
        <v/>
      </c>
      <c r="H51" s="41">
        <f>IF($C51="","",IF($E51="5j",jours_ouvrables_5j_mois_courant,jours_ouvrables_6j_mois_courant))</f>
        <v/>
      </c>
      <c r="I51" s="41">
        <f>IF($C51="","",IFERROR(INDEX(VARIABLES!$G:$G,$G51),0))</f>
        <v/>
      </c>
      <c r="J51" s="41">
        <f>IF($C51="","",MAX(0,$H51-$I51))</f>
        <v/>
      </c>
      <c r="K51" s="57">
        <f>IF($C51="","",IF($H51=0,0,($F51/$H51)*$J51))</f>
        <v/>
      </c>
      <c r="L51" s="59">
        <f>IF($C51="","",IFERROR(INDEX(VARIABLES!$E:$E,$G51),0))</f>
        <v/>
      </c>
      <c r="M51" s="57">
        <f>IF($C51="","",IF($H51=0,0,($F51/$H51/heures_par_jour)*(MIN($L51,6)*taux_majoration_hs+MAX($L51-6,0)*taux_majoration_hs_tier2)))</f>
        <v/>
      </c>
      <c r="N51" s="57">
        <f>IF($C51="","",IFERROR(INDEX(VARIABLES!$F:$F,$G51),0))</f>
        <v/>
      </c>
      <c r="O51" s="57">
        <f>IF($C51="","",allocation_familiale_enfant*EMPLOYES!O59)</f>
        <v/>
      </c>
      <c r="P51" s="57">
        <f>IF($C51="","",contrevaleur_logement)</f>
        <v/>
      </c>
      <c r="Q51" s="57">
        <f>IF($C51="","",$K51+$M51+$N51+$O51+$P51+$AH51+$AJ51)</f>
        <v/>
      </c>
      <c r="R51" s="57">
        <f>IF($C51="","",$Q51*t_cnss_pension_salarie)</f>
        <v/>
      </c>
      <c r="S51" s="57">
        <f>IF($C51="","",IF(opt_cnss_deductible_ipr="Oui",$Q51-$R51,$Q51))</f>
        <v/>
      </c>
      <c r="T51" s="57">
        <f>IF($C51="","",MAX(ipr_plancher,MIN((IF($S51&lt;=ipr_t1_sup_mensuel,$S51*ipr_taux1,IF($S51&lt;=ipr_t2_sup_mensuel,ipr_t1_sup_mensuel*ipr_taux1+($S51-ipr_t1_sup_mensuel)*ipr_taux2,IF($S51&lt;=ipr_t3_sup_mensuel,ipr_t1_sup_mensuel*ipr_taux1+(ipr_t2_sup_mensuel-ipr_t1_sup_mensuel)*ipr_taux2+($S51-ipr_t2_sup_mensuel)*ipr_taux3,ipr_t1_sup_mensuel*ipr_taux1+(ipr_t2_sup_mensuel-ipr_t1_sup_mensuel)*ipr_taux2+(ipr_t3_sup_mensuel-ipr_t2_sup_mensuel)*ipr_taux3+($S51-ipr_t3_sup_mensuel)*ipr_taux4))))-MIN(EMPLOYES!O59,9)*ipr_reduction_famille*(IF($S51&lt;=ipr_t1_sup_mensuel,$S51*ipr_taux1,IF($S51&lt;=ipr_t2_sup_mensuel,ipr_t1_sup_mensuel*ipr_taux1+($S51-ipr_t1_sup_mensuel)*ipr_taux2,IF($S51&lt;=ipr_t3_sup_mensuel,ipr_t1_sup_mensuel*ipr_taux1+(ipr_t2_sup_mensuel-ipr_t1_sup_mensuel)*ipr_taux2+($S51-ipr_t2_sup_mensuel)*ipr_taux3,ipr_t1_sup_mensuel*ipr_taux1+(ipr_t2_sup_mensuel-ipr_t1_sup_mensuel)*ipr_taux2+(ipr_t3_sup_mensuel-ipr_t2_sup_mensuel)*ipr_taux3+($S51-ipr_t3_sup_mensuel)*ipr_taux4)))),$S51*ipr_plafond_pct)))</f>
        <v/>
      </c>
      <c r="U51" s="57">
        <f>IF($C51="","",$Q51-$R51-$T51)</f>
        <v/>
      </c>
      <c r="V51" s="57">
        <f>IF($C51="","",IFERROR(INDEX(VARIABLES!$H:$H,$G51),0))</f>
        <v/>
      </c>
      <c r="W51" s="57">
        <f>IF($C51="","",IFERROR(INDEX(VARIABLES!$J:$J,$G51),0))</f>
        <v/>
      </c>
      <c r="X51" s="57">
        <f>IF($C51="","",$U51-$V51-$W51)</f>
        <v/>
      </c>
      <c r="Y51" s="57">
        <f>IF($C51="","",$Q51*t_cnss_total_employeur)</f>
        <v/>
      </c>
      <c r="Z51" s="57">
        <f>IF($C51="","",$Q51*t_inpp_applicable)</f>
        <v/>
      </c>
      <c r="AA51" s="57">
        <f>IF($C51="","",$Q51*t_onem)</f>
        <v/>
      </c>
      <c r="AB51" s="57">
        <f>IF($C51="","",$Q51+$Y51+$Z51+$AA51)</f>
        <v/>
      </c>
      <c r="AC51" s="55">
        <f>IF(AND($C51&lt;&gt;"",$I51&gt;0),1,0)</f>
        <v/>
      </c>
      <c r="AD51" s="55">
        <f>SUM(AC$7:AC51)</f>
        <v/>
      </c>
      <c r="AE51" s="55">
        <f>IF(AND($C51&lt;&gt;"",$V51&gt;0),1,0)</f>
        <v/>
      </c>
      <c r="AF51" s="55">
        <f>SUM(AE$7:AE51)</f>
        <v/>
      </c>
      <c r="AG51" s="59">
        <f>IF($C51="","",IFERROR(INDEX(VARIABLES!$AY:$AY,$G51),0))</f>
        <v/>
      </c>
      <c r="AH51" s="57">
        <f>IF($C51="","",IF($H51=0,0,$AG51*(($F51/$H51)/heures_par_jour)*taux_majoration_nuit))</f>
        <v/>
      </c>
      <c r="AI51" s="59">
        <f>IF($C51="","",IFERROR(INDEX(VARIABLES!$AX:$AX,$G51),0))</f>
        <v/>
      </c>
      <c r="AJ51" s="57">
        <f>IF($C51="","",IF($H51=0,0,$AI51*($F51/$H51)*(1+taux_majoration_repos)))</f>
        <v/>
      </c>
    </row>
    <row r="52" ht="15" customHeight="1" s="15">
      <c r="B52" s="41" t="n">
        <v>46</v>
      </c>
      <c r="C52" s="41">
        <f>IF(EMPLOYES!C60="","",EMPLOYES!C60)</f>
        <v/>
      </c>
      <c r="D52" s="56">
        <f>IF(EMPLOYES!C60="","",EMPLOYES!D60)</f>
        <v/>
      </c>
      <c r="E52" s="41">
        <f>IF(EMPLOYES!C60="","",EMPLOYES!M60)</f>
        <v/>
      </c>
      <c r="F52" s="57">
        <f>IF(EMPLOYES!C60="","",EMPLOYES!Y60)</f>
        <v/>
      </c>
      <c r="G52" s="47">
        <f>INDEX(BULLETIN!$C$201:$C$212,MATCH(mois_courant_numero,BULLETIN!$B$201:$B$212,0))+45</f>
        <v/>
      </c>
      <c r="H52" s="41">
        <f>IF($C52="","",IF($E52="5j",jours_ouvrables_5j_mois_courant,jours_ouvrables_6j_mois_courant))</f>
        <v/>
      </c>
      <c r="I52" s="41">
        <f>IF($C52="","",IFERROR(INDEX(VARIABLES!$G:$G,$G52),0))</f>
        <v/>
      </c>
      <c r="J52" s="41">
        <f>IF($C52="","",MAX(0,$H52-$I52))</f>
        <v/>
      </c>
      <c r="K52" s="57">
        <f>IF($C52="","",IF($H52=0,0,($F52/$H52)*$J52))</f>
        <v/>
      </c>
      <c r="L52" s="59">
        <f>IF($C52="","",IFERROR(INDEX(VARIABLES!$E:$E,$G52),0))</f>
        <v/>
      </c>
      <c r="M52" s="57">
        <f>IF($C52="","",IF($H52=0,0,($F52/$H52/heures_par_jour)*(MIN($L52,6)*taux_majoration_hs+MAX($L52-6,0)*taux_majoration_hs_tier2)))</f>
        <v/>
      </c>
      <c r="N52" s="57">
        <f>IF($C52="","",IFERROR(INDEX(VARIABLES!$F:$F,$G52),0))</f>
        <v/>
      </c>
      <c r="O52" s="57">
        <f>IF($C52="","",allocation_familiale_enfant*EMPLOYES!O60)</f>
        <v/>
      </c>
      <c r="P52" s="57">
        <f>IF($C52="","",contrevaleur_logement)</f>
        <v/>
      </c>
      <c r="Q52" s="57">
        <f>IF($C52="","",$K52+$M52+$N52+$O52+$P52+$AH52+$AJ52)</f>
        <v/>
      </c>
      <c r="R52" s="57">
        <f>IF($C52="","",$Q52*t_cnss_pension_salarie)</f>
        <v/>
      </c>
      <c r="S52" s="57">
        <f>IF($C52="","",IF(opt_cnss_deductible_ipr="Oui",$Q52-$R52,$Q52))</f>
        <v/>
      </c>
      <c r="T52" s="57">
        <f>IF($C52="","",MAX(ipr_plancher,MIN((IF($S52&lt;=ipr_t1_sup_mensuel,$S52*ipr_taux1,IF($S52&lt;=ipr_t2_sup_mensuel,ipr_t1_sup_mensuel*ipr_taux1+($S52-ipr_t1_sup_mensuel)*ipr_taux2,IF($S52&lt;=ipr_t3_sup_mensuel,ipr_t1_sup_mensuel*ipr_taux1+(ipr_t2_sup_mensuel-ipr_t1_sup_mensuel)*ipr_taux2+($S52-ipr_t2_sup_mensuel)*ipr_taux3,ipr_t1_sup_mensuel*ipr_taux1+(ipr_t2_sup_mensuel-ipr_t1_sup_mensuel)*ipr_taux2+(ipr_t3_sup_mensuel-ipr_t2_sup_mensuel)*ipr_taux3+($S52-ipr_t3_sup_mensuel)*ipr_taux4))))-MIN(EMPLOYES!O60,9)*ipr_reduction_famille*(IF($S52&lt;=ipr_t1_sup_mensuel,$S52*ipr_taux1,IF($S52&lt;=ipr_t2_sup_mensuel,ipr_t1_sup_mensuel*ipr_taux1+($S52-ipr_t1_sup_mensuel)*ipr_taux2,IF($S52&lt;=ipr_t3_sup_mensuel,ipr_t1_sup_mensuel*ipr_taux1+(ipr_t2_sup_mensuel-ipr_t1_sup_mensuel)*ipr_taux2+($S52-ipr_t2_sup_mensuel)*ipr_taux3,ipr_t1_sup_mensuel*ipr_taux1+(ipr_t2_sup_mensuel-ipr_t1_sup_mensuel)*ipr_taux2+(ipr_t3_sup_mensuel-ipr_t2_sup_mensuel)*ipr_taux3+($S52-ipr_t3_sup_mensuel)*ipr_taux4)))),$S52*ipr_plafond_pct)))</f>
        <v/>
      </c>
      <c r="U52" s="57">
        <f>IF($C52="","",$Q52-$R52-$T52)</f>
        <v/>
      </c>
      <c r="V52" s="57">
        <f>IF($C52="","",IFERROR(INDEX(VARIABLES!$H:$H,$G52),0))</f>
        <v/>
      </c>
      <c r="W52" s="57">
        <f>IF($C52="","",IFERROR(INDEX(VARIABLES!$J:$J,$G52),0))</f>
        <v/>
      </c>
      <c r="X52" s="57">
        <f>IF($C52="","",$U52-$V52-$W52)</f>
        <v/>
      </c>
      <c r="Y52" s="57">
        <f>IF($C52="","",$Q52*t_cnss_total_employeur)</f>
        <v/>
      </c>
      <c r="Z52" s="57">
        <f>IF($C52="","",$Q52*t_inpp_applicable)</f>
        <v/>
      </c>
      <c r="AA52" s="57">
        <f>IF($C52="","",$Q52*t_onem)</f>
        <v/>
      </c>
      <c r="AB52" s="57">
        <f>IF($C52="","",$Q52+$Y52+$Z52+$AA52)</f>
        <v/>
      </c>
      <c r="AC52" s="55">
        <f>IF(AND($C52&lt;&gt;"",$I52&gt;0),1,0)</f>
        <v/>
      </c>
      <c r="AD52" s="55">
        <f>SUM(AC$7:AC52)</f>
        <v/>
      </c>
      <c r="AE52" s="55">
        <f>IF(AND($C52&lt;&gt;"",$V52&gt;0),1,0)</f>
        <v/>
      </c>
      <c r="AF52" s="55">
        <f>SUM(AE$7:AE52)</f>
        <v/>
      </c>
      <c r="AG52" s="59">
        <f>IF($C52="","",IFERROR(INDEX(VARIABLES!$AY:$AY,$G52),0))</f>
        <v/>
      </c>
      <c r="AH52" s="57">
        <f>IF($C52="","",IF($H52=0,0,$AG52*(($F52/$H52)/heures_par_jour)*taux_majoration_nuit))</f>
        <v/>
      </c>
      <c r="AI52" s="59">
        <f>IF($C52="","",IFERROR(INDEX(VARIABLES!$AX:$AX,$G52),0))</f>
        <v/>
      </c>
      <c r="AJ52" s="57">
        <f>IF($C52="","",IF($H52=0,0,$AI52*($F52/$H52)*(1+taux_majoration_repos)))</f>
        <v/>
      </c>
    </row>
    <row r="53" ht="15" customHeight="1" s="15">
      <c r="B53" s="41" t="n">
        <v>47</v>
      </c>
      <c r="C53" s="41">
        <f>IF(EMPLOYES!C61="","",EMPLOYES!C61)</f>
        <v/>
      </c>
      <c r="D53" s="56">
        <f>IF(EMPLOYES!C61="","",EMPLOYES!D61)</f>
        <v/>
      </c>
      <c r="E53" s="41">
        <f>IF(EMPLOYES!C61="","",EMPLOYES!M61)</f>
        <v/>
      </c>
      <c r="F53" s="57">
        <f>IF(EMPLOYES!C61="","",EMPLOYES!Y61)</f>
        <v/>
      </c>
      <c r="G53" s="47">
        <f>INDEX(BULLETIN!$C$201:$C$212,MATCH(mois_courant_numero,BULLETIN!$B$201:$B$212,0))+46</f>
        <v/>
      </c>
      <c r="H53" s="41">
        <f>IF($C53="","",IF($E53="5j",jours_ouvrables_5j_mois_courant,jours_ouvrables_6j_mois_courant))</f>
        <v/>
      </c>
      <c r="I53" s="41">
        <f>IF($C53="","",IFERROR(INDEX(VARIABLES!$G:$G,$G53),0))</f>
        <v/>
      </c>
      <c r="J53" s="41">
        <f>IF($C53="","",MAX(0,$H53-$I53))</f>
        <v/>
      </c>
      <c r="K53" s="57">
        <f>IF($C53="","",IF($H53=0,0,($F53/$H53)*$J53))</f>
        <v/>
      </c>
      <c r="L53" s="59">
        <f>IF($C53="","",IFERROR(INDEX(VARIABLES!$E:$E,$G53),0))</f>
        <v/>
      </c>
      <c r="M53" s="57">
        <f>IF($C53="","",IF($H53=0,0,($F53/$H53/heures_par_jour)*(MIN($L53,6)*taux_majoration_hs+MAX($L53-6,0)*taux_majoration_hs_tier2)))</f>
        <v/>
      </c>
      <c r="N53" s="57">
        <f>IF($C53="","",IFERROR(INDEX(VARIABLES!$F:$F,$G53),0))</f>
        <v/>
      </c>
      <c r="O53" s="57">
        <f>IF($C53="","",allocation_familiale_enfant*EMPLOYES!O61)</f>
        <v/>
      </c>
      <c r="P53" s="57">
        <f>IF($C53="","",contrevaleur_logement)</f>
        <v/>
      </c>
      <c r="Q53" s="57">
        <f>IF($C53="","",$K53+$M53+$N53+$O53+$P53+$AH53+$AJ53)</f>
        <v/>
      </c>
      <c r="R53" s="57">
        <f>IF($C53="","",$Q53*t_cnss_pension_salarie)</f>
        <v/>
      </c>
      <c r="S53" s="57">
        <f>IF($C53="","",IF(opt_cnss_deductible_ipr="Oui",$Q53-$R53,$Q53))</f>
        <v/>
      </c>
      <c r="T53" s="57">
        <f>IF($C53="","",MAX(ipr_plancher,MIN((IF($S53&lt;=ipr_t1_sup_mensuel,$S53*ipr_taux1,IF($S53&lt;=ipr_t2_sup_mensuel,ipr_t1_sup_mensuel*ipr_taux1+($S53-ipr_t1_sup_mensuel)*ipr_taux2,IF($S53&lt;=ipr_t3_sup_mensuel,ipr_t1_sup_mensuel*ipr_taux1+(ipr_t2_sup_mensuel-ipr_t1_sup_mensuel)*ipr_taux2+($S53-ipr_t2_sup_mensuel)*ipr_taux3,ipr_t1_sup_mensuel*ipr_taux1+(ipr_t2_sup_mensuel-ipr_t1_sup_mensuel)*ipr_taux2+(ipr_t3_sup_mensuel-ipr_t2_sup_mensuel)*ipr_taux3+($S53-ipr_t3_sup_mensuel)*ipr_taux4))))-MIN(EMPLOYES!O61,9)*ipr_reduction_famille*(IF($S53&lt;=ipr_t1_sup_mensuel,$S53*ipr_taux1,IF($S53&lt;=ipr_t2_sup_mensuel,ipr_t1_sup_mensuel*ipr_taux1+($S53-ipr_t1_sup_mensuel)*ipr_taux2,IF($S53&lt;=ipr_t3_sup_mensuel,ipr_t1_sup_mensuel*ipr_taux1+(ipr_t2_sup_mensuel-ipr_t1_sup_mensuel)*ipr_taux2+($S53-ipr_t2_sup_mensuel)*ipr_taux3,ipr_t1_sup_mensuel*ipr_taux1+(ipr_t2_sup_mensuel-ipr_t1_sup_mensuel)*ipr_taux2+(ipr_t3_sup_mensuel-ipr_t2_sup_mensuel)*ipr_taux3+($S53-ipr_t3_sup_mensuel)*ipr_taux4)))),$S53*ipr_plafond_pct)))</f>
        <v/>
      </c>
      <c r="U53" s="57">
        <f>IF($C53="","",$Q53-$R53-$T53)</f>
        <v/>
      </c>
      <c r="V53" s="57">
        <f>IF($C53="","",IFERROR(INDEX(VARIABLES!$H:$H,$G53),0))</f>
        <v/>
      </c>
      <c r="W53" s="57">
        <f>IF($C53="","",IFERROR(INDEX(VARIABLES!$J:$J,$G53),0))</f>
        <v/>
      </c>
      <c r="X53" s="57">
        <f>IF($C53="","",$U53-$V53-$W53)</f>
        <v/>
      </c>
      <c r="Y53" s="57">
        <f>IF($C53="","",$Q53*t_cnss_total_employeur)</f>
        <v/>
      </c>
      <c r="Z53" s="57">
        <f>IF($C53="","",$Q53*t_inpp_applicable)</f>
        <v/>
      </c>
      <c r="AA53" s="57">
        <f>IF($C53="","",$Q53*t_onem)</f>
        <v/>
      </c>
      <c r="AB53" s="57">
        <f>IF($C53="","",$Q53+$Y53+$Z53+$AA53)</f>
        <v/>
      </c>
      <c r="AC53" s="55">
        <f>IF(AND($C53&lt;&gt;"",$I53&gt;0),1,0)</f>
        <v/>
      </c>
      <c r="AD53" s="55">
        <f>SUM(AC$7:AC53)</f>
        <v/>
      </c>
      <c r="AE53" s="55">
        <f>IF(AND($C53&lt;&gt;"",$V53&gt;0),1,0)</f>
        <v/>
      </c>
      <c r="AF53" s="55">
        <f>SUM(AE$7:AE53)</f>
        <v/>
      </c>
      <c r="AG53" s="59">
        <f>IF($C53="","",IFERROR(INDEX(VARIABLES!$AY:$AY,$G53),0))</f>
        <v/>
      </c>
      <c r="AH53" s="57">
        <f>IF($C53="","",IF($H53=0,0,$AG53*(($F53/$H53)/heures_par_jour)*taux_majoration_nuit))</f>
        <v/>
      </c>
      <c r="AI53" s="59">
        <f>IF($C53="","",IFERROR(INDEX(VARIABLES!$AX:$AX,$G53),0))</f>
        <v/>
      </c>
      <c r="AJ53" s="57">
        <f>IF($C53="","",IF($H53=0,0,$AI53*($F53/$H53)*(1+taux_majoration_repos)))</f>
        <v/>
      </c>
    </row>
    <row r="54" ht="15" customHeight="1" s="15">
      <c r="B54" s="41" t="n">
        <v>48</v>
      </c>
      <c r="C54" s="41">
        <f>IF(EMPLOYES!C62="","",EMPLOYES!C62)</f>
        <v/>
      </c>
      <c r="D54" s="56">
        <f>IF(EMPLOYES!C62="","",EMPLOYES!D62)</f>
        <v/>
      </c>
      <c r="E54" s="41">
        <f>IF(EMPLOYES!C62="","",EMPLOYES!M62)</f>
        <v/>
      </c>
      <c r="F54" s="57">
        <f>IF(EMPLOYES!C62="","",EMPLOYES!Y62)</f>
        <v/>
      </c>
      <c r="G54" s="47">
        <f>INDEX(BULLETIN!$C$201:$C$212,MATCH(mois_courant_numero,BULLETIN!$B$201:$B$212,0))+47</f>
        <v/>
      </c>
      <c r="H54" s="41">
        <f>IF($C54="","",IF($E54="5j",jours_ouvrables_5j_mois_courant,jours_ouvrables_6j_mois_courant))</f>
        <v/>
      </c>
      <c r="I54" s="41">
        <f>IF($C54="","",IFERROR(INDEX(VARIABLES!$G:$G,$G54),0))</f>
        <v/>
      </c>
      <c r="J54" s="41">
        <f>IF($C54="","",MAX(0,$H54-$I54))</f>
        <v/>
      </c>
      <c r="K54" s="57">
        <f>IF($C54="","",IF($H54=0,0,($F54/$H54)*$J54))</f>
        <v/>
      </c>
      <c r="L54" s="59">
        <f>IF($C54="","",IFERROR(INDEX(VARIABLES!$E:$E,$G54),0))</f>
        <v/>
      </c>
      <c r="M54" s="57">
        <f>IF($C54="","",IF($H54=0,0,($F54/$H54/heures_par_jour)*(MIN($L54,6)*taux_majoration_hs+MAX($L54-6,0)*taux_majoration_hs_tier2)))</f>
        <v/>
      </c>
      <c r="N54" s="57">
        <f>IF($C54="","",IFERROR(INDEX(VARIABLES!$F:$F,$G54),0))</f>
        <v/>
      </c>
      <c r="O54" s="57">
        <f>IF($C54="","",allocation_familiale_enfant*EMPLOYES!O62)</f>
        <v/>
      </c>
      <c r="P54" s="57">
        <f>IF($C54="","",contrevaleur_logement)</f>
        <v/>
      </c>
      <c r="Q54" s="57">
        <f>IF($C54="","",$K54+$M54+$N54+$O54+$P54+$AH54+$AJ54)</f>
        <v/>
      </c>
      <c r="R54" s="57">
        <f>IF($C54="","",$Q54*t_cnss_pension_salarie)</f>
        <v/>
      </c>
      <c r="S54" s="57">
        <f>IF($C54="","",IF(opt_cnss_deductible_ipr="Oui",$Q54-$R54,$Q54))</f>
        <v/>
      </c>
      <c r="T54" s="57">
        <f>IF($C54="","",MAX(ipr_plancher,MIN((IF($S54&lt;=ipr_t1_sup_mensuel,$S54*ipr_taux1,IF($S54&lt;=ipr_t2_sup_mensuel,ipr_t1_sup_mensuel*ipr_taux1+($S54-ipr_t1_sup_mensuel)*ipr_taux2,IF($S54&lt;=ipr_t3_sup_mensuel,ipr_t1_sup_mensuel*ipr_taux1+(ipr_t2_sup_mensuel-ipr_t1_sup_mensuel)*ipr_taux2+($S54-ipr_t2_sup_mensuel)*ipr_taux3,ipr_t1_sup_mensuel*ipr_taux1+(ipr_t2_sup_mensuel-ipr_t1_sup_mensuel)*ipr_taux2+(ipr_t3_sup_mensuel-ipr_t2_sup_mensuel)*ipr_taux3+($S54-ipr_t3_sup_mensuel)*ipr_taux4))))-MIN(EMPLOYES!O62,9)*ipr_reduction_famille*(IF($S54&lt;=ipr_t1_sup_mensuel,$S54*ipr_taux1,IF($S54&lt;=ipr_t2_sup_mensuel,ipr_t1_sup_mensuel*ipr_taux1+($S54-ipr_t1_sup_mensuel)*ipr_taux2,IF($S54&lt;=ipr_t3_sup_mensuel,ipr_t1_sup_mensuel*ipr_taux1+(ipr_t2_sup_mensuel-ipr_t1_sup_mensuel)*ipr_taux2+($S54-ipr_t2_sup_mensuel)*ipr_taux3,ipr_t1_sup_mensuel*ipr_taux1+(ipr_t2_sup_mensuel-ipr_t1_sup_mensuel)*ipr_taux2+(ipr_t3_sup_mensuel-ipr_t2_sup_mensuel)*ipr_taux3+($S54-ipr_t3_sup_mensuel)*ipr_taux4)))),$S54*ipr_plafond_pct)))</f>
        <v/>
      </c>
      <c r="U54" s="57">
        <f>IF($C54="","",$Q54-$R54-$T54)</f>
        <v/>
      </c>
      <c r="V54" s="57">
        <f>IF($C54="","",IFERROR(INDEX(VARIABLES!$H:$H,$G54),0))</f>
        <v/>
      </c>
      <c r="W54" s="57">
        <f>IF($C54="","",IFERROR(INDEX(VARIABLES!$J:$J,$G54),0))</f>
        <v/>
      </c>
      <c r="X54" s="57">
        <f>IF($C54="","",$U54-$V54-$W54)</f>
        <v/>
      </c>
      <c r="Y54" s="57">
        <f>IF($C54="","",$Q54*t_cnss_total_employeur)</f>
        <v/>
      </c>
      <c r="Z54" s="57">
        <f>IF($C54="","",$Q54*t_inpp_applicable)</f>
        <v/>
      </c>
      <c r="AA54" s="57">
        <f>IF($C54="","",$Q54*t_onem)</f>
        <v/>
      </c>
      <c r="AB54" s="57">
        <f>IF($C54="","",$Q54+$Y54+$Z54+$AA54)</f>
        <v/>
      </c>
      <c r="AC54" s="55">
        <f>IF(AND($C54&lt;&gt;"",$I54&gt;0),1,0)</f>
        <v/>
      </c>
      <c r="AD54" s="55">
        <f>SUM(AC$7:AC54)</f>
        <v/>
      </c>
      <c r="AE54" s="55">
        <f>IF(AND($C54&lt;&gt;"",$V54&gt;0),1,0)</f>
        <v/>
      </c>
      <c r="AF54" s="55">
        <f>SUM(AE$7:AE54)</f>
        <v/>
      </c>
      <c r="AG54" s="59">
        <f>IF($C54="","",IFERROR(INDEX(VARIABLES!$AY:$AY,$G54),0))</f>
        <v/>
      </c>
      <c r="AH54" s="57">
        <f>IF($C54="","",IF($H54=0,0,$AG54*(($F54/$H54)/heures_par_jour)*taux_majoration_nuit))</f>
        <v/>
      </c>
      <c r="AI54" s="59">
        <f>IF($C54="","",IFERROR(INDEX(VARIABLES!$AX:$AX,$G54),0))</f>
        <v/>
      </c>
      <c r="AJ54" s="57">
        <f>IF($C54="","",IF($H54=0,0,$AI54*($F54/$H54)*(1+taux_majoration_repos)))</f>
        <v/>
      </c>
    </row>
    <row r="55" ht="15" customHeight="1" s="15">
      <c r="B55" s="41" t="n">
        <v>49</v>
      </c>
      <c r="C55" s="41">
        <f>IF(EMPLOYES!C63="","",EMPLOYES!C63)</f>
        <v/>
      </c>
      <c r="D55" s="56">
        <f>IF(EMPLOYES!C63="","",EMPLOYES!D63)</f>
        <v/>
      </c>
      <c r="E55" s="41">
        <f>IF(EMPLOYES!C63="","",EMPLOYES!M63)</f>
        <v/>
      </c>
      <c r="F55" s="57">
        <f>IF(EMPLOYES!C63="","",EMPLOYES!Y63)</f>
        <v/>
      </c>
      <c r="G55" s="47">
        <f>INDEX(BULLETIN!$C$201:$C$212,MATCH(mois_courant_numero,BULLETIN!$B$201:$B$212,0))+48</f>
        <v/>
      </c>
      <c r="H55" s="41">
        <f>IF($C55="","",IF($E55="5j",jours_ouvrables_5j_mois_courant,jours_ouvrables_6j_mois_courant))</f>
        <v/>
      </c>
      <c r="I55" s="41">
        <f>IF($C55="","",IFERROR(INDEX(VARIABLES!$G:$G,$G55),0))</f>
        <v/>
      </c>
      <c r="J55" s="41">
        <f>IF($C55="","",MAX(0,$H55-$I55))</f>
        <v/>
      </c>
      <c r="K55" s="57">
        <f>IF($C55="","",IF($H55=0,0,($F55/$H55)*$J55))</f>
        <v/>
      </c>
      <c r="L55" s="59">
        <f>IF($C55="","",IFERROR(INDEX(VARIABLES!$E:$E,$G55),0))</f>
        <v/>
      </c>
      <c r="M55" s="57">
        <f>IF($C55="","",IF($H55=0,0,($F55/$H55/heures_par_jour)*(MIN($L55,6)*taux_majoration_hs+MAX($L55-6,0)*taux_majoration_hs_tier2)))</f>
        <v/>
      </c>
      <c r="N55" s="57">
        <f>IF($C55="","",IFERROR(INDEX(VARIABLES!$F:$F,$G55),0))</f>
        <v/>
      </c>
      <c r="O55" s="57">
        <f>IF($C55="","",allocation_familiale_enfant*EMPLOYES!O63)</f>
        <v/>
      </c>
      <c r="P55" s="57">
        <f>IF($C55="","",contrevaleur_logement)</f>
        <v/>
      </c>
      <c r="Q55" s="57">
        <f>IF($C55="","",$K55+$M55+$N55+$O55+$P55+$AH55+$AJ55)</f>
        <v/>
      </c>
      <c r="R55" s="57">
        <f>IF($C55="","",$Q55*t_cnss_pension_salarie)</f>
        <v/>
      </c>
      <c r="S55" s="57">
        <f>IF($C55="","",IF(opt_cnss_deductible_ipr="Oui",$Q55-$R55,$Q55))</f>
        <v/>
      </c>
      <c r="T55" s="57">
        <f>IF($C55="","",MAX(ipr_plancher,MIN((IF($S55&lt;=ipr_t1_sup_mensuel,$S55*ipr_taux1,IF($S55&lt;=ipr_t2_sup_mensuel,ipr_t1_sup_mensuel*ipr_taux1+($S55-ipr_t1_sup_mensuel)*ipr_taux2,IF($S55&lt;=ipr_t3_sup_mensuel,ipr_t1_sup_mensuel*ipr_taux1+(ipr_t2_sup_mensuel-ipr_t1_sup_mensuel)*ipr_taux2+($S55-ipr_t2_sup_mensuel)*ipr_taux3,ipr_t1_sup_mensuel*ipr_taux1+(ipr_t2_sup_mensuel-ipr_t1_sup_mensuel)*ipr_taux2+(ipr_t3_sup_mensuel-ipr_t2_sup_mensuel)*ipr_taux3+($S55-ipr_t3_sup_mensuel)*ipr_taux4))))-MIN(EMPLOYES!O63,9)*ipr_reduction_famille*(IF($S55&lt;=ipr_t1_sup_mensuel,$S55*ipr_taux1,IF($S55&lt;=ipr_t2_sup_mensuel,ipr_t1_sup_mensuel*ipr_taux1+($S55-ipr_t1_sup_mensuel)*ipr_taux2,IF($S55&lt;=ipr_t3_sup_mensuel,ipr_t1_sup_mensuel*ipr_taux1+(ipr_t2_sup_mensuel-ipr_t1_sup_mensuel)*ipr_taux2+($S55-ipr_t2_sup_mensuel)*ipr_taux3,ipr_t1_sup_mensuel*ipr_taux1+(ipr_t2_sup_mensuel-ipr_t1_sup_mensuel)*ipr_taux2+(ipr_t3_sup_mensuel-ipr_t2_sup_mensuel)*ipr_taux3+($S55-ipr_t3_sup_mensuel)*ipr_taux4)))),$S55*ipr_plafond_pct)))</f>
        <v/>
      </c>
      <c r="U55" s="57">
        <f>IF($C55="","",$Q55-$R55-$T55)</f>
        <v/>
      </c>
      <c r="V55" s="57">
        <f>IF($C55="","",IFERROR(INDEX(VARIABLES!$H:$H,$G55),0))</f>
        <v/>
      </c>
      <c r="W55" s="57">
        <f>IF($C55="","",IFERROR(INDEX(VARIABLES!$J:$J,$G55),0))</f>
        <v/>
      </c>
      <c r="X55" s="57">
        <f>IF($C55="","",$U55-$V55-$W55)</f>
        <v/>
      </c>
      <c r="Y55" s="57">
        <f>IF($C55="","",$Q55*t_cnss_total_employeur)</f>
        <v/>
      </c>
      <c r="Z55" s="57">
        <f>IF($C55="","",$Q55*t_inpp_applicable)</f>
        <v/>
      </c>
      <c r="AA55" s="57">
        <f>IF($C55="","",$Q55*t_onem)</f>
        <v/>
      </c>
      <c r="AB55" s="57">
        <f>IF($C55="","",$Q55+$Y55+$Z55+$AA55)</f>
        <v/>
      </c>
      <c r="AC55" s="55">
        <f>IF(AND($C55&lt;&gt;"",$I55&gt;0),1,0)</f>
        <v/>
      </c>
      <c r="AD55" s="55">
        <f>SUM(AC$7:AC55)</f>
        <v/>
      </c>
      <c r="AE55" s="55">
        <f>IF(AND($C55&lt;&gt;"",$V55&gt;0),1,0)</f>
        <v/>
      </c>
      <c r="AF55" s="55">
        <f>SUM(AE$7:AE55)</f>
        <v/>
      </c>
      <c r="AG55" s="59">
        <f>IF($C55="","",IFERROR(INDEX(VARIABLES!$AY:$AY,$G55),0))</f>
        <v/>
      </c>
      <c r="AH55" s="57">
        <f>IF($C55="","",IF($H55=0,0,$AG55*(($F55/$H55)/heures_par_jour)*taux_majoration_nuit))</f>
        <v/>
      </c>
      <c r="AI55" s="59">
        <f>IF($C55="","",IFERROR(INDEX(VARIABLES!$AX:$AX,$G55),0))</f>
        <v/>
      </c>
      <c r="AJ55" s="57">
        <f>IF($C55="","",IF($H55=0,0,$AI55*($F55/$H55)*(1+taux_majoration_repos)))</f>
        <v/>
      </c>
    </row>
    <row r="56" ht="15" customHeight="1" s="15">
      <c r="B56" s="41" t="n">
        <v>50</v>
      </c>
      <c r="C56" s="41">
        <f>IF(EMPLOYES!C64="","",EMPLOYES!C64)</f>
        <v/>
      </c>
      <c r="D56" s="56">
        <f>IF(EMPLOYES!C64="","",EMPLOYES!D64)</f>
        <v/>
      </c>
      <c r="E56" s="41">
        <f>IF(EMPLOYES!C64="","",EMPLOYES!M64)</f>
        <v/>
      </c>
      <c r="F56" s="57">
        <f>IF(EMPLOYES!C64="","",EMPLOYES!Y64)</f>
        <v/>
      </c>
      <c r="G56" s="47">
        <f>INDEX(BULLETIN!$C$201:$C$212,MATCH(mois_courant_numero,BULLETIN!$B$201:$B$212,0))+49</f>
        <v/>
      </c>
      <c r="H56" s="41">
        <f>IF($C56="","",IF($E56="5j",jours_ouvrables_5j_mois_courant,jours_ouvrables_6j_mois_courant))</f>
        <v/>
      </c>
      <c r="I56" s="41">
        <f>IF($C56="","",IFERROR(INDEX(VARIABLES!$G:$G,$G56),0))</f>
        <v/>
      </c>
      <c r="J56" s="41">
        <f>IF($C56="","",MAX(0,$H56-$I56))</f>
        <v/>
      </c>
      <c r="K56" s="57">
        <f>IF($C56="","",IF($H56=0,0,($F56/$H56)*$J56))</f>
        <v/>
      </c>
      <c r="L56" s="59">
        <f>IF($C56="","",IFERROR(INDEX(VARIABLES!$E:$E,$G56),0))</f>
        <v/>
      </c>
      <c r="M56" s="57">
        <f>IF($C56="","",IF($H56=0,0,($F56/$H56/heures_par_jour)*(MIN($L56,6)*taux_majoration_hs+MAX($L56-6,0)*taux_majoration_hs_tier2)))</f>
        <v/>
      </c>
      <c r="N56" s="57">
        <f>IF($C56="","",IFERROR(INDEX(VARIABLES!$F:$F,$G56),0))</f>
        <v/>
      </c>
      <c r="O56" s="57">
        <f>IF($C56="","",allocation_familiale_enfant*EMPLOYES!O64)</f>
        <v/>
      </c>
      <c r="P56" s="57">
        <f>IF($C56="","",contrevaleur_logement)</f>
        <v/>
      </c>
      <c r="Q56" s="57">
        <f>IF($C56="","",$K56+$M56+$N56+$O56+$P56+$AH56+$AJ56)</f>
        <v/>
      </c>
      <c r="R56" s="57">
        <f>IF($C56="","",$Q56*t_cnss_pension_salarie)</f>
        <v/>
      </c>
      <c r="S56" s="57">
        <f>IF($C56="","",IF(opt_cnss_deductible_ipr="Oui",$Q56-$R56,$Q56))</f>
        <v/>
      </c>
      <c r="T56" s="57">
        <f>IF($C56="","",MAX(ipr_plancher,MIN((IF($S56&lt;=ipr_t1_sup_mensuel,$S56*ipr_taux1,IF($S56&lt;=ipr_t2_sup_mensuel,ipr_t1_sup_mensuel*ipr_taux1+($S56-ipr_t1_sup_mensuel)*ipr_taux2,IF($S56&lt;=ipr_t3_sup_mensuel,ipr_t1_sup_mensuel*ipr_taux1+(ipr_t2_sup_mensuel-ipr_t1_sup_mensuel)*ipr_taux2+($S56-ipr_t2_sup_mensuel)*ipr_taux3,ipr_t1_sup_mensuel*ipr_taux1+(ipr_t2_sup_mensuel-ipr_t1_sup_mensuel)*ipr_taux2+(ipr_t3_sup_mensuel-ipr_t2_sup_mensuel)*ipr_taux3+($S56-ipr_t3_sup_mensuel)*ipr_taux4))))-MIN(EMPLOYES!O64,9)*ipr_reduction_famille*(IF($S56&lt;=ipr_t1_sup_mensuel,$S56*ipr_taux1,IF($S56&lt;=ipr_t2_sup_mensuel,ipr_t1_sup_mensuel*ipr_taux1+($S56-ipr_t1_sup_mensuel)*ipr_taux2,IF($S56&lt;=ipr_t3_sup_mensuel,ipr_t1_sup_mensuel*ipr_taux1+(ipr_t2_sup_mensuel-ipr_t1_sup_mensuel)*ipr_taux2+($S56-ipr_t2_sup_mensuel)*ipr_taux3,ipr_t1_sup_mensuel*ipr_taux1+(ipr_t2_sup_mensuel-ipr_t1_sup_mensuel)*ipr_taux2+(ipr_t3_sup_mensuel-ipr_t2_sup_mensuel)*ipr_taux3+($S56-ipr_t3_sup_mensuel)*ipr_taux4)))),$S56*ipr_plafond_pct)))</f>
        <v/>
      </c>
      <c r="U56" s="57">
        <f>IF($C56="","",$Q56-$R56-$T56)</f>
        <v/>
      </c>
      <c r="V56" s="57">
        <f>IF($C56="","",IFERROR(INDEX(VARIABLES!$H:$H,$G56),0))</f>
        <v/>
      </c>
      <c r="W56" s="57">
        <f>IF($C56="","",IFERROR(INDEX(VARIABLES!$J:$J,$G56),0))</f>
        <v/>
      </c>
      <c r="X56" s="57">
        <f>IF($C56="","",$U56-$V56-$W56)</f>
        <v/>
      </c>
      <c r="Y56" s="57">
        <f>IF($C56="","",$Q56*t_cnss_total_employeur)</f>
        <v/>
      </c>
      <c r="Z56" s="57">
        <f>IF($C56="","",$Q56*t_inpp_applicable)</f>
        <v/>
      </c>
      <c r="AA56" s="57">
        <f>IF($C56="","",$Q56*t_onem)</f>
        <v/>
      </c>
      <c r="AB56" s="57">
        <f>IF($C56="","",$Q56+$Y56+$Z56+$AA56)</f>
        <v/>
      </c>
      <c r="AC56" s="55">
        <f>IF(AND($C56&lt;&gt;"",$I56&gt;0),1,0)</f>
        <v/>
      </c>
      <c r="AD56" s="55">
        <f>SUM(AC$7:AC56)</f>
        <v/>
      </c>
      <c r="AE56" s="55">
        <f>IF(AND($C56&lt;&gt;"",$V56&gt;0),1,0)</f>
        <v/>
      </c>
      <c r="AF56" s="55">
        <f>SUM(AE$7:AE56)</f>
        <v/>
      </c>
      <c r="AG56" s="59">
        <f>IF($C56="","",IFERROR(INDEX(VARIABLES!$AY:$AY,$G56),0))</f>
        <v/>
      </c>
      <c r="AH56" s="57">
        <f>IF($C56="","",IF($H56=0,0,$AG56*(($F56/$H56)/heures_par_jour)*taux_majoration_nuit))</f>
        <v/>
      </c>
      <c r="AI56" s="59">
        <f>IF($C56="","",IFERROR(INDEX(VARIABLES!$AX:$AX,$G56),0))</f>
        <v/>
      </c>
      <c r="AJ56" s="57">
        <f>IF($C56="","",IF($H56=0,0,$AI56*($F56/$H56)*(1+taux_majoration_repos)))</f>
        <v/>
      </c>
    </row>
    <row r="57" ht="15" customHeight="1" s="15">
      <c r="B57" s="41" t="n">
        <v>51</v>
      </c>
      <c r="C57" s="41">
        <f>IF(EMPLOYES!C65="","",EMPLOYES!C65)</f>
        <v/>
      </c>
      <c r="D57" s="56">
        <f>IF(EMPLOYES!C65="","",EMPLOYES!D65)</f>
        <v/>
      </c>
      <c r="E57" s="41">
        <f>IF(EMPLOYES!C65="","",EMPLOYES!M65)</f>
        <v/>
      </c>
      <c r="F57" s="57">
        <f>IF(EMPLOYES!C65="","",EMPLOYES!Y65)</f>
        <v/>
      </c>
      <c r="G57" s="47">
        <f>INDEX(BULLETIN!$C$201:$C$212,MATCH(mois_courant_numero,BULLETIN!$B$201:$B$212,0))+50</f>
        <v/>
      </c>
      <c r="H57" s="41">
        <f>IF($C57="","",IF($E57="5j",jours_ouvrables_5j_mois_courant,jours_ouvrables_6j_mois_courant))</f>
        <v/>
      </c>
      <c r="I57" s="41">
        <f>IF($C57="","",IFERROR(INDEX(VARIABLES!$G:$G,$G57),0))</f>
        <v/>
      </c>
      <c r="J57" s="41">
        <f>IF($C57="","",MAX(0,$H57-$I57))</f>
        <v/>
      </c>
      <c r="K57" s="57">
        <f>IF($C57="","",IF($H57=0,0,($F57/$H57)*$J57))</f>
        <v/>
      </c>
      <c r="L57" s="59">
        <f>IF($C57="","",IFERROR(INDEX(VARIABLES!$E:$E,$G57),0))</f>
        <v/>
      </c>
      <c r="M57" s="57">
        <f>IF($C57="","",IF($H57=0,0,($F57/$H57/heures_par_jour)*(MIN($L57,6)*taux_majoration_hs+MAX($L57-6,0)*taux_majoration_hs_tier2)))</f>
        <v/>
      </c>
      <c r="N57" s="57">
        <f>IF($C57="","",IFERROR(INDEX(VARIABLES!$F:$F,$G57),0))</f>
        <v/>
      </c>
      <c r="O57" s="57">
        <f>IF($C57="","",allocation_familiale_enfant*EMPLOYES!O65)</f>
        <v/>
      </c>
      <c r="P57" s="57">
        <f>IF($C57="","",contrevaleur_logement)</f>
        <v/>
      </c>
      <c r="Q57" s="57">
        <f>IF($C57="","",$K57+$M57+$N57+$O57+$P57+$AH57+$AJ57)</f>
        <v/>
      </c>
      <c r="R57" s="57">
        <f>IF($C57="","",$Q57*t_cnss_pension_salarie)</f>
        <v/>
      </c>
      <c r="S57" s="57">
        <f>IF($C57="","",IF(opt_cnss_deductible_ipr="Oui",$Q57-$R57,$Q57))</f>
        <v/>
      </c>
      <c r="T57" s="57">
        <f>IF($C57="","",MAX(ipr_plancher,MIN((IF($S57&lt;=ipr_t1_sup_mensuel,$S57*ipr_taux1,IF($S57&lt;=ipr_t2_sup_mensuel,ipr_t1_sup_mensuel*ipr_taux1+($S57-ipr_t1_sup_mensuel)*ipr_taux2,IF($S57&lt;=ipr_t3_sup_mensuel,ipr_t1_sup_mensuel*ipr_taux1+(ipr_t2_sup_mensuel-ipr_t1_sup_mensuel)*ipr_taux2+($S57-ipr_t2_sup_mensuel)*ipr_taux3,ipr_t1_sup_mensuel*ipr_taux1+(ipr_t2_sup_mensuel-ipr_t1_sup_mensuel)*ipr_taux2+(ipr_t3_sup_mensuel-ipr_t2_sup_mensuel)*ipr_taux3+($S57-ipr_t3_sup_mensuel)*ipr_taux4))))-MIN(EMPLOYES!O65,9)*ipr_reduction_famille*(IF($S57&lt;=ipr_t1_sup_mensuel,$S57*ipr_taux1,IF($S57&lt;=ipr_t2_sup_mensuel,ipr_t1_sup_mensuel*ipr_taux1+($S57-ipr_t1_sup_mensuel)*ipr_taux2,IF($S57&lt;=ipr_t3_sup_mensuel,ipr_t1_sup_mensuel*ipr_taux1+(ipr_t2_sup_mensuel-ipr_t1_sup_mensuel)*ipr_taux2+($S57-ipr_t2_sup_mensuel)*ipr_taux3,ipr_t1_sup_mensuel*ipr_taux1+(ipr_t2_sup_mensuel-ipr_t1_sup_mensuel)*ipr_taux2+(ipr_t3_sup_mensuel-ipr_t2_sup_mensuel)*ipr_taux3+($S57-ipr_t3_sup_mensuel)*ipr_taux4)))),$S57*ipr_plafond_pct)))</f>
        <v/>
      </c>
      <c r="U57" s="57">
        <f>IF($C57="","",$Q57-$R57-$T57)</f>
        <v/>
      </c>
      <c r="V57" s="57">
        <f>IF($C57="","",IFERROR(INDEX(VARIABLES!$H:$H,$G57),0))</f>
        <v/>
      </c>
      <c r="W57" s="57">
        <f>IF($C57="","",IFERROR(INDEX(VARIABLES!$J:$J,$G57),0))</f>
        <v/>
      </c>
      <c r="X57" s="57">
        <f>IF($C57="","",$U57-$V57-$W57)</f>
        <v/>
      </c>
      <c r="Y57" s="57">
        <f>IF($C57="","",$Q57*t_cnss_total_employeur)</f>
        <v/>
      </c>
      <c r="Z57" s="57">
        <f>IF($C57="","",$Q57*t_inpp_applicable)</f>
        <v/>
      </c>
      <c r="AA57" s="57">
        <f>IF($C57="","",$Q57*t_onem)</f>
        <v/>
      </c>
      <c r="AB57" s="57">
        <f>IF($C57="","",$Q57+$Y57+$Z57+$AA57)</f>
        <v/>
      </c>
      <c r="AC57" s="55">
        <f>IF(AND($C57&lt;&gt;"",$I57&gt;0),1,0)</f>
        <v/>
      </c>
      <c r="AD57" s="55">
        <f>SUM(AC$7:AC57)</f>
        <v/>
      </c>
      <c r="AE57" s="55">
        <f>IF(AND($C57&lt;&gt;"",$V57&gt;0),1,0)</f>
        <v/>
      </c>
      <c r="AF57" s="55">
        <f>SUM(AE$7:AE57)</f>
        <v/>
      </c>
      <c r="AG57" s="59">
        <f>IF($C57="","",IFERROR(INDEX(VARIABLES!$AY:$AY,$G57),0))</f>
        <v/>
      </c>
      <c r="AH57" s="57">
        <f>IF($C57="","",IF($H57=0,0,$AG57*(($F57/$H57)/heures_par_jour)*taux_majoration_nuit))</f>
        <v/>
      </c>
      <c r="AI57" s="59">
        <f>IF($C57="","",IFERROR(INDEX(VARIABLES!$AX:$AX,$G57),0))</f>
        <v/>
      </c>
      <c r="AJ57" s="57">
        <f>IF($C57="","",IF($H57=0,0,$AI57*($F57/$H57)*(1+taux_majoration_repos)))</f>
        <v/>
      </c>
    </row>
    <row r="58" ht="15" customHeight="1" s="15">
      <c r="B58" s="41" t="n">
        <v>52</v>
      </c>
      <c r="C58" s="41">
        <f>IF(EMPLOYES!C66="","",EMPLOYES!C66)</f>
        <v/>
      </c>
      <c r="D58" s="56">
        <f>IF(EMPLOYES!C66="","",EMPLOYES!D66)</f>
        <v/>
      </c>
      <c r="E58" s="41">
        <f>IF(EMPLOYES!C66="","",EMPLOYES!M66)</f>
        <v/>
      </c>
      <c r="F58" s="57">
        <f>IF(EMPLOYES!C66="","",EMPLOYES!Y66)</f>
        <v/>
      </c>
      <c r="G58" s="47">
        <f>INDEX(BULLETIN!$C$201:$C$212,MATCH(mois_courant_numero,BULLETIN!$B$201:$B$212,0))+51</f>
        <v/>
      </c>
      <c r="H58" s="41">
        <f>IF($C58="","",IF($E58="5j",jours_ouvrables_5j_mois_courant,jours_ouvrables_6j_mois_courant))</f>
        <v/>
      </c>
      <c r="I58" s="41">
        <f>IF($C58="","",IFERROR(INDEX(VARIABLES!$G:$G,$G58),0))</f>
        <v/>
      </c>
      <c r="J58" s="41">
        <f>IF($C58="","",MAX(0,$H58-$I58))</f>
        <v/>
      </c>
      <c r="K58" s="57">
        <f>IF($C58="","",IF($H58=0,0,($F58/$H58)*$J58))</f>
        <v/>
      </c>
      <c r="L58" s="59">
        <f>IF($C58="","",IFERROR(INDEX(VARIABLES!$E:$E,$G58),0))</f>
        <v/>
      </c>
      <c r="M58" s="57">
        <f>IF($C58="","",IF($H58=0,0,($F58/$H58/heures_par_jour)*(MIN($L58,6)*taux_majoration_hs+MAX($L58-6,0)*taux_majoration_hs_tier2)))</f>
        <v/>
      </c>
      <c r="N58" s="57">
        <f>IF($C58="","",IFERROR(INDEX(VARIABLES!$F:$F,$G58),0))</f>
        <v/>
      </c>
      <c r="O58" s="57">
        <f>IF($C58="","",allocation_familiale_enfant*EMPLOYES!O66)</f>
        <v/>
      </c>
      <c r="P58" s="57">
        <f>IF($C58="","",contrevaleur_logement)</f>
        <v/>
      </c>
      <c r="Q58" s="57">
        <f>IF($C58="","",$K58+$M58+$N58+$O58+$P58+$AH58+$AJ58)</f>
        <v/>
      </c>
      <c r="R58" s="57">
        <f>IF($C58="","",$Q58*t_cnss_pension_salarie)</f>
        <v/>
      </c>
      <c r="S58" s="57">
        <f>IF($C58="","",IF(opt_cnss_deductible_ipr="Oui",$Q58-$R58,$Q58))</f>
        <v/>
      </c>
      <c r="T58" s="57">
        <f>IF($C58="","",MAX(ipr_plancher,MIN((IF($S58&lt;=ipr_t1_sup_mensuel,$S58*ipr_taux1,IF($S58&lt;=ipr_t2_sup_mensuel,ipr_t1_sup_mensuel*ipr_taux1+($S58-ipr_t1_sup_mensuel)*ipr_taux2,IF($S58&lt;=ipr_t3_sup_mensuel,ipr_t1_sup_mensuel*ipr_taux1+(ipr_t2_sup_mensuel-ipr_t1_sup_mensuel)*ipr_taux2+($S58-ipr_t2_sup_mensuel)*ipr_taux3,ipr_t1_sup_mensuel*ipr_taux1+(ipr_t2_sup_mensuel-ipr_t1_sup_mensuel)*ipr_taux2+(ipr_t3_sup_mensuel-ipr_t2_sup_mensuel)*ipr_taux3+($S58-ipr_t3_sup_mensuel)*ipr_taux4))))-MIN(EMPLOYES!O66,9)*ipr_reduction_famille*(IF($S58&lt;=ipr_t1_sup_mensuel,$S58*ipr_taux1,IF($S58&lt;=ipr_t2_sup_mensuel,ipr_t1_sup_mensuel*ipr_taux1+($S58-ipr_t1_sup_mensuel)*ipr_taux2,IF($S58&lt;=ipr_t3_sup_mensuel,ipr_t1_sup_mensuel*ipr_taux1+(ipr_t2_sup_mensuel-ipr_t1_sup_mensuel)*ipr_taux2+($S58-ipr_t2_sup_mensuel)*ipr_taux3,ipr_t1_sup_mensuel*ipr_taux1+(ipr_t2_sup_mensuel-ipr_t1_sup_mensuel)*ipr_taux2+(ipr_t3_sup_mensuel-ipr_t2_sup_mensuel)*ipr_taux3+($S58-ipr_t3_sup_mensuel)*ipr_taux4)))),$S58*ipr_plafond_pct)))</f>
        <v/>
      </c>
      <c r="U58" s="57">
        <f>IF($C58="","",$Q58-$R58-$T58)</f>
        <v/>
      </c>
      <c r="V58" s="57">
        <f>IF($C58="","",IFERROR(INDEX(VARIABLES!$H:$H,$G58),0))</f>
        <v/>
      </c>
      <c r="W58" s="57">
        <f>IF($C58="","",IFERROR(INDEX(VARIABLES!$J:$J,$G58),0))</f>
        <v/>
      </c>
      <c r="X58" s="57">
        <f>IF($C58="","",$U58-$V58-$W58)</f>
        <v/>
      </c>
      <c r="Y58" s="57">
        <f>IF($C58="","",$Q58*t_cnss_total_employeur)</f>
        <v/>
      </c>
      <c r="Z58" s="57">
        <f>IF($C58="","",$Q58*t_inpp_applicable)</f>
        <v/>
      </c>
      <c r="AA58" s="57">
        <f>IF($C58="","",$Q58*t_onem)</f>
        <v/>
      </c>
      <c r="AB58" s="57">
        <f>IF($C58="","",$Q58+$Y58+$Z58+$AA58)</f>
        <v/>
      </c>
      <c r="AC58" s="55">
        <f>IF(AND($C58&lt;&gt;"",$I58&gt;0),1,0)</f>
        <v/>
      </c>
      <c r="AD58" s="55">
        <f>SUM(AC$7:AC58)</f>
        <v/>
      </c>
      <c r="AE58" s="55">
        <f>IF(AND($C58&lt;&gt;"",$V58&gt;0),1,0)</f>
        <v/>
      </c>
      <c r="AF58" s="55">
        <f>SUM(AE$7:AE58)</f>
        <v/>
      </c>
      <c r="AG58" s="59">
        <f>IF($C58="","",IFERROR(INDEX(VARIABLES!$AY:$AY,$G58),0))</f>
        <v/>
      </c>
      <c r="AH58" s="57">
        <f>IF($C58="","",IF($H58=0,0,$AG58*(($F58/$H58)/heures_par_jour)*taux_majoration_nuit))</f>
        <v/>
      </c>
      <c r="AI58" s="59">
        <f>IF($C58="","",IFERROR(INDEX(VARIABLES!$AX:$AX,$G58),0))</f>
        <v/>
      </c>
      <c r="AJ58" s="57">
        <f>IF($C58="","",IF($H58=0,0,$AI58*($F58/$H58)*(1+taux_majoration_repos)))</f>
        <v/>
      </c>
    </row>
    <row r="59" ht="15" customHeight="1" s="15">
      <c r="B59" s="41" t="n">
        <v>53</v>
      </c>
      <c r="C59" s="41">
        <f>IF(EMPLOYES!C67="","",EMPLOYES!C67)</f>
        <v/>
      </c>
      <c r="D59" s="56">
        <f>IF(EMPLOYES!C67="","",EMPLOYES!D67)</f>
        <v/>
      </c>
      <c r="E59" s="41">
        <f>IF(EMPLOYES!C67="","",EMPLOYES!M67)</f>
        <v/>
      </c>
      <c r="F59" s="57">
        <f>IF(EMPLOYES!C67="","",EMPLOYES!Y67)</f>
        <v/>
      </c>
      <c r="G59" s="47">
        <f>INDEX(BULLETIN!$C$201:$C$212,MATCH(mois_courant_numero,BULLETIN!$B$201:$B$212,0))+52</f>
        <v/>
      </c>
      <c r="H59" s="41">
        <f>IF($C59="","",IF($E59="5j",jours_ouvrables_5j_mois_courant,jours_ouvrables_6j_mois_courant))</f>
        <v/>
      </c>
      <c r="I59" s="41">
        <f>IF($C59="","",IFERROR(INDEX(VARIABLES!$G:$G,$G59),0))</f>
        <v/>
      </c>
      <c r="J59" s="41">
        <f>IF($C59="","",MAX(0,$H59-$I59))</f>
        <v/>
      </c>
      <c r="K59" s="57">
        <f>IF($C59="","",IF($H59=0,0,($F59/$H59)*$J59))</f>
        <v/>
      </c>
      <c r="L59" s="59">
        <f>IF($C59="","",IFERROR(INDEX(VARIABLES!$E:$E,$G59),0))</f>
        <v/>
      </c>
      <c r="M59" s="57">
        <f>IF($C59="","",IF($H59=0,0,($F59/$H59/heures_par_jour)*(MIN($L59,6)*taux_majoration_hs+MAX($L59-6,0)*taux_majoration_hs_tier2)))</f>
        <v/>
      </c>
      <c r="N59" s="57">
        <f>IF($C59="","",IFERROR(INDEX(VARIABLES!$F:$F,$G59),0))</f>
        <v/>
      </c>
      <c r="O59" s="57">
        <f>IF($C59="","",allocation_familiale_enfant*EMPLOYES!O67)</f>
        <v/>
      </c>
      <c r="P59" s="57">
        <f>IF($C59="","",contrevaleur_logement)</f>
        <v/>
      </c>
      <c r="Q59" s="57">
        <f>IF($C59="","",$K59+$M59+$N59+$O59+$P59+$AH59+$AJ59)</f>
        <v/>
      </c>
      <c r="R59" s="57">
        <f>IF($C59="","",$Q59*t_cnss_pension_salarie)</f>
        <v/>
      </c>
      <c r="S59" s="57">
        <f>IF($C59="","",IF(opt_cnss_deductible_ipr="Oui",$Q59-$R59,$Q59))</f>
        <v/>
      </c>
      <c r="T59" s="57">
        <f>IF($C59="","",MAX(ipr_plancher,MIN((IF($S59&lt;=ipr_t1_sup_mensuel,$S59*ipr_taux1,IF($S59&lt;=ipr_t2_sup_mensuel,ipr_t1_sup_mensuel*ipr_taux1+($S59-ipr_t1_sup_mensuel)*ipr_taux2,IF($S59&lt;=ipr_t3_sup_mensuel,ipr_t1_sup_mensuel*ipr_taux1+(ipr_t2_sup_mensuel-ipr_t1_sup_mensuel)*ipr_taux2+($S59-ipr_t2_sup_mensuel)*ipr_taux3,ipr_t1_sup_mensuel*ipr_taux1+(ipr_t2_sup_mensuel-ipr_t1_sup_mensuel)*ipr_taux2+(ipr_t3_sup_mensuel-ipr_t2_sup_mensuel)*ipr_taux3+($S59-ipr_t3_sup_mensuel)*ipr_taux4))))-MIN(EMPLOYES!O67,9)*ipr_reduction_famille*(IF($S59&lt;=ipr_t1_sup_mensuel,$S59*ipr_taux1,IF($S59&lt;=ipr_t2_sup_mensuel,ipr_t1_sup_mensuel*ipr_taux1+($S59-ipr_t1_sup_mensuel)*ipr_taux2,IF($S59&lt;=ipr_t3_sup_mensuel,ipr_t1_sup_mensuel*ipr_taux1+(ipr_t2_sup_mensuel-ipr_t1_sup_mensuel)*ipr_taux2+($S59-ipr_t2_sup_mensuel)*ipr_taux3,ipr_t1_sup_mensuel*ipr_taux1+(ipr_t2_sup_mensuel-ipr_t1_sup_mensuel)*ipr_taux2+(ipr_t3_sup_mensuel-ipr_t2_sup_mensuel)*ipr_taux3+($S59-ipr_t3_sup_mensuel)*ipr_taux4)))),$S59*ipr_plafond_pct)))</f>
        <v/>
      </c>
      <c r="U59" s="57">
        <f>IF($C59="","",$Q59-$R59-$T59)</f>
        <v/>
      </c>
      <c r="V59" s="57">
        <f>IF($C59="","",IFERROR(INDEX(VARIABLES!$H:$H,$G59),0))</f>
        <v/>
      </c>
      <c r="W59" s="57">
        <f>IF($C59="","",IFERROR(INDEX(VARIABLES!$J:$J,$G59),0))</f>
        <v/>
      </c>
      <c r="X59" s="57">
        <f>IF($C59="","",$U59-$V59-$W59)</f>
        <v/>
      </c>
      <c r="Y59" s="57">
        <f>IF($C59="","",$Q59*t_cnss_total_employeur)</f>
        <v/>
      </c>
      <c r="Z59" s="57">
        <f>IF($C59="","",$Q59*t_inpp_applicable)</f>
        <v/>
      </c>
      <c r="AA59" s="57">
        <f>IF($C59="","",$Q59*t_onem)</f>
        <v/>
      </c>
      <c r="AB59" s="57">
        <f>IF($C59="","",$Q59+$Y59+$Z59+$AA59)</f>
        <v/>
      </c>
      <c r="AC59" s="55">
        <f>IF(AND($C59&lt;&gt;"",$I59&gt;0),1,0)</f>
        <v/>
      </c>
      <c r="AD59" s="55">
        <f>SUM(AC$7:AC59)</f>
        <v/>
      </c>
      <c r="AE59" s="55">
        <f>IF(AND($C59&lt;&gt;"",$V59&gt;0),1,0)</f>
        <v/>
      </c>
      <c r="AF59" s="55">
        <f>SUM(AE$7:AE59)</f>
        <v/>
      </c>
      <c r="AG59" s="59">
        <f>IF($C59="","",IFERROR(INDEX(VARIABLES!$AY:$AY,$G59),0))</f>
        <v/>
      </c>
      <c r="AH59" s="57">
        <f>IF($C59="","",IF($H59=0,0,$AG59*(($F59/$H59)/heures_par_jour)*taux_majoration_nuit))</f>
        <v/>
      </c>
      <c r="AI59" s="59">
        <f>IF($C59="","",IFERROR(INDEX(VARIABLES!$AX:$AX,$G59),0))</f>
        <v/>
      </c>
      <c r="AJ59" s="57">
        <f>IF($C59="","",IF($H59=0,0,$AI59*($F59/$H59)*(1+taux_majoration_repos)))</f>
        <v/>
      </c>
    </row>
    <row r="60" ht="15" customHeight="1" s="15">
      <c r="B60" s="41" t="n">
        <v>54</v>
      </c>
      <c r="C60" s="41">
        <f>IF(EMPLOYES!C68="","",EMPLOYES!C68)</f>
        <v/>
      </c>
      <c r="D60" s="56">
        <f>IF(EMPLOYES!C68="","",EMPLOYES!D68)</f>
        <v/>
      </c>
      <c r="E60" s="41">
        <f>IF(EMPLOYES!C68="","",EMPLOYES!M68)</f>
        <v/>
      </c>
      <c r="F60" s="57">
        <f>IF(EMPLOYES!C68="","",EMPLOYES!Y68)</f>
        <v/>
      </c>
      <c r="G60" s="47">
        <f>INDEX(BULLETIN!$C$201:$C$212,MATCH(mois_courant_numero,BULLETIN!$B$201:$B$212,0))+53</f>
        <v/>
      </c>
      <c r="H60" s="41">
        <f>IF($C60="","",IF($E60="5j",jours_ouvrables_5j_mois_courant,jours_ouvrables_6j_mois_courant))</f>
        <v/>
      </c>
      <c r="I60" s="41">
        <f>IF($C60="","",IFERROR(INDEX(VARIABLES!$G:$G,$G60),0))</f>
        <v/>
      </c>
      <c r="J60" s="41">
        <f>IF($C60="","",MAX(0,$H60-$I60))</f>
        <v/>
      </c>
      <c r="K60" s="57">
        <f>IF($C60="","",IF($H60=0,0,($F60/$H60)*$J60))</f>
        <v/>
      </c>
      <c r="L60" s="59">
        <f>IF($C60="","",IFERROR(INDEX(VARIABLES!$E:$E,$G60),0))</f>
        <v/>
      </c>
      <c r="M60" s="57">
        <f>IF($C60="","",IF($H60=0,0,($F60/$H60/heures_par_jour)*(MIN($L60,6)*taux_majoration_hs+MAX($L60-6,0)*taux_majoration_hs_tier2)))</f>
        <v/>
      </c>
      <c r="N60" s="57">
        <f>IF($C60="","",IFERROR(INDEX(VARIABLES!$F:$F,$G60),0))</f>
        <v/>
      </c>
      <c r="O60" s="57">
        <f>IF($C60="","",allocation_familiale_enfant*EMPLOYES!O68)</f>
        <v/>
      </c>
      <c r="P60" s="57">
        <f>IF($C60="","",contrevaleur_logement)</f>
        <v/>
      </c>
      <c r="Q60" s="57">
        <f>IF($C60="","",$K60+$M60+$N60+$O60+$P60+$AH60+$AJ60)</f>
        <v/>
      </c>
      <c r="R60" s="57">
        <f>IF($C60="","",$Q60*t_cnss_pension_salarie)</f>
        <v/>
      </c>
      <c r="S60" s="57">
        <f>IF($C60="","",IF(opt_cnss_deductible_ipr="Oui",$Q60-$R60,$Q60))</f>
        <v/>
      </c>
      <c r="T60" s="57">
        <f>IF($C60="","",MAX(ipr_plancher,MIN((IF($S60&lt;=ipr_t1_sup_mensuel,$S60*ipr_taux1,IF($S60&lt;=ipr_t2_sup_mensuel,ipr_t1_sup_mensuel*ipr_taux1+($S60-ipr_t1_sup_mensuel)*ipr_taux2,IF($S60&lt;=ipr_t3_sup_mensuel,ipr_t1_sup_mensuel*ipr_taux1+(ipr_t2_sup_mensuel-ipr_t1_sup_mensuel)*ipr_taux2+($S60-ipr_t2_sup_mensuel)*ipr_taux3,ipr_t1_sup_mensuel*ipr_taux1+(ipr_t2_sup_mensuel-ipr_t1_sup_mensuel)*ipr_taux2+(ipr_t3_sup_mensuel-ipr_t2_sup_mensuel)*ipr_taux3+($S60-ipr_t3_sup_mensuel)*ipr_taux4))))-MIN(EMPLOYES!O68,9)*ipr_reduction_famille*(IF($S60&lt;=ipr_t1_sup_mensuel,$S60*ipr_taux1,IF($S60&lt;=ipr_t2_sup_mensuel,ipr_t1_sup_mensuel*ipr_taux1+($S60-ipr_t1_sup_mensuel)*ipr_taux2,IF($S60&lt;=ipr_t3_sup_mensuel,ipr_t1_sup_mensuel*ipr_taux1+(ipr_t2_sup_mensuel-ipr_t1_sup_mensuel)*ipr_taux2+($S60-ipr_t2_sup_mensuel)*ipr_taux3,ipr_t1_sup_mensuel*ipr_taux1+(ipr_t2_sup_mensuel-ipr_t1_sup_mensuel)*ipr_taux2+(ipr_t3_sup_mensuel-ipr_t2_sup_mensuel)*ipr_taux3+($S60-ipr_t3_sup_mensuel)*ipr_taux4)))),$S60*ipr_plafond_pct)))</f>
        <v/>
      </c>
      <c r="U60" s="57">
        <f>IF($C60="","",$Q60-$R60-$T60)</f>
        <v/>
      </c>
      <c r="V60" s="57">
        <f>IF($C60="","",IFERROR(INDEX(VARIABLES!$H:$H,$G60),0))</f>
        <v/>
      </c>
      <c r="W60" s="57">
        <f>IF($C60="","",IFERROR(INDEX(VARIABLES!$J:$J,$G60),0))</f>
        <v/>
      </c>
      <c r="X60" s="57">
        <f>IF($C60="","",$U60-$V60-$W60)</f>
        <v/>
      </c>
      <c r="Y60" s="57">
        <f>IF($C60="","",$Q60*t_cnss_total_employeur)</f>
        <v/>
      </c>
      <c r="Z60" s="57">
        <f>IF($C60="","",$Q60*t_inpp_applicable)</f>
        <v/>
      </c>
      <c r="AA60" s="57">
        <f>IF($C60="","",$Q60*t_onem)</f>
        <v/>
      </c>
      <c r="AB60" s="57">
        <f>IF($C60="","",$Q60+$Y60+$Z60+$AA60)</f>
        <v/>
      </c>
      <c r="AC60" s="55">
        <f>IF(AND($C60&lt;&gt;"",$I60&gt;0),1,0)</f>
        <v/>
      </c>
      <c r="AD60" s="55">
        <f>SUM(AC$7:AC60)</f>
        <v/>
      </c>
      <c r="AE60" s="55">
        <f>IF(AND($C60&lt;&gt;"",$V60&gt;0),1,0)</f>
        <v/>
      </c>
      <c r="AF60" s="55">
        <f>SUM(AE$7:AE60)</f>
        <v/>
      </c>
      <c r="AG60" s="59">
        <f>IF($C60="","",IFERROR(INDEX(VARIABLES!$AY:$AY,$G60),0))</f>
        <v/>
      </c>
      <c r="AH60" s="57">
        <f>IF($C60="","",IF($H60=0,0,$AG60*(($F60/$H60)/heures_par_jour)*taux_majoration_nuit))</f>
        <v/>
      </c>
      <c r="AI60" s="59">
        <f>IF($C60="","",IFERROR(INDEX(VARIABLES!$AX:$AX,$G60),0))</f>
        <v/>
      </c>
      <c r="AJ60" s="57">
        <f>IF($C60="","",IF($H60=0,0,$AI60*($F60/$H60)*(1+taux_majoration_repos)))</f>
        <v/>
      </c>
    </row>
    <row r="61" ht="15" customHeight="1" s="15">
      <c r="B61" s="41" t="n">
        <v>55</v>
      </c>
      <c r="C61" s="41">
        <f>IF(EMPLOYES!C69="","",EMPLOYES!C69)</f>
        <v/>
      </c>
      <c r="D61" s="56">
        <f>IF(EMPLOYES!C69="","",EMPLOYES!D69)</f>
        <v/>
      </c>
      <c r="E61" s="41">
        <f>IF(EMPLOYES!C69="","",EMPLOYES!M69)</f>
        <v/>
      </c>
      <c r="F61" s="57">
        <f>IF(EMPLOYES!C69="","",EMPLOYES!Y69)</f>
        <v/>
      </c>
      <c r="G61" s="47">
        <f>INDEX(BULLETIN!$C$201:$C$212,MATCH(mois_courant_numero,BULLETIN!$B$201:$B$212,0))+54</f>
        <v/>
      </c>
      <c r="H61" s="41">
        <f>IF($C61="","",IF($E61="5j",jours_ouvrables_5j_mois_courant,jours_ouvrables_6j_mois_courant))</f>
        <v/>
      </c>
      <c r="I61" s="41">
        <f>IF($C61="","",IFERROR(INDEX(VARIABLES!$G:$G,$G61),0))</f>
        <v/>
      </c>
      <c r="J61" s="41">
        <f>IF($C61="","",MAX(0,$H61-$I61))</f>
        <v/>
      </c>
      <c r="K61" s="57">
        <f>IF($C61="","",IF($H61=0,0,($F61/$H61)*$J61))</f>
        <v/>
      </c>
      <c r="L61" s="59">
        <f>IF($C61="","",IFERROR(INDEX(VARIABLES!$E:$E,$G61),0))</f>
        <v/>
      </c>
      <c r="M61" s="57">
        <f>IF($C61="","",IF($H61=0,0,($F61/$H61/heures_par_jour)*(MIN($L61,6)*taux_majoration_hs+MAX($L61-6,0)*taux_majoration_hs_tier2)))</f>
        <v/>
      </c>
      <c r="N61" s="57">
        <f>IF($C61="","",IFERROR(INDEX(VARIABLES!$F:$F,$G61),0))</f>
        <v/>
      </c>
      <c r="O61" s="57">
        <f>IF($C61="","",allocation_familiale_enfant*EMPLOYES!O69)</f>
        <v/>
      </c>
      <c r="P61" s="57">
        <f>IF($C61="","",contrevaleur_logement)</f>
        <v/>
      </c>
      <c r="Q61" s="57">
        <f>IF($C61="","",$K61+$M61+$N61+$O61+$P61+$AH61+$AJ61)</f>
        <v/>
      </c>
      <c r="R61" s="57">
        <f>IF($C61="","",$Q61*t_cnss_pension_salarie)</f>
        <v/>
      </c>
      <c r="S61" s="57">
        <f>IF($C61="","",IF(opt_cnss_deductible_ipr="Oui",$Q61-$R61,$Q61))</f>
        <v/>
      </c>
      <c r="T61" s="57">
        <f>IF($C61="","",MAX(ipr_plancher,MIN((IF($S61&lt;=ipr_t1_sup_mensuel,$S61*ipr_taux1,IF($S61&lt;=ipr_t2_sup_mensuel,ipr_t1_sup_mensuel*ipr_taux1+($S61-ipr_t1_sup_mensuel)*ipr_taux2,IF($S61&lt;=ipr_t3_sup_mensuel,ipr_t1_sup_mensuel*ipr_taux1+(ipr_t2_sup_mensuel-ipr_t1_sup_mensuel)*ipr_taux2+($S61-ipr_t2_sup_mensuel)*ipr_taux3,ipr_t1_sup_mensuel*ipr_taux1+(ipr_t2_sup_mensuel-ipr_t1_sup_mensuel)*ipr_taux2+(ipr_t3_sup_mensuel-ipr_t2_sup_mensuel)*ipr_taux3+($S61-ipr_t3_sup_mensuel)*ipr_taux4))))-MIN(EMPLOYES!O69,9)*ipr_reduction_famille*(IF($S61&lt;=ipr_t1_sup_mensuel,$S61*ipr_taux1,IF($S61&lt;=ipr_t2_sup_mensuel,ipr_t1_sup_mensuel*ipr_taux1+($S61-ipr_t1_sup_mensuel)*ipr_taux2,IF($S61&lt;=ipr_t3_sup_mensuel,ipr_t1_sup_mensuel*ipr_taux1+(ipr_t2_sup_mensuel-ipr_t1_sup_mensuel)*ipr_taux2+($S61-ipr_t2_sup_mensuel)*ipr_taux3,ipr_t1_sup_mensuel*ipr_taux1+(ipr_t2_sup_mensuel-ipr_t1_sup_mensuel)*ipr_taux2+(ipr_t3_sup_mensuel-ipr_t2_sup_mensuel)*ipr_taux3+($S61-ipr_t3_sup_mensuel)*ipr_taux4)))),$S61*ipr_plafond_pct)))</f>
        <v/>
      </c>
      <c r="U61" s="57">
        <f>IF($C61="","",$Q61-$R61-$T61)</f>
        <v/>
      </c>
      <c r="V61" s="57">
        <f>IF($C61="","",IFERROR(INDEX(VARIABLES!$H:$H,$G61),0))</f>
        <v/>
      </c>
      <c r="W61" s="57">
        <f>IF($C61="","",IFERROR(INDEX(VARIABLES!$J:$J,$G61),0))</f>
        <v/>
      </c>
      <c r="X61" s="57">
        <f>IF($C61="","",$U61-$V61-$W61)</f>
        <v/>
      </c>
      <c r="Y61" s="57">
        <f>IF($C61="","",$Q61*t_cnss_total_employeur)</f>
        <v/>
      </c>
      <c r="Z61" s="57">
        <f>IF($C61="","",$Q61*t_inpp_applicable)</f>
        <v/>
      </c>
      <c r="AA61" s="57">
        <f>IF($C61="","",$Q61*t_onem)</f>
        <v/>
      </c>
      <c r="AB61" s="57">
        <f>IF($C61="","",$Q61+$Y61+$Z61+$AA61)</f>
        <v/>
      </c>
      <c r="AC61" s="55">
        <f>IF(AND($C61&lt;&gt;"",$I61&gt;0),1,0)</f>
        <v/>
      </c>
      <c r="AD61" s="55">
        <f>SUM(AC$7:AC61)</f>
        <v/>
      </c>
      <c r="AE61" s="55">
        <f>IF(AND($C61&lt;&gt;"",$V61&gt;0),1,0)</f>
        <v/>
      </c>
      <c r="AF61" s="55">
        <f>SUM(AE$7:AE61)</f>
        <v/>
      </c>
      <c r="AG61" s="59">
        <f>IF($C61="","",IFERROR(INDEX(VARIABLES!$AY:$AY,$G61),0))</f>
        <v/>
      </c>
      <c r="AH61" s="57">
        <f>IF($C61="","",IF($H61=0,0,$AG61*(($F61/$H61)/heures_par_jour)*taux_majoration_nuit))</f>
        <v/>
      </c>
      <c r="AI61" s="59">
        <f>IF($C61="","",IFERROR(INDEX(VARIABLES!$AX:$AX,$G61),0))</f>
        <v/>
      </c>
      <c r="AJ61" s="57">
        <f>IF($C61="","",IF($H61=0,0,$AI61*($F61/$H61)*(1+taux_majoration_repos)))</f>
        <v/>
      </c>
    </row>
    <row r="62" ht="15" customHeight="1" s="15">
      <c r="B62" s="41" t="n">
        <v>56</v>
      </c>
      <c r="C62" s="41">
        <f>IF(EMPLOYES!C70="","",EMPLOYES!C70)</f>
        <v/>
      </c>
      <c r="D62" s="56">
        <f>IF(EMPLOYES!C70="","",EMPLOYES!D70)</f>
        <v/>
      </c>
      <c r="E62" s="41">
        <f>IF(EMPLOYES!C70="","",EMPLOYES!M70)</f>
        <v/>
      </c>
      <c r="F62" s="57">
        <f>IF(EMPLOYES!C70="","",EMPLOYES!Y70)</f>
        <v/>
      </c>
      <c r="G62" s="47">
        <f>INDEX(BULLETIN!$C$201:$C$212,MATCH(mois_courant_numero,BULLETIN!$B$201:$B$212,0))+55</f>
        <v/>
      </c>
      <c r="H62" s="41">
        <f>IF($C62="","",IF($E62="5j",jours_ouvrables_5j_mois_courant,jours_ouvrables_6j_mois_courant))</f>
        <v/>
      </c>
      <c r="I62" s="41">
        <f>IF($C62="","",IFERROR(INDEX(VARIABLES!$G:$G,$G62),0))</f>
        <v/>
      </c>
      <c r="J62" s="41">
        <f>IF($C62="","",MAX(0,$H62-$I62))</f>
        <v/>
      </c>
      <c r="K62" s="57">
        <f>IF($C62="","",IF($H62=0,0,($F62/$H62)*$J62))</f>
        <v/>
      </c>
      <c r="L62" s="59">
        <f>IF($C62="","",IFERROR(INDEX(VARIABLES!$E:$E,$G62),0))</f>
        <v/>
      </c>
      <c r="M62" s="57">
        <f>IF($C62="","",IF($H62=0,0,($F62/$H62/heures_par_jour)*(MIN($L62,6)*taux_majoration_hs+MAX($L62-6,0)*taux_majoration_hs_tier2)))</f>
        <v/>
      </c>
      <c r="N62" s="57">
        <f>IF($C62="","",IFERROR(INDEX(VARIABLES!$F:$F,$G62),0))</f>
        <v/>
      </c>
      <c r="O62" s="57">
        <f>IF($C62="","",allocation_familiale_enfant*EMPLOYES!O70)</f>
        <v/>
      </c>
      <c r="P62" s="57">
        <f>IF($C62="","",contrevaleur_logement)</f>
        <v/>
      </c>
      <c r="Q62" s="57">
        <f>IF($C62="","",$K62+$M62+$N62+$O62+$P62+$AH62+$AJ62)</f>
        <v/>
      </c>
      <c r="R62" s="57">
        <f>IF($C62="","",$Q62*t_cnss_pension_salarie)</f>
        <v/>
      </c>
      <c r="S62" s="57">
        <f>IF($C62="","",IF(opt_cnss_deductible_ipr="Oui",$Q62-$R62,$Q62))</f>
        <v/>
      </c>
      <c r="T62" s="57">
        <f>IF($C62="","",MAX(ipr_plancher,MIN((IF($S62&lt;=ipr_t1_sup_mensuel,$S62*ipr_taux1,IF($S62&lt;=ipr_t2_sup_mensuel,ipr_t1_sup_mensuel*ipr_taux1+($S62-ipr_t1_sup_mensuel)*ipr_taux2,IF($S62&lt;=ipr_t3_sup_mensuel,ipr_t1_sup_mensuel*ipr_taux1+(ipr_t2_sup_mensuel-ipr_t1_sup_mensuel)*ipr_taux2+($S62-ipr_t2_sup_mensuel)*ipr_taux3,ipr_t1_sup_mensuel*ipr_taux1+(ipr_t2_sup_mensuel-ipr_t1_sup_mensuel)*ipr_taux2+(ipr_t3_sup_mensuel-ipr_t2_sup_mensuel)*ipr_taux3+($S62-ipr_t3_sup_mensuel)*ipr_taux4))))-MIN(EMPLOYES!O70,9)*ipr_reduction_famille*(IF($S62&lt;=ipr_t1_sup_mensuel,$S62*ipr_taux1,IF($S62&lt;=ipr_t2_sup_mensuel,ipr_t1_sup_mensuel*ipr_taux1+($S62-ipr_t1_sup_mensuel)*ipr_taux2,IF($S62&lt;=ipr_t3_sup_mensuel,ipr_t1_sup_mensuel*ipr_taux1+(ipr_t2_sup_mensuel-ipr_t1_sup_mensuel)*ipr_taux2+($S62-ipr_t2_sup_mensuel)*ipr_taux3,ipr_t1_sup_mensuel*ipr_taux1+(ipr_t2_sup_mensuel-ipr_t1_sup_mensuel)*ipr_taux2+(ipr_t3_sup_mensuel-ipr_t2_sup_mensuel)*ipr_taux3+($S62-ipr_t3_sup_mensuel)*ipr_taux4)))),$S62*ipr_plafond_pct)))</f>
        <v/>
      </c>
      <c r="U62" s="57">
        <f>IF($C62="","",$Q62-$R62-$T62)</f>
        <v/>
      </c>
      <c r="V62" s="57">
        <f>IF($C62="","",IFERROR(INDEX(VARIABLES!$H:$H,$G62),0))</f>
        <v/>
      </c>
      <c r="W62" s="57">
        <f>IF($C62="","",IFERROR(INDEX(VARIABLES!$J:$J,$G62),0))</f>
        <v/>
      </c>
      <c r="X62" s="57">
        <f>IF($C62="","",$U62-$V62-$W62)</f>
        <v/>
      </c>
      <c r="Y62" s="57">
        <f>IF($C62="","",$Q62*t_cnss_total_employeur)</f>
        <v/>
      </c>
      <c r="Z62" s="57">
        <f>IF($C62="","",$Q62*t_inpp_applicable)</f>
        <v/>
      </c>
      <c r="AA62" s="57">
        <f>IF($C62="","",$Q62*t_onem)</f>
        <v/>
      </c>
      <c r="AB62" s="57">
        <f>IF($C62="","",$Q62+$Y62+$Z62+$AA62)</f>
        <v/>
      </c>
      <c r="AC62" s="55">
        <f>IF(AND($C62&lt;&gt;"",$I62&gt;0),1,0)</f>
        <v/>
      </c>
      <c r="AD62" s="55">
        <f>SUM(AC$7:AC62)</f>
        <v/>
      </c>
      <c r="AE62" s="55">
        <f>IF(AND($C62&lt;&gt;"",$V62&gt;0),1,0)</f>
        <v/>
      </c>
      <c r="AF62" s="55">
        <f>SUM(AE$7:AE62)</f>
        <v/>
      </c>
      <c r="AG62" s="59">
        <f>IF($C62="","",IFERROR(INDEX(VARIABLES!$AY:$AY,$G62),0))</f>
        <v/>
      </c>
      <c r="AH62" s="57">
        <f>IF($C62="","",IF($H62=0,0,$AG62*(($F62/$H62)/heures_par_jour)*taux_majoration_nuit))</f>
        <v/>
      </c>
      <c r="AI62" s="59">
        <f>IF($C62="","",IFERROR(INDEX(VARIABLES!$AX:$AX,$G62),0))</f>
        <v/>
      </c>
      <c r="AJ62" s="57">
        <f>IF($C62="","",IF($H62=0,0,$AI62*($F62/$H62)*(1+taux_majoration_repos)))</f>
        <v/>
      </c>
    </row>
    <row r="63" ht="15" customHeight="1" s="15">
      <c r="B63" s="41" t="n">
        <v>57</v>
      </c>
      <c r="C63" s="41">
        <f>IF(EMPLOYES!C71="","",EMPLOYES!C71)</f>
        <v/>
      </c>
      <c r="D63" s="56">
        <f>IF(EMPLOYES!C71="","",EMPLOYES!D71)</f>
        <v/>
      </c>
      <c r="E63" s="41">
        <f>IF(EMPLOYES!C71="","",EMPLOYES!M71)</f>
        <v/>
      </c>
      <c r="F63" s="57">
        <f>IF(EMPLOYES!C71="","",EMPLOYES!Y71)</f>
        <v/>
      </c>
      <c r="G63" s="47">
        <f>INDEX(BULLETIN!$C$201:$C$212,MATCH(mois_courant_numero,BULLETIN!$B$201:$B$212,0))+56</f>
        <v/>
      </c>
      <c r="H63" s="41">
        <f>IF($C63="","",IF($E63="5j",jours_ouvrables_5j_mois_courant,jours_ouvrables_6j_mois_courant))</f>
        <v/>
      </c>
      <c r="I63" s="41">
        <f>IF($C63="","",IFERROR(INDEX(VARIABLES!$G:$G,$G63),0))</f>
        <v/>
      </c>
      <c r="J63" s="41">
        <f>IF($C63="","",MAX(0,$H63-$I63))</f>
        <v/>
      </c>
      <c r="K63" s="57">
        <f>IF($C63="","",IF($H63=0,0,($F63/$H63)*$J63))</f>
        <v/>
      </c>
      <c r="L63" s="59">
        <f>IF($C63="","",IFERROR(INDEX(VARIABLES!$E:$E,$G63),0))</f>
        <v/>
      </c>
      <c r="M63" s="57">
        <f>IF($C63="","",IF($H63=0,0,($F63/$H63/heures_par_jour)*(MIN($L63,6)*taux_majoration_hs+MAX($L63-6,0)*taux_majoration_hs_tier2)))</f>
        <v/>
      </c>
      <c r="N63" s="57">
        <f>IF($C63="","",IFERROR(INDEX(VARIABLES!$F:$F,$G63),0))</f>
        <v/>
      </c>
      <c r="O63" s="57">
        <f>IF($C63="","",allocation_familiale_enfant*EMPLOYES!O71)</f>
        <v/>
      </c>
      <c r="P63" s="57">
        <f>IF($C63="","",contrevaleur_logement)</f>
        <v/>
      </c>
      <c r="Q63" s="57">
        <f>IF($C63="","",$K63+$M63+$N63+$O63+$P63+$AH63+$AJ63)</f>
        <v/>
      </c>
      <c r="R63" s="57">
        <f>IF($C63="","",$Q63*t_cnss_pension_salarie)</f>
        <v/>
      </c>
      <c r="S63" s="57">
        <f>IF($C63="","",IF(opt_cnss_deductible_ipr="Oui",$Q63-$R63,$Q63))</f>
        <v/>
      </c>
      <c r="T63" s="57">
        <f>IF($C63="","",MAX(ipr_plancher,MIN((IF($S63&lt;=ipr_t1_sup_mensuel,$S63*ipr_taux1,IF($S63&lt;=ipr_t2_sup_mensuel,ipr_t1_sup_mensuel*ipr_taux1+($S63-ipr_t1_sup_mensuel)*ipr_taux2,IF($S63&lt;=ipr_t3_sup_mensuel,ipr_t1_sup_mensuel*ipr_taux1+(ipr_t2_sup_mensuel-ipr_t1_sup_mensuel)*ipr_taux2+($S63-ipr_t2_sup_mensuel)*ipr_taux3,ipr_t1_sup_mensuel*ipr_taux1+(ipr_t2_sup_mensuel-ipr_t1_sup_mensuel)*ipr_taux2+(ipr_t3_sup_mensuel-ipr_t2_sup_mensuel)*ipr_taux3+($S63-ipr_t3_sup_mensuel)*ipr_taux4))))-MIN(EMPLOYES!O71,9)*ipr_reduction_famille*(IF($S63&lt;=ipr_t1_sup_mensuel,$S63*ipr_taux1,IF($S63&lt;=ipr_t2_sup_mensuel,ipr_t1_sup_mensuel*ipr_taux1+($S63-ipr_t1_sup_mensuel)*ipr_taux2,IF($S63&lt;=ipr_t3_sup_mensuel,ipr_t1_sup_mensuel*ipr_taux1+(ipr_t2_sup_mensuel-ipr_t1_sup_mensuel)*ipr_taux2+($S63-ipr_t2_sup_mensuel)*ipr_taux3,ipr_t1_sup_mensuel*ipr_taux1+(ipr_t2_sup_mensuel-ipr_t1_sup_mensuel)*ipr_taux2+(ipr_t3_sup_mensuel-ipr_t2_sup_mensuel)*ipr_taux3+($S63-ipr_t3_sup_mensuel)*ipr_taux4)))),$S63*ipr_plafond_pct)))</f>
        <v/>
      </c>
      <c r="U63" s="57">
        <f>IF($C63="","",$Q63-$R63-$T63)</f>
        <v/>
      </c>
      <c r="V63" s="57">
        <f>IF($C63="","",IFERROR(INDEX(VARIABLES!$H:$H,$G63),0))</f>
        <v/>
      </c>
      <c r="W63" s="57">
        <f>IF($C63="","",IFERROR(INDEX(VARIABLES!$J:$J,$G63),0))</f>
        <v/>
      </c>
      <c r="X63" s="57">
        <f>IF($C63="","",$U63-$V63-$W63)</f>
        <v/>
      </c>
      <c r="Y63" s="57">
        <f>IF($C63="","",$Q63*t_cnss_total_employeur)</f>
        <v/>
      </c>
      <c r="Z63" s="57">
        <f>IF($C63="","",$Q63*t_inpp_applicable)</f>
        <v/>
      </c>
      <c r="AA63" s="57">
        <f>IF($C63="","",$Q63*t_onem)</f>
        <v/>
      </c>
      <c r="AB63" s="57">
        <f>IF($C63="","",$Q63+$Y63+$Z63+$AA63)</f>
        <v/>
      </c>
      <c r="AC63" s="55">
        <f>IF(AND($C63&lt;&gt;"",$I63&gt;0),1,0)</f>
        <v/>
      </c>
      <c r="AD63" s="55">
        <f>SUM(AC$7:AC63)</f>
        <v/>
      </c>
      <c r="AE63" s="55">
        <f>IF(AND($C63&lt;&gt;"",$V63&gt;0),1,0)</f>
        <v/>
      </c>
      <c r="AF63" s="55">
        <f>SUM(AE$7:AE63)</f>
        <v/>
      </c>
      <c r="AG63" s="59">
        <f>IF($C63="","",IFERROR(INDEX(VARIABLES!$AY:$AY,$G63),0))</f>
        <v/>
      </c>
      <c r="AH63" s="57">
        <f>IF($C63="","",IF($H63=0,0,$AG63*(($F63/$H63)/heures_par_jour)*taux_majoration_nuit))</f>
        <v/>
      </c>
      <c r="AI63" s="59">
        <f>IF($C63="","",IFERROR(INDEX(VARIABLES!$AX:$AX,$G63),0))</f>
        <v/>
      </c>
      <c r="AJ63" s="57">
        <f>IF($C63="","",IF($H63=0,0,$AI63*($F63/$H63)*(1+taux_majoration_repos)))</f>
        <v/>
      </c>
    </row>
    <row r="64" ht="15" customHeight="1" s="15">
      <c r="B64" s="41" t="n">
        <v>58</v>
      </c>
      <c r="C64" s="41">
        <f>IF(EMPLOYES!C72="","",EMPLOYES!C72)</f>
        <v/>
      </c>
      <c r="D64" s="56">
        <f>IF(EMPLOYES!C72="","",EMPLOYES!D72)</f>
        <v/>
      </c>
      <c r="E64" s="41">
        <f>IF(EMPLOYES!C72="","",EMPLOYES!M72)</f>
        <v/>
      </c>
      <c r="F64" s="57">
        <f>IF(EMPLOYES!C72="","",EMPLOYES!Y72)</f>
        <v/>
      </c>
      <c r="G64" s="47">
        <f>INDEX(BULLETIN!$C$201:$C$212,MATCH(mois_courant_numero,BULLETIN!$B$201:$B$212,0))+57</f>
        <v/>
      </c>
      <c r="H64" s="41">
        <f>IF($C64="","",IF($E64="5j",jours_ouvrables_5j_mois_courant,jours_ouvrables_6j_mois_courant))</f>
        <v/>
      </c>
      <c r="I64" s="41">
        <f>IF($C64="","",IFERROR(INDEX(VARIABLES!$G:$G,$G64),0))</f>
        <v/>
      </c>
      <c r="J64" s="41">
        <f>IF($C64="","",MAX(0,$H64-$I64))</f>
        <v/>
      </c>
      <c r="K64" s="57">
        <f>IF($C64="","",IF($H64=0,0,($F64/$H64)*$J64))</f>
        <v/>
      </c>
      <c r="L64" s="59">
        <f>IF($C64="","",IFERROR(INDEX(VARIABLES!$E:$E,$G64),0))</f>
        <v/>
      </c>
      <c r="M64" s="57">
        <f>IF($C64="","",IF($H64=0,0,($F64/$H64/heures_par_jour)*(MIN($L64,6)*taux_majoration_hs+MAX($L64-6,0)*taux_majoration_hs_tier2)))</f>
        <v/>
      </c>
      <c r="N64" s="57">
        <f>IF($C64="","",IFERROR(INDEX(VARIABLES!$F:$F,$G64),0))</f>
        <v/>
      </c>
      <c r="O64" s="57">
        <f>IF($C64="","",allocation_familiale_enfant*EMPLOYES!O72)</f>
        <v/>
      </c>
      <c r="P64" s="57">
        <f>IF($C64="","",contrevaleur_logement)</f>
        <v/>
      </c>
      <c r="Q64" s="57">
        <f>IF($C64="","",$K64+$M64+$N64+$O64+$P64+$AH64+$AJ64)</f>
        <v/>
      </c>
      <c r="R64" s="57">
        <f>IF($C64="","",$Q64*t_cnss_pension_salarie)</f>
        <v/>
      </c>
      <c r="S64" s="57">
        <f>IF($C64="","",IF(opt_cnss_deductible_ipr="Oui",$Q64-$R64,$Q64))</f>
        <v/>
      </c>
      <c r="T64" s="57">
        <f>IF($C64="","",MAX(ipr_plancher,MIN((IF($S64&lt;=ipr_t1_sup_mensuel,$S64*ipr_taux1,IF($S64&lt;=ipr_t2_sup_mensuel,ipr_t1_sup_mensuel*ipr_taux1+($S64-ipr_t1_sup_mensuel)*ipr_taux2,IF($S64&lt;=ipr_t3_sup_mensuel,ipr_t1_sup_mensuel*ipr_taux1+(ipr_t2_sup_mensuel-ipr_t1_sup_mensuel)*ipr_taux2+($S64-ipr_t2_sup_mensuel)*ipr_taux3,ipr_t1_sup_mensuel*ipr_taux1+(ipr_t2_sup_mensuel-ipr_t1_sup_mensuel)*ipr_taux2+(ipr_t3_sup_mensuel-ipr_t2_sup_mensuel)*ipr_taux3+($S64-ipr_t3_sup_mensuel)*ipr_taux4))))-MIN(EMPLOYES!O72,9)*ipr_reduction_famille*(IF($S64&lt;=ipr_t1_sup_mensuel,$S64*ipr_taux1,IF($S64&lt;=ipr_t2_sup_mensuel,ipr_t1_sup_mensuel*ipr_taux1+($S64-ipr_t1_sup_mensuel)*ipr_taux2,IF($S64&lt;=ipr_t3_sup_mensuel,ipr_t1_sup_mensuel*ipr_taux1+(ipr_t2_sup_mensuel-ipr_t1_sup_mensuel)*ipr_taux2+($S64-ipr_t2_sup_mensuel)*ipr_taux3,ipr_t1_sup_mensuel*ipr_taux1+(ipr_t2_sup_mensuel-ipr_t1_sup_mensuel)*ipr_taux2+(ipr_t3_sup_mensuel-ipr_t2_sup_mensuel)*ipr_taux3+($S64-ipr_t3_sup_mensuel)*ipr_taux4)))),$S64*ipr_plafond_pct)))</f>
        <v/>
      </c>
      <c r="U64" s="57">
        <f>IF($C64="","",$Q64-$R64-$T64)</f>
        <v/>
      </c>
      <c r="V64" s="57">
        <f>IF($C64="","",IFERROR(INDEX(VARIABLES!$H:$H,$G64),0))</f>
        <v/>
      </c>
      <c r="W64" s="57">
        <f>IF($C64="","",IFERROR(INDEX(VARIABLES!$J:$J,$G64),0))</f>
        <v/>
      </c>
      <c r="X64" s="57">
        <f>IF($C64="","",$U64-$V64-$W64)</f>
        <v/>
      </c>
      <c r="Y64" s="57">
        <f>IF($C64="","",$Q64*t_cnss_total_employeur)</f>
        <v/>
      </c>
      <c r="Z64" s="57">
        <f>IF($C64="","",$Q64*t_inpp_applicable)</f>
        <v/>
      </c>
      <c r="AA64" s="57">
        <f>IF($C64="","",$Q64*t_onem)</f>
        <v/>
      </c>
      <c r="AB64" s="57">
        <f>IF($C64="","",$Q64+$Y64+$Z64+$AA64)</f>
        <v/>
      </c>
      <c r="AC64" s="55">
        <f>IF(AND($C64&lt;&gt;"",$I64&gt;0),1,0)</f>
        <v/>
      </c>
      <c r="AD64" s="55">
        <f>SUM(AC$7:AC64)</f>
        <v/>
      </c>
      <c r="AE64" s="55">
        <f>IF(AND($C64&lt;&gt;"",$V64&gt;0),1,0)</f>
        <v/>
      </c>
      <c r="AF64" s="55">
        <f>SUM(AE$7:AE64)</f>
        <v/>
      </c>
      <c r="AG64" s="59">
        <f>IF($C64="","",IFERROR(INDEX(VARIABLES!$AY:$AY,$G64),0))</f>
        <v/>
      </c>
      <c r="AH64" s="57">
        <f>IF($C64="","",IF($H64=0,0,$AG64*(($F64/$H64)/heures_par_jour)*taux_majoration_nuit))</f>
        <v/>
      </c>
      <c r="AI64" s="59">
        <f>IF($C64="","",IFERROR(INDEX(VARIABLES!$AX:$AX,$G64),0))</f>
        <v/>
      </c>
      <c r="AJ64" s="57">
        <f>IF($C64="","",IF($H64=0,0,$AI64*($F64/$H64)*(1+taux_majoration_repos)))</f>
        <v/>
      </c>
    </row>
    <row r="65" ht="15" customHeight="1" s="15">
      <c r="B65" s="41" t="n">
        <v>59</v>
      </c>
      <c r="C65" s="41">
        <f>IF(EMPLOYES!C73="","",EMPLOYES!C73)</f>
        <v/>
      </c>
      <c r="D65" s="56">
        <f>IF(EMPLOYES!C73="","",EMPLOYES!D73)</f>
        <v/>
      </c>
      <c r="E65" s="41">
        <f>IF(EMPLOYES!C73="","",EMPLOYES!M73)</f>
        <v/>
      </c>
      <c r="F65" s="57">
        <f>IF(EMPLOYES!C73="","",EMPLOYES!Y73)</f>
        <v/>
      </c>
      <c r="G65" s="47">
        <f>INDEX(BULLETIN!$C$201:$C$212,MATCH(mois_courant_numero,BULLETIN!$B$201:$B$212,0))+58</f>
        <v/>
      </c>
      <c r="H65" s="41">
        <f>IF($C65="","",IF($E65="5j",jours_ouvrables_5j_mois_courant,jours_ouvrables_6j_mois_courant))</f>
        <v/>
      </c>
      <c r="I65" s="41">
        <f>IF($C65="","",IFERROR(INDEX(VARIABLES!$G:$G,$G65),0))</f>
        <v/>
      </c>
      <c r="J65" s="41">
        <f>IF($C65="","",MAX(0,$H65-$I65))</f>
        <v/>
      </c>
      <c r="K65" s="57">
        <f>IF($C65="","",IF($H65=0,0,($F65/$H65)*$J65))</f>
        <v/>
      </c>
      <c r="L65" s="59">
        <f>IF($C65="","",IFERROR(INDEX(VARIABLES!$E:$E,$G65),0))</f>
        <v/>
      </c>
      <c r="M65" s="57">
        <f>IF($C65="","",IF($H65=0,0,($F65/$H65/heures_par_jour)*(MIN($L65,6)*taux_majoration_hs+MAX($L65-6,0)*taux_majoration_hs_tier2)))</f>
        <v/>
      </c>
      <c r="N65" s="57">
        <f>IF($C65="","",IFERROR(INDEX(VARIABLES!$F:$F,$G65),0))</f>
        <v/>
      </c>
      <c r="O65" s="57">
        <f>IF($C65="","",allocation_familiale_enfant*EMPLOYES!O73)</f>
        <v/>
      </c>
      <c r="P65" s="57">
        <f>IF($C65="","",contrevaleur_logement)</f>
        <v/>
      </c>
      <c r="Q65" s="57">
        <f>IF($C65="","",$K65+$M65+$N65+$O65+$P65+$AH65+$AJ65)</f>
        <v/>
      </c>
      <c r="R65" s="57">
        <f>IF($C65="","",$Q65*t_cnss_pension_salarie)</f>
        <v/>
      </c>
      <c r="S65" s="57">
        <f>IF($C65="","",IF(opt_cnss_deductible_ipr="Oui",$Q65-$R65,$Q65))</f>
        <v/>
      </c>
      <c r="T65" s="57">
        <f>IF($C65="","",MAX(ipr_plancher,MIN((IF($S65&lt;=ipr_t1_sup_mensuel,$S65*ipr_taux1,IF($S65&lt;=ipr_t2_sup_mensuel,ipr_t1_sup_mensuel*ipr_taux1+($S65-ipr_t1_sup_mensuel)*ipr_taux2,IF($S65&lt;=ipr_t3_sup_mensuel,ipr_t1_sup_mensuel*ipr_taux1+(ipr_t2_sup_mensuel-ipr_t1_sup_mensuel)*ipr_taux2+($S65-ipr_t2_sup_mensuel)*ipr_taux3,ipr_t1_sup_mensuel*ipr_taux1+(ipr_t2_sup_mensuel-ipr_t1_sup_mensuel)*ipr_taux2+(ipr_t3_sup_mensuel-ipr_t2_sup_mensuel)*ipr_taux3+($S65-ipr_t3_sup_mensuel)*ipr_taux4))))-MIN(EMPLOYES!O73,9)*ipr_reduction_famille*(IF($S65&lt;=ipr_t1_sup_mensuel,$S65*ipr_taux1,IF($S65&lt;=ipr_t2_sup_mensuel,ipr_t1_sup_mensuel*ipr_taux1+($S65-ipr_t1_sup_mensuel)*ipr_taux2,IF($S65&lt;=ipr_t3_sup_mensuel,ipr_t1_sup_mensuel*ipr_taux1+(ipr_t2_sup_mensuel-ipr_t1_sup_mensuel)*ipr_taux2+($S65-ipr_t2_sup_mensuel)*ipr_taux3,ipr_t1_sup_mensuel*ipr_taux1+(ipr_t2_sup_mensuel-ipr_t1_sup_mensuel)*ipr_taux2+(ipr_t3_sup_mensuel-ipr_t2_sup_mensuel)*ipr_taux3+($S65-ipr_t3_sup_mensuel)*ipr_taux4)))),$S65*ipr_plafond_pct)))</f>
        <v/>
      </c>
      <c r="U65" s="57">
        <f>IF($C65="","",$Q65-$R65-$T65)</f>
        <v/>
      </c>
      <c r="V65" s="57">
        <f>IF($C65="","",IFERROR(INDEX(VARIABLES!$H:$H,$G65),0))</f>
        <v/>
      </c>
      <c r="W65" s="57">
        <f>IF($C65="","",IFERROR(INDEX(VARIABLES!$J:$J,$G65),0))</f>
        <v/>
      </c>
      <c r="X65" s="57">
        <f>IF($C65="","",$U65-$V65-$W65)</f>
        <v/>
      </c>
      <c r="Y65" s="57">
        <f>IF($C65="","",$Q65*t_cnss_total_employeur)</f>
        <v/>
      </c>
      <c r="Z65" s="57">
        <f>IF($C65="","",$Q65*t_inpp_applicable)</f>
        <v/>
      </c>
      <c r="AA65" s="57">
        <f>IF($C65="","",$Q65*t_onem)</f>
        <v/>
      </c>
      <c r="AB65" s="57">
        <f>IF($C65="","",$Q65+$Y65+$Z65+$AA65)</f>
        <v/>
      </c>
      <c r="AC65" s="55">
        <f>IF(AND($C65&lt;&gt;"",$I65&gt;0),1,0)</f>
        <v/>
      </c>
      <c r="AD65" s="55">
        <f>SUM(AC$7:AC65)</f>
        <v/>
      </c>
      <c r="AE65" s="55">
        <f>IF(AND($C65&lt;&gt;"",$V65&gt;0),1,0)</f>
        <v/>
      </c>
      <c r="AF65" s="55">
        <f>SUM(AE$7:AE65)</f>
        <v/>
      </c>
      <c r="AG65" s="59">
        <f>IF($C65="","",IFERROR(INDEX(VARIABLES!$AY:$AY,$G65),0))</f>
        <v/>
      </c>
      <c r="AH65" s="57">
        <f>IF($C65="","",IF($H65=0,0,$AG65*(($F65/$H65)/heures_par_jour)*taux_majoration_nuit))</f>
        <v/>
      </c>
      <c r="AI65" s="59">
        <f>IF($C65="","",IFERROR(INDEX(VARIABLES!$AX:$AX,$G65),0))</f>
        <v/>
      </c>
      <c r="AJ65" s="57">
        <f>IF($C65="","",IF($H65=0,0,$AI65*($F65/$H65)*(1+taux_majoration_repos)))</f>
        <v/>
      </c>
    </row>
    <row r="66" ht="15" customHeight="1" s="15">
      <c r="B66" s="41" t="n">
        <v>60</v>
      </c>
      <c r="C66" s="41">
        <f>IF(EMPLOYES!C74="","",EMPLOYES!C74)</f>
        <v/>
      </c>
      <c r="D66" s="56">
        <f>IF(EMPLOYES!C74="","",EMPLOYES!D74)</f>
        <v/>
      </c>
      <c r="E66" s="41">
        <f>IF(EMPLOYES!C74="","",EMPLOYES!M74)</f>
        <v/>
      </c>
      <c r="F66" s="57">
        <f>IF(EMPLOYES!C74="","",EMPLOYES!Y74)</f>
        <v/>
      </c>
      <c r="G66" s="47">
        <f>INDEX(BULLETIN!$C$201:$C$212,MATCH(mois_courant_numero,BULLETIN!$B$201:$B$212,0))+59</f>
        <v/>
      </c>
      <c r="H66" s="41">
        <f>IF($C66="","",IF($E66="5j",jours_ouvrables_5j_mois_courant,jours_ouvrables_6j_mois_courant))</f>
        <v/>
      </c>
      <c r="I66" s="41">
        <f>IF($C66="","",IFERROR(INDEX(VARIABLES!$G:$G,$G66),0))</f>
        <v/>
      </c>
      <c r="J66" s="41">
        <f>IF($C66="","",MAX(0,$H66-$I66))</f>
        <v/>
      </c>
      <c r="K66" s="57">
        <f>IF($C66="","",IF($H66=0,0,($F66/$H66)*$J66))</f>
        <v/>
      </c>
      <c r="L66" s="59">
        <f>IF($C66="","",IFERROR(INDEX(VARIABLES!$E:$E,$G66),0))</f>
        <v/>
      </c>
      <c r="M66" s="57">
        <f>IF($C66="","",IF($H66=0,0,($F66/$H66/heures_par_jour)*(MIN($L66,6)*taux_majoration_hs+MAX($L66-6,0)*taux_majoration_hs_tier2)))</f>
        <v/>
      </c>
      <c r="N66" s="57">
        <f>IF($C66="","",IFERROR(INDEX(VARIABLES!$F:$F,$G66),0))</f>
        <v/>
      </c>
      <c r="O66" s="57">
        <f>IF($C66="","",allocation_familiale_enfant*EMPLOYES!O74)</f>
        <v/>
      </c>
      <c r="P66" s="57">
        <f>IF($C66="","",contrevaleur_logement)</f>
        <v/>
      </c>
      <c r="Q66" s="57">
        <f>IF($C66="","",$K66+$M66+$N66+$O66+$P66+$AH66+$AJ66)</f>
        <v/>
      </c>
      <c r="R66" s="57">
        <f>IF($C66="","",$Q66*t_cnss_pension_salarie)</f>
        <v/>
      </c>
      <c r="S66" s="57">
        <f>IF($C66="","",IF(opt_cnss_deductible_ipr="Oui",$Q66-$R66,$Q66))</f>
        <v/>
      </c>
      <c r="T66" s="57">
        <f>IF($C66="","",MAX(ipr_plancher,MIN((IF($S66&lt;=ipr_t1_sup_mensuel,$S66*ipr_taux1,IF($S66&lt;=ipr_t2_sup_mensuel,ipr_t1_sup_mensuel*ipr_taux1+($S66-ipr_t1_sup_mensuel)*ipr_taux2,IF($S66&lt;=ipr_t3_sup_mensuel,ipr_t1_sup_mensuel*ipr_taux1+(ipr_t2_sup_mensuel-ipr_t1_sup_mensuel)*ipr_taux2+($S66-ipr_t2_sup_mensuel)*ipr_taux3,ipr_t1_sup_mensuel*ipr_taux1+(ipr_t2_sup_mensuel-ipr_t1_sup_mensuel)*ipr_taux2+(ipr_t3_sup_mensuel-ipr_t2_sup_mensuel)*ipr_taux3+($S66-ipr_t3_sup_mensuel)*ipr_taux4))))-MIN(EMPLOYES!O74,9)*ipr_reduction_famille*(IF($S66&lt;=ipr_t1_sup_mensuel,$S66*ipr_taux1,IF($S66&lt;=ipr_t2_sup_mensuel,ipr_t1_sup_mensuel*ipr_taux1+($S66-ipr_t1_sup_mensuel)*ipr_taux2,IF($S66&lt;=ipr_t3_sup_mensuel,ipr_t1_sup_mensuel*ipr_taux1+(ipr_t2_sup_mensuel-ipr_t1_sup_mensuel)*ipr_taux2+($S66-ipr_t2_sup_mensuel)*ipr_taux3,ipr_t1_sup_mensuel*ipr_taux1+(ipr_t2_sup_mensuel-ipr_t1_sup_mensuel)*ipr_taux2+(ipr_t3_sup_mensuel-ipr_t2_sup_mensuel)*ipr_taux3+($S66-ipr_t3_sup_mensuel)*ipr_taux4)))),$S66*ipr_plafond_pct)))</f>
        <v/>
      </c>
      <c r="U66" s="57">
        <f>IF($C66="","",$Q66-$R66-$T66)</f>
        <v/>
      </c>
      <c r="V66" s="57">
        <f>IF($C66="","",IFERROR(INDEX(VARIABLES!$H:$H,$G66),0))</f>
        <v/>
      </c>
      <c r="W66" s="57">
        <f>IF($C66="","",IFERROR(INDEX(VARIABLES!$J:$J,$G66),0))</f>
        <v/>
      </c>
      <c r="X66" s="57">
        <f>IF($C66="","",$U66-$V66-$W66)</f>
        <v/>
      </c>
      <c r="Y66" s="57">
        <f>IF($C66="","",$Q66*t_cnss_total_employeur)</f>
        <v/>
      </c>
      <c r="Z66" s="57">
        <f>IF($C66="","",$Q66*t_inpp_applicable)</f>
        <v/>
      </c>
      <c r="AA66" s="57">
        <f>IF($C66="","",$Q66*t_onem)</f>
        <v/>
      </c>
      <c r="AB66" s="57">
        <f>IF($C66="","",$Q66+$Y66+$Z66+$AA66)</f>
        <v/>
      </c>
      <c r="AC66" s="55">
        <f>IF(AND($C66&lt;&gt;"",$I66&gt;0),1,0)</f>
        <v/>
      </c>
      <c r="AD66" s="55">
        <f>SUM(AC$7:AC66)</f>
        <v/>
      </c>
      <c r="AE66" s="55">
        <f>IF(AND($C66&lt;&gt;"",$V66&gt;0),1,0)</f>
        <v/>
      </c>
      <c r="AF66" s="55">
        <f>SUM(AE$7:AE66)</f>
        <v/>
      </c>
      <c r="AG66" s="59">
        <f>IF($C66="","",IFERROR(INDEX(VARIABLES!$AY:$AY,$G66),0))</f>
        <v/>
      </c>
      <c r="AH66" s="57">
        <f>IF($C66="","",IF($H66=0,0,$AG66*(($F66/$H66)/heures_par_jour)*taux_majoration_nuit))</f>
        <v/>
      </c>
      <c r="AI66" s="59">
        <f>IF($C66="","",IFERROR(INDEX(VARIABLES!$AX:$AX,$G66),0))</f>
        <v/>
      </c>
      <c r="AJ66" s="57">
        <f>IF($C66="","",IF($H66=0,0,$AI66*($F66/$H66)*(1+taux_majoration_repos)))</f>
        <v/>
      </c>
    </row>
    <row r="67" ht="15" customHeight="1" s="15">
      <c r="C67" s="60" t="inlineStr">
        <is>
          <t>TOTAUX</t>
        </is>
      </c>
      <c r="Q67" s="61">
        <f>SUM(Q7:Q66)</f>
        <v/>
      </c>
      <c r="R67" s="61">
        <f>SUM(R7:R66)</f>
        <v/>
      </c>
      <c r="S67" s="62">
        <f>SUM(S7:S66)</f>
        <v/>
      </c>
      <c r="T67" s="61">
        <f>SUM(T7:T66)</f>
        <v/>
      </c>
      <c r="U67" s="61">
        <f>SUM(U7:U66)</f>
        <v/>
      </c>
      <c r="V67" s="61">
        <f>SUM(V7:V66)</f>
        <v/>
      </c>
      <c r="W67" s="61">
        <f>SUM(W7:W66)</f>
        <v/>
      </c>
      <c r="X67" s="61">
        <f>SUM(X7:X66)</f>
        <v/>
      </c>
      <c r="Y67" s="61">
        <f>SUM(Y7:Y66)</f>
        <v/>
      </c>
      <c r="Z67" s="61">
        <f>SUM(Z7:Z66)</f>
        <v/>
      </c>
      <c r="AA67" s="61">
        <f>SUM(AA7:AA66)</f>
        <v/>
      </c>
      <c r="AB67" s="61">
        <f>SUM(AB7:AB66)</f>
        <v/>
      </c>
      <c r="AH67">
        <f>SUM(AH7:AH66)</f>
        <v/>
      </c>
      <c r="AJ67">
        <f>SUM(AJ7:AJ66)</f>
        <v/>
      </c>
    </row>
    <row r="68" ht="15" customHeight="1" s="15">
      <c r="C68" s="55">
        <f>SUMPRODUCT(--(C7:C66&lt;&gt;""))&amp;" agent(s) traité(s)"</f>
        <v/>
      </c>
    </row>
    <row r="70" ht="27.75" customHeight="1" s="15">
      <c r="B70" s="6" t="inlineStr">
        <is>
          <t>ℹ  Réplique indépendamment la cascade de BULLETIN pour les 60 agents du mois en cours (PARAMÈTRES). Colonne « Lg VAR » : ligne technique dans VARIABLES pour ce mois précis, retrouvée via la petite table de bornes déjà utilisée par BULLETIN (évite de balayer toute la feuille VARIABLES et de tomber sur les bandeaux/en-têtes).</t>
        </is>
      </c>
    </row>
    <row r="71" ht="27.75" customHeight="1" s="15">
      <c r="B71" s="6" t="inlineStr">
        <is>
          <t>ℹ  Salaire de base = référence utilisée pour bloquer les avances excessives dans VARIABLES (voir validation de données sur la colonne Avance).</t>
        </is>
      </c>
    </row>
  </sheetData>
  <mergeCells count="5">
    <mergeCell ref="B4:AB4"/>
    <mergeCell ref="A2:AB2"/>
    <mergeCell ref="B70:AB70"/>
    <mergeCell ref="A1:AB1"/>
    <mergeCell ref="B71:AB71"/>
  </mergeCells>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A1:F102"/>
  <sheetViews>
    <sheetView showGridLines="0" zoomScaleNormal="100" workbookViewId="0">
      <pane ySplit="3" topLeftCell="A32" activePane="bottomLeft" state="frozen"/>
      <selection pane="bottomLeft" activeCell="A1" sqref="A1:F1"/>
    </sheetView>
  </sheetViews>
  <sheetFormatPr baseColWidth="10" defaultColWidth="8.6640625" defaultRowHeight="14.4" outlineLevelRow="1"/>
  <cols>
    <col width="4" customWidth="1" style="15" min="1" max="1"/>
    <col width="42" customWidth="1" style="15" min="2" max="2"/>
    <col width="20" customWidth="1" style="15" min="3" max="3"/>
    <col width="16" customWidth="1" style="15" min="4" max="4"/>
    <col width="8.6640625" customWidth="1" style="15" min="5" max="5"/>
    <col width="40" customWidth="1" style="15" min="6" max="6"/>
  </cols>
  <sheetData>
    <row r="1" ht="30" customHeight="1" s="15">
      <c r="A1" s="14" t="inlineStr">
        <is>
          <t>DÉCLARATIONS — BORDEREAUX MENSUELS</t>
        </is>
      </c>
    </row>
    <row r="2" ht="18" customHeight="1" s="15">
      <c r="A2" s="13" t="inlineStr">
        <is>
          <t>Morning SARL  —  Maquette de validation  —  Période pilotée par PARAMÈTRES, alimenté par JOURNAL</t>
        </is>
      </c>
    </row>
    <row r="4" ht="15" customHeight="1" s="15">
      <c r="B4" s="16" t="inlineStr">
        <is>
          <t>Entreprise</t>
        </is>
      </c>
      <c r="C4" s="19">
        <f>PARAMETRES!$C$10</f>
        <v/>
      </c>
    </row>
    <row r="5" ht="15" customHeight="1" s="15">
      <c r="B5" s="16" t="inlineStr">
        <is>
          <t>Période déclarée</t>
        </is>
      </c>
      <c r="C5" s="19">
        <f>PARAMETRES!$C$30&amp;" "&amp;PARAMETRES!$C$29</f>
        <v/>
      </c>
    </row>
    <row r="6" ht="15" customHeight="1" s="15">
      <c r="B6" s="16" t="inlineStr">
        <is>
          <t>Nombre d'agents actifs</t>
        </is>
      </c>
      <c r="C6" s="19">
        <f>EMPLOYES!$C$5</f>
        <v/>
      </c>
    </row>
    <row r="8" ht="21.75" customHeight="1" s="15">
      <c r="B8" s="8" t="inlineStr">
        <is>
          <t xml:space="preserve">  A.  BORDEREAU CNSS — Modèle DC</t>
        </is>
      </c>
    </row>
    <row r="9" ht="15" customHeight="1" s="15">
      <c r="B9" s="16" t="inlineStr">
        <is>
          <t>Assiette de cotisation (masse salariale brute)</t>
        </is>
      </c>
      <c r="C9" s="23">
        <f>JOURNAL!$Q$67</f>
        <v/>
      </c>
      <c r="D9" s="20" t="inlineStr">
        <is>
          <t>CDF</t>
        </is>
      </c>
    </row>
    <row r="10" ht="15" customHeight="1" s="15">
      <c r="B10" s="16" t="inlineStr">
        <is>
          <t>Part salariale (retenue sur salaire, 5%)</t>
        </is>
      </c>
      <c r="C10" s="23">
        <f>JOURNAL!$R$67</f>
        <v/>
      </c>
      <c r="D10" s="20" t="inlineStr">
        <is>
          <t>CDF</t>
        </is>
      </c>
    </row>
    <row r="11" ht="23.25" customHeight="1" s="15">
      <c r="B11" s="16" t="inlineStr">
        <is>
          <t>Part patronale (pensions 5% + familles 6,5% + risques 1,5%)</t>
        </is>
      </c>
      <c r="C11" s="23">
        <f>JOURNAL!$Y$67</f>
        <v/>
      </c>
      <c r="D11" s="20" t="inlineStr">
        <is>
          <t>CDF</t>
        </is>
      </c>
    </row>
    <row r="12" ht="15" customHeight="1" s="15">
      <c r="B12" s="51" t="inlineStr">
        <is>
          <t>TOTAL CNSS À VERSER</t>
        </is>
      </c>
      <c r="C12" s="52">
        <f>JOURNAL!$R$67+JOURNAL!$Y$67</f>
        <v/>
      </c>
      <c r="D12" s="20" t="inlineStr">
        <is>
          <t>CDF</t>
        </is>
      </c>
    </row>
    <row r="13" ht="27.75" customHeight="1" s="15">
      <c r="B13" s="6" t="inlineStr">
        <is>
          <t>ℹ  Échéance : déclaration ET paiement dans les 15 jours suivant le mois civil (Loi 16-009 / CNSS). Majoration de 0,5%/jour de retard à partir du 21e jour du mois suivant. Formulaire Modèle DC (ou guichet unique selon le régime de l'employeur).</t>
        </is>
      </c>
    </row>
    <row r="15" ht="21.75" customHeight="1" s="15">
      <c r="B15" s="8" t="inlineStr">
        <is>
          <t xml:space="preserve">  B.  BORDEREAU INPP</t>
        </is>
      </c>
    </row>
    <row r="16" ht="15" customHeight="1" s="15">
      <c r="B16" s="16" t="inlineStr">
        <is>
          <t>Assiette de cotisation (masse salariale brute)</t>
        </is>
      </c>
      <c r="C16" s="23">
        <f>JOURNAL!$Q$67</f>
        <v/>
      </c>
      <c r="D16" s="20" t="inlineStr">
        <is>
          <t>CDF</t>
        </is>
      </c>
    </row>
    <row r="17" ht="23.25" customHeight="1" s="15">
      <c r="B17" s="16" t="inlineStr">
        <is>
          <t>Taux applicable (selon effectif, PARAMÈTRES section 6)</t>
        </is>
      </c>
      <c r="C17" s="26">
        <f>PARAMETRES!$C$182</f>
        <v/>
      </c>
    </row>
    <row r="18" ht="15" customHeight="1" s="15">
      <c r="B18" s="51" t="inlineStr">
        <is>
          <t>TOTAL INPP À VERSER</t>
        </is>
      </c>
      <c r="C18" s="52">
        <f>JOURNAL!$Z$67</f>
        <v/>
      </c>
      <c r="D18" s="20" t="inlineStr">
        <is>
          <t>CDF</t>
        </is>
      </c>
    </row>
    <row r="19" ht="60" customHeight="1" s="15">
      <c r="B19" s="5" t="inlineStr">
        <is>
          <t>ℹ  Échéance VÉRIFIÉE : l'Ordonnance n°84-186 du 15/10/1984 (art. 3) fixe un versement TRIMESTRIEL de l'INPP, au plus tard les 30 avril, 31 juillet, 31 octobre et 31 janvier. Majoration de 0,5‰/jour de retard (art. 4). Point de vigilance : l'Arrêté de 2006 parle d'une « cotisation mensuelle » (base de calcul mensuelle), ce qui peut suggérer une périodicité de versement différente en pratique actuelle — ce total mensuel devrait être cumulé sur le trimestre avant versement ; à confirmer auprès de l'INPP.</t>
        </is>
      </c>
    </row>
    <row r="21" ht="21.75" customHeight="1" s="15">
      <c r="B21" s="8" t="inlineStr">
        <is>
          <t xml:space="preserve">  C.  BORDEREAU ONEM</t>
        </is>
      </c>
    </row>
    <row r="22" ht="23.25" customHeight="1" s="15">
      <c r="B22" s="16" t="inlineStr">
        <is>
          <t>Assiette de cotisation (rémunération mensuelle brute)</t>
        </is>
      </c>
      <c r="C22" s="23">
        <f>JOURNAL!$Q$67</f>
        <v/>
      </c>
      <c r="D22" s="20" t="inlineStr">
        <is>
          <t>CDF</t>
        </is>
      </c>
    </row>
    <row r="23" ht="15" customHeight="1" s="15">
      <c r="B23" s="16" t="inlineStr">
        <is>
          <t>Taux applicable</t>
        </is>
      </c>
      <c r="C23" s="26">
        <f>PARAMETRES!$C$185</f>
        <v/>
      </c>
    </row>
    <row r="24" ht="15" customHeight="1" s="15">
      <c r="B24" s="51" t="inlineStr">
        <is>
          <t>TOTAL ONEM À VERSER</t>
        </is>
      </c>
      <c r="C24" s="52">
        <f>JOURNAL!$AA$67</f>
        <v/>
      </c>
      <c r="D24" s="20" t="inlineStr">
        <is>
          <t>CDF</t>
        </is>
      </c>
    </row>
    <row r="25" ht="27.75" customHeight="1" s="15">
      <c r="B25" s="6" t="inlineStr">
        <is>
          <t>ℹ  Échéance : déclaration au plus tard le 10e jour du mois suivant ; paiement dans les 15 jours suivant le mois. Pénalité de 50% du montant dû en cas de déclaration fausse/inexistante ; majoration de 0,5%/jour de retard sur le paiement.</t>
        </is>
      </c>
    </row>
    <row r="27" ht="21.75" customHeight="1" s="15">
      <c r="B27" s="8" t="inlineStr">
        <is>
          <t xml:space="preserve">  D.  BORDEREAU IPR (retenue à la source — DGI)</t>
        </is>
      </c>
    </row>
    <row r="28" ht="15" customHeight="1" s="15">
      <c r="B28" s="16" t="inlineStr">
        <is>
          <t>Base imposable cumulée (tous agents)</t>
        </is>
      </c>
      <c r="C28" s="23">
        <f>JOURNAL!$S$67</f>
        <v/>
      </c>
      <c r="D28" s="20" t="inlineStr">
        <is>
          <t>CDF</t>
        </is>
      </c>
    </row>
    <row r="29" ht="15" customHeight="1" s="15">
      <c r="B29" s="51" t="inlineStr">
        <is>
          <t>TOTAL IPR RETENU (à reverser à la DGI)</t>
        </is>
      </c>
      <c r="C29" s="52">
        <f>JOURNAL!$T$67</f>
        <v/>
      </c>
      <c r="D29" s="20" t="inlineStr">
        <is>
          <t>CDF</t>
        </is>
      </c>
    </row>
    <row r="30" ht="43.5" customHeight="1" s="15">
      <c r="B30" s="5" t="inlineStr">
        <is>
          <t>ℹ  Échéance VÉRIFIÉE (sources concordantes DGI/praticiens, texte de loi précis non consulté directement) : déclaration et versement de l'IPR dans les 10 jours suivant le mois de paie. S'y ajoute une déclaration récapitulative ANNUELLE (IPR + IERE) au plus tard le 15 février de l'année suivante, avec régularisation éventuelle à cette date.</t>
        </is>
      </c>
    </row>
    <row r="32" ht="21.75" customHeight="1" s="15">
      <c r="B32" s="8" t="inlineStr">
        <is>
          <t xml:space="preserve">  E.  RÉCAPITULATIF — TOTAL DES VERSEMENTS AUX ORGANISMES</t>
        </is>
      </c>
    </row>
    <row r="33" ht="15" customHeight="1" s="15">
      <c r="B33" s="16" t="inlineStr">
        <is>
          <t>CNSS (part salariale + patronale)</t>
        </is>
      </c>
      <c r="C33" s="23">
        <f>C12</f>
        <v/>
      </c>
      <c r="D33" s="20" t="inlineStr">
        <is>
          <t>CDF</t>
        </is>
      </c>
    </row>
    <row r="34" ht="15" customHeight="1" s="15">
      <c r="B34" s="16" t="inlineStr">
        <is>
          <t>INPP</t>
        </is>
      </c>
      <c r="C34" s="23">
        <f>C18</f>
        <v/>
      </c>
      <c r="D34" s="20" t="inlineStr">
        <is>
          <t>CDF</t>
        </is>
      </c>
    </row>
    <row r="35" ht="15" customHeight="1" s="15">
      <c r="B35" s="16" t="inlineStr">
        <is>
          <t>ONEM</t>
        </is>
      </c>
      <c r="C35" s="23">
        <f>C24</f>
        <v/>
      </c>
      <c r="D35" s="20" t="inlineStr">
        <is>
          <t>CDF</t>
        </is>
      </c>
    </row>
    <row r="36" ht="15" customHeight="1" s="15">
      <c r="B36" s="16" t="inlineStr">
        <is>
          <t>IPR</t>
        </is>
      </c>
      <c r="C36" s="23">
        <f>C29</f>
        <v/>
      </c>
      <c r="D36" s="20" t="inlineStr">
        <is>
          <t>CDF</t>
        </is>
      </c>
    </row>
    <row r="37" ht="23.25" customHeight="1" s="15">
      <c r="B37" s="51" t="inlineStr">
        <is>
          <t>TOTAL GÉNÉRAL À DÉCAISSER VERS LES ORGANISMES</t>
        </is>
      </c>
      <c r="C37" s="52">
        <f>C12+C18+C24+C29</f>
        <v/>
      </c>
      <c r="D37" s="20" t="inlineStr">
        <is>
          <t>CDF</t>
        </is>
      </c>
    </row>
    <row r="38" ht="27.75" customHeight="1" s="15">
      <c r="B38" s="6" t="inlineStr">
        <is>
          <t>ℹ  La part salariale CNSS et l'IPR ont déjà été retenues sur le NET à payer des agents (voir JOURNAL) — ce total représente ce que l'entreprise reverse aux organismes, pas une charge supplémentaire en plus des salaires nets déjà versés.</t>
        </is>
      </c>
    </row>
    <row r="40" ht="21.75" customHeight="1" s="15">
      <c r="B40" s="8" t="inlineStr">
        <is>
          <t xml:space="preserve">  F.  LISTE NOMINATIVE (CNSS / IPR) — annexe au bordereau</t>
        </is>
      </c>
    </row>
    <row r="41" ht="42.75" customHeight="1" s="15">
      <c r="B41" s="32" t="inlineStr">
        <is>
          <t>Matricule</t>
        </is>
      </c>
      <c r="C41" s="32" t="inlineStr">
        <is>
          <t>Nom</t>
        </is>
      </c>
      <c r="D41" s="32" t="inlineStr">
        <is>
          <t>Salaire brut</t>
        </is>
      </c>
      <c r="E41" s="32" t="inlineStr">
        <is>
          <t>CNSS salariale</t>
        </is>
      </c>
      <c r="F41" s="32" t="inlineStr">
        <is>
          <t>IPR retenu</t>
        </is>
      </c>
    </row>
    <row r="42" outlineLevel="1" ht="15" customHeight="1" s="15">
      <c r="B42" s="19">
        <f>JOURNAL!C7</f>
        <v/>
      </c>
      <c r="C42" s="24">
        <f>JOURNAL!D7</f>
        <v/>
      </c>
      <c r="D42" s="23">
        <f>JOURNAL!Q7</f>
        <v/>
      </c>
      <c r="E42" s="23">
        <f>JOURNAL!R7</f>
        <v/>
      </c>
      <c r="F42" s="23">
        <f>JOURNAL!T7</f>
        <v/>
      </c>
    </row>
    <row r="43" outlineLevel="1" ht="15" customHeight="1" s="15">
      <c r="B43" s="19">
        <f>JOURNAL!C8</f>
        <v/>
      </c>
      <c r="C43" s="24">
        <f>JOURNAL!D8</f>
        <v/>
      </c>
      <c r="D43" s="23">
        <f>JOURNAL!Q8</f>
        <v/>
      </c>
      <c r="E43" s="23">
        <f>JOURNAL!R8</f>
        <v/>
      </c>
      <c r="F43" s="23">
        <f>JOURNAL!T8</f>
        <v/>
      </c>
    </row>
    <row r="44" outlineLevel="1" ht="15" customHeight="1" s="15">
      <c r="B44" s="19">
        <f>JOURNAL!C9</f>
        <v/>
      </c>
      <c r="C44" s="24">
        <f>JOURNAL!D9</f>
        <v/>
      </c>
      <c r="D44" s="23">
        <f>JOURNAL!Q9</f>
        <v/>
      </c>
      <c r="E44" s="23">
        <f>JOURNAL!R9</f>
        <v/>
      </c>
      <c r="F44" s="23">
        <f>JOURNAL!T9</f>
        <v/>
      </c>
    </row>
    <row r="45" outlineLevel="1" ht="15" customHeight="1" s="15">
      <c r="B45" s="19">
        <f>JOURNAL!C10</f>
        <v/>
      </c>
      <c r="C45" s="24">
        <f>JOURNAL!D10</f>
        <v/>
      </c>
      <c r="D45" s="23">
        <f>JOURNAL!Q10</f>
        <v/>
      </c>
      <c r="E45" s="23">
        <f>JOURNAL!R10</f>
        <v/>
      </c>
      <c r="F45" s="23">
        <f>JOURNAL!T10</f>
        <v/>
      </c>
    </row>
    <row r="46" outlineLevel="1" ht="15" customHeight="1" s="15">
      <c r="B46" s="19">
        <f>JOURNAL!C11</f>
        <v/>
      </c>
      <c r="C46" s="24">
        <f>JOURNAL!D11</f>
        <v/>
      </c>
      <c r="D46" s="23">
        <f>JOURNAL!Q11</f>
        <v/>
      </c>
      <c r="E46" s="23">
        <f>JOURNAL!R11</f>
        <v/>
      </c>
      <c r="F46" s="23">
        <f>JOURNAL!T11</f>
        <v/>
      </c>
    </row>
    <row r="47" outlineLevel="1" ht="15" customHeight="1" s="15">
      <c r="B47" s="19">
        <f>JOURNAL!C12</f>
        <v/>
      </c>
      <c r="C47" s="24">
        <f>JOURNAL!D12</f>
        <v/>
      </c>
      <c r="D47" s="23">
        <f>JOURNAL!Q12</f>
        <v/>
      </c>
      <c r="E47" s="23">
        <f>JOURNAL!R12</f>
        <v/>
      </c>
      <c r="F47" s="23">
        <f>JOURNAL!T12</f>
        <v/>
      </c>
    </row>
    <row r="48" outlineLevel="1" ht="15" customHeight="1" s="15">
      <c r="B48" s="19">
        <f>JOURNAL!C13</f>
        <v/>
      </c>
      <c r="C48" s="24">
        <f>JOURNAL!D13</f>
        <v/>
      </c>
      <c r="D48" s="23">
        <f>JOURNAL!Q13</f>
        <v/>
      </c>
      <c r="E48" s="23">
        <f>JOURNAL!R13</f>
        <v/>
      </c>
      <c r="F48" s="23">
        <f>JOURNAL!T13</f>
        <v/>
      </c>
    </row>
    <row r="49" outlineLevel="1" ht="15" customHeight="1" s="15">
      <c r="B49" s="19">
        <f>JOURNAL!C14</f>
        <v/>
      </c>
      <c r="C49" s="24">
        <f>JOURNAL!D14</f>
        <v/>
      </c>
      <c r="D49" s="23">
        <f>JOURNAL!Q14</f>
        <v/>
      </c>
      <c r="E49" s="23">
        <f>JOURNAL!R14</f>
        <v/>
      </c>
      <c r="F49" s="23">
        <f>JOURNAL!T14</f>
        <v/>
      </c>
    </row>
    <row r="50" outlineLevel="1" ht="15" customHeight="1" s="15">
      <c r="B50" s="19">
        <f>JOURNAL!C15</f>
        <v/>
      </c>
      <c r="C50" s="24">
        <f>JOURNAL!D15</f>
        <v/>
      </c>
      <c r="D50" s="23">
        <f>JOURNAL!Q15</f>
        <v/>
      </c>
      <c r="E50" s="23">
        <f>JOURNAL!R15</f>
        <v/>
      </c>
      <c r="F50" s="23">
        <f>JOURNAL!T15</f>
        <v/>
      </c>
    </row>
    <row r="51" outlineLevel="1" ht="15" customHeight="1" s="15">
      <c r="B51" s="19">
        <f>JOURNAL!C16</f>
        <v/>
      </c>
      <c r="C51" s="24">
        <f>JOURNAL!D16</f>
        <v/>
      </c>
      <c r="D51" s="23">
        <f>JOURNAL!Q16</f>
        <v/>
      </c>
      <c r="E51" s="23">
        <f>JOURNAL!R16</f>
        <v/>
      </c>
      <c r="F51" s="23">
        <f>JOURNAL!T16</f>
        <v/>
      </c>
    </row>
    <row r="52" outlineLevel="1" ht="15" customHeight="1" s="15">
      <c r="B52" s="19">
        <f>JOURNAL!C17</f>
        <v/>
      </c>
      <c r="C52" s="24">
        <f>JOURNAL!D17</f>
        <v/>
      </c>
      <c r="D52" s="23">
        <f>JOURNAL!Q17</f>
        <v/>
      </c>
      <c r="E52" s="23">
        <f>JOURNAL!R17</f>
        <v/>
      </c>
      <c r="F52" s="23">
        <f>JOURNAL!T17</f>
        <v/>
      </c>
    </row>
    <row r="53" outlineLevel="1" ht="15" customHeight="1" s="15">
      <c r="B53" s="19">
        <f>JOURNAL!C18</f>
        <v/>
      </c>
      <c r="C53" s="24">
        <f>JOURNAL!D18</f>
        <v/>
      </c>
      <c r="D53" s="23">
        <f>JOURNAL!Q18</f>
        <v/>
      </c>
      <c r="E53" s="23">
        <f>JOURNAL!R18</f>
        <v/>
      </c>
      <c r="F53" s="23">
        <f>JOURNAL!T18</f>
        <v/>
      </c>
    </row>
    <row r="54" outlineLevel="1" ht="15" customHeight="1" s="15">
      <c r="B54" s="19">
        <f>JOURNAL!C19</f>
        <v/>
      </c>
      <c r="C54" s="24">
        <f>JOURNAL!D19</f>
        <v/>
      </c>
      <c r="D54" s="23">
        <f>JOURNAL!Q19</f>
        <v/>
      </c>
      <c r="E54" s="23">
        <f>JOURNAL!R19</f>
        <v/>
      </c>
      <c r="F54" s="23">
        <f>JOURNAL!T19</f>
        <v/>
      </c>
    </row>
    <row r="55" outlineLevel="1" ht="15" customHeight="1" s="15">
      <c r="B55" s="19">
        <f>JOURNAL!C20</f>
        <v/>
      </c>
      <c r="C55" s="24">
        <f>JOURNAL!D20</f>
        <v/>
      </c>
      <c r="D55" s="23">
        <f>JOURNAL!Q20</f>
        <v/>
      </c>
      <c r="E55" s="23">
        <f>JOURNAL!R20</f>
        <v/>
      </c>
      <c r="F55" s="23">
        <f>JOURNAL!T20</f>
        <v/>
      </c>
    </row>
    <row r="56" outlineLevel="1" ht="15" customHeight="1" s="15">
      <c r="B56" s="19">
        <f>JOURNAL!C21</f>
        <v/>
      </c>
      <c r="C56" s="24">
        <f>JOURNAL!D21</f>
        <v/>
      </c>
      <c r="D56" s="23">
        <f>JOURNAL!Q21</f>
        <v/>
      </c>
      <c r="E56" s="23">
        <f>JOURNAL!R21</f>
        <v/>
      </c>
      <c r="F56" s="23">
        <f>JOURNAL!T21</f>
        <v/>
      </c>
    </row>
    <row r="57" outlineLevel="1" ht="15" customHeight="1" s="15">
      <c r="B57" s="19">
        <f>JOURNAL!C22</f>
        <v/>
      </c>
      <c r="C57" s="24">
        <f>JOURNAL!D22</f>
        <v/>
      </c>
      <c r="D57" s="23">
        <f>JOURNAL!Q22</f>
        <v/>
      </c>
      <c r="E57" s="23">
        <f>JOURNAL!R22</f>
        <v/>
      </c>
      <c r="F57" s="23">
        <f>JOURNAL!T22</f>
        <v/>
      </c>
    </row>
    <row r="58" outlineLevel="1" ht="15" customHeight="1" s="15">
      <c r="B58" s="19">
        <f>JOURNAL!C23</f>
        <v/>
      </c>
      <c r="C58" s="24">
        <f>JOURNAL!D23</f>
        <v/>
      </c>
      <c r="D58" s="23">
        <f>JOURNAL!Q23</f>
        <v/>
      </c>
      <c r="E58" s="23">
        <f>JOURNAL!R23</f>
        <v/>
      </c>
      <c r="F58" s="23">
        <f>JOURNAL!T23</f>
        <v/>
      </c>
    </row>
    <row r="59" outlineLevel="1" ht="15" customHeight="1" s="15">
      <c r="B59" s="19">
        <f>JOURNAL!C24</f>
        <v/>
      </c>
      <c r="C59" s="24">
        <f>JOURNAL!D24</f>
        <v/>
      </c>
      <c r="D59" s="23">
        <f>JOURNAL!Q24</f>
        <v/>
      </c>
      <c r="E59" s="23">
        <f>JOURNAL!R24</f>
        <v/>
      </c>
      <c r="F59" s="23">
        <f>JOURNAL!T24</f>
        <v/>
      </c>
    </row>
    <row r="60" outlineLevel="1" ht="15" customHeight="1" s="15">
      <c r="B60" s="19">
        <f>JOURNAL!C25</f>
        <v/>
      </c>
      <c r="C60" s="24">
        <f>JOURNAL!D25</f>
        <v/>
      </c>
      <c r="D60" s="23">
        <f>JOURNAL!Q25</f>
        <v/>
      </c>
      <c r="E60" s="23">
        <f>JOURNAL!R25</f>
        <v/>
      </c>
      <c r="F60" s="23">
        <f>JOURNAL!T25</f>
        <v/>
      </c>
    </row>
    <row r="61" outlineLevel="1" ht="15" customHeight="1" s="15">
      <c r="B61" s="19">
        <f>JOURNAL!C26</f>
        <v/>
      </c>
      <c r="C61" s="24">
        <f>JOURNAL!D26</f>
        <v/>
      </c>
      <c r="D61" s="23">
        <f>JOURNAL!Q26</f>
        <v/>
      </c>
      <c r="E61" s="23">
        <f>JOURNAL!R26</f>
        <v/>
      </c>
      <c r="F61" s="23">
        <f>JOURNAL!T26</f>
        <v/>
      </c>
    </row>
    <row r="62" outlineLevel="1" ht="15" customHeight="1" s="15">
      <c r="B62" s="19">
        <f>JOURNAL!C27</f>
        <v/>
      </c>
      <c r="C62" s="24">
        <f>JOURNAL!D27</f>
        <v/>
      </c>
      <c r="D62" s="23">
        <f>JOURNAL!Q27</f>
        <v/>
      </c>
      <c r="E62" s="23">
        <f>JOURNAL!R27</f>
        <v/>
      </c>
      <c r="F62" s="23">
        <f>JOURNAL!T27</f>
        <v/>
      </c>
    </row>
    <row r="63" outlineLevel="1" ht="15" customHeight="1" s="15">
      <c r="B63" s="19">
        <f>JOURNAL!C28</f>
        <v/>
      </c>
      <c r="C63" s="24">
        <f>JOURNAL!D28</f>
        <v/>
      </c>
      <c r="D63" s="23">
        <f>JOURNAL!Q28</f>
        <v/>
      </c>
      <c r="E63" s="23">
        <f>JOURNAL!R28</f>
        <v/>
      </c>
      <c r="F63" s="23">
        <f>JOURNAL!T28</f>
        <v/>
      </c>
    </row>
    <row r="64" outlineLevel="1" ht="15" customHeight="1" s="15">
      <c r="B64" s="19">
        <f>JOURNAL!C29</f>
        <v/>
      </c>
      <c r="C64" s="24">
        <f>JOURNAL!D29</f>
        <v/>
      </c>
      <c r="D64" s="23">
        <f>JOURNAL!Q29</f>
        <v/>
      </c>
      <c r="E64" s="23">
        <f>JOURNAL!R29</f>
        <v/>
      </c>
      <c r="F64" s="23">
        <f>JOURNAL!T29</f>
        <v/>
      </c>
    </row>
    <row r="65" outlineLevel="1" ht="15" customHeight="1" s="15">
      <c r="B65" s="19">
        <f>JOURNAL!C30</f>
        <v/>
      </c>
      <c r="C65" s="24">
        <f>JOURNAL!D30</f>
        <v/>
      </c>
      <c r="D65" s="23">
        <f>JOURNAL!Q30</f>
        <v/>
      </c>
      <c r="E65" s="23">
        <f>JOURNAL!R30</f>
        <v/>
      </c>
      <c r="F65" s="23">
        <f>JOURNAL!T30</f>
        <v/>
      </c>
    </row>
    <row r="66" outlineLevel="1" ht="15" customHeight="1" s="15">
      <c r="B66" s="19">
        <f>JOURNAL!C31</f>
        <v/>
      </c>
      <c r="C66" s="24">
        <f>JOURNAL!D31</f>
        <v/>
      </c>
      <c r="D66" s="23">
        <f>JOURNAL!Q31</f>
        <v/>
      </c>
      <c r="E66" s="23">
        <f>JOURNAL!R31</f>
        <v/>
      </c>
      <c r="F66" s="23">
        <f>JOURNAL!T31</f>
        <v/>
      </c>
    </row>
    <row r="67" outlineLevel="1" ht="15" customHeight="1" s="15">
      <c r="B67" s="19">
        <f>JOURNAL!C32</f>
        <v/>
      </c>
      <c r="C67" s="24">
        <f>JOURNAL!D32</f>
        <v/>
      </c>
      <c r="D67" s="23">
        <f>JOURNAL!Q32</f>
        <v/>
      </c>
      <c r="E67" s="23">
        <f>JOURNAL!R32</f>
        <v/>
      </c>
      <c r="F67" s="23">
        <f>JOURNAL!T32</f>
        <v/>
      </c>
    </row>
    <row r="68" outlineLevel="1" ht="15" customHeight="1" s="15">
      <c r="B68" s="19">
        <f>JOURNAL!C33</f>
        <v/>
      </c>
      <c r="C68" s="24">
        <f>JOURNAL!D33</f>
        <v/>
      </c>
      <c r="D68" s="23">
        <f>JOURNAL!Q33</f>
        <v/>
      </c>
      <c r="E68" s="23">
        <f>JOURNAL!R33</f>
        <v/>
      </c>
      <c r="F68" s="23">
        <f>JOURNAL!T33</f>
        <v/>
      </c>
    </row>
    <row r="69" outlineLevel="1" ht="15" customHeight="1" s="15">
      <c r="B69" s="19">
        <f>JOURNAL!C34</f>
        <v/>
      </c>
      <c r="C69" s="24">
        <f>JOURNAL!D34</f>
        <v/>
      </c>
      <c r="D69" s="23">
        <f>JOURNAL!Q34</f>
        <v/>
      </c>
      <c r="E69" s="23">
        <f>JOURNAL!R34</f>
        <v/>
      </c>
      <c r="F69" s="23">
        <f>JOURNAL!T34</f>
        <v/>
      </c>
    </row>
    <row r="70" outlineLevel="1" ht="15" customHeight="1" s="15">
      <c r="B70" s="19">
        <f>JOURNAL!C35</f>
        <v/>
      </c>
      <c r="C70" s="24">
        <f>JOURNAL!D35</f>
        <v/>
      </c>
      <c r="D70" s="23">
        <f>JOURNAL!Q35</f>
        <v/>
      </c>
      <c r="E70" s="23">
        <f>JOURNAL!R35</f>
        <v/>
      </c>
      <c r="F70" s="23">
        <f>JOURNAL!T35</f>
        <v/>
      </c>
    </row>
    <row r="71" outlineLevel="1" ht="15" customHeight="1" s="15">
      <c r="B71" s="19">
        <f>JOURNAL!C36</f>
        <v/>
      </c>
      <c r="C71" s="24">
        <f>JOURNAL!D36</f>
        <v/>
      </c>
      <c r="D71" s="23">
        <f>JOURNAL!Q36</f>
        <v/>
      </c>
      <c r="E71" s="23">
        <f>JOURNAL!R36</f>
        <v/>
      </c>
      <c r="F71" s="23">
        <f>JOURNAL!T36</f>
        <v/>
      </c>
    </row>
    <row r="72" outlineLevel="1" ht="15" customHeight="1" s="15">
      <c r="B72" s="19">
        <f>JOURNAL!C37</f>
        <v/>
      </c>
      <c r="C72" s="24">
        <f>JOURNAL!D37</f>
        <v/>
      </c>
      <c r="D72" s="23">
        <f>JOURNAL!Q37</f>
        <v/>
      </c>
      <c r="E72" s="23">
        <f>JOURNAL!R37</f>
        <v/>
      </c>
      <c r="F72" s="23">
        <f>JOURNAL!T37</f>
        <v/>
      </c>
    </row>
    <row r="73" outlineLevel="1" ht="15" customHeight="1" s="15">
      <c r="B73" s="19">
        <f>JOURNAL!C38</f>
        <v/>
      </c>
      <c r="C73" s="24">
        <f>JOURNAL!D38</f>
        <v/>
      </c>
      <c r="D73" s="23">
        <f>JOURNAL!Q38</f>
        <v/>
      </c>
      <c r="E73" s="23">
        <f>JOURNAL!R38</f>
        <v/>
      </c>
      <c r="F73" s="23">
        <f>JOURNAL!T38</f>
        <v/>
      </c>
    </row>
    <row r="74" outlineLevel="1" ht="15" customHeight="1" s="15">
      <c r="B74" s="19">
        <f>JOURNAL!C39</f>
        <v/>
      </c>
      <c r="C74" s="24">
        <f>JOURNAL!D39</f>
        <v/>
      </c>
      <c r="D74" s="23">
        <f>JOURNAL!Q39</f>
        <v/>
      </c>
      <c r="E74" s="23">
        <f>JOURNAL!R39</f>
        <v/>
      </c>
      <c r="F74" s="23">
        <f>JOURNAL!T39</f>
        <v/>
      </c>
    </row>
    <row r="75" outlineLevel="1" ht="15" customHeight="1" s="15">
      <c r="B75" s="19">
        <f>JOURNAL!C40</f>
        <v/>
      </c>
      <c r="C75" s="24">
        <f>JOURNAL!D40</f>
        <v/>
      </c>
      <c r="D75" s="23">
        <f>JOURNAL!Q40</f>
        <v/>
      </c>
      <c r="E75" s="23">
        <f>JOURNAL!R40</f>
        <v/>
      </c>
      <c r="F75" s="23">
        <f>JOURNAL!T40</f>
        <v/>
      </c>
    </row>
    <row r="76" outlineLevel="1" ht="15" customHeight="1" s="15">
      <c r="B76" s="19">
        <f>JOURNAL!C41</f>
        <v/>
      </c>
      <c r="C76" s="24">
        <f>JOURNAL!D41</f>
        <v/>
      </c>
      <c r="D76" s="23">
        <f>JOURNAL!Q41</f>
        <v/>
      </c>
      <c r="E76" s="23">
        <f>JOURNAL!R41</f>
        <v/>
      </c>
      <c r="F76" s="23">
        <f>JOURNAL!T41</f>
        <v/>
      </c>
    </row>
    <row r="77" outlineLevel="1" ht="15" customHeight="1" s="15">
      <c r="B77" s="19">
        <f>JOURNAL!C42</f>
        <v/>
      </c>
      <c r="C77" s="24">
        <f>JOURNAL!D42</f>
        <v/>
      </c>
      <c r="D77" s="23">
        <f>JOURNAL!Q42</f>
        <v/>
      </c>
      <c r="E77" s="23">
        <f>JOURNAL!R42</f>
        <v/>
      </c>
      <c r="F77" s="23">
        <f>JOURNAL!T42</f>
        <v/>
      </c>
    </row>
    <row r="78" outlineLevel="1" ht="15" customHeight="1" s="15">
      <c r="B78" s="19">
        <f>JOURNAL!C43</f>
        <v/>
      </c>
      <c r="C78" s="24">
        <f>JOURNAL!D43</f>
        <v/>
      </c>
      <c r="D78" s="23">
        <f>JOURNAL!Q43</f>
        <v/>
      </c>
      <c r="E78" s="23">
        <f>JOURNAL!R43</f>
        <v/>
      </c>
      <c r="F78" s="23">
        <f>JOURNAL!T43</f>
        <v/>
      </c>
    </row>
    <row r="79" outlineLevel="1" ht="15" customHeight="1" s="15">
      <c r="B79" s="19">
        <f>JOURNAL!C44</f>
        <v/>
      </c>
      <c r="C79" s="24">
        <f>JOURNAL!D44</f>
        <v/>
      </c>
      <c r="D79" s="23">
        <f>JOURNAL!Q44</f>
        <v/>
      </c>
      <c r="E79" s="23">
        <f>JOURNAL!R44</f>
        <v/>
      </c>
      <c r="F79" s="23">
        <f>JOURNAL!T44</f>
        <v/>
      </c>
    </row>
    <row r="80" outlineLevel="1" ht="15" customHeight="1" s="15">
      <c r="B80" s="19">
        <f>JOURNAL!C45</f>
        <v/>
      </c>
      <c r="C80" s="24">
        <f>JOURNAL!D45</f>
        <v/>
      </c>
      <c r="D80" s="23">
        <f>JOURNAL!Q45</f>
        <v/>
      </c>
      <c r="E80" s="23">
        <f>JOURNAL!R45</f>
        <v/>
      </c>
      <c r="F80" s="23">
        <f>JOURNAL!T45</f>
        <v/>
      </c>
    </row>
    <row r="81" outlineLevel="1" ht="15" customHeight="1" s="15">
      <c r="B81" s="19">
        <f>JOURNAL!C46</f>
        <v/>
      </c>
      <c r="C81" s="24">
        <f>JOURNAL!D46</f>
        <v/>
      </c>
      <c r="D81" s="23">
        <f>JOURNAL!Q46</f>
        <v/>
      </c>
      <c r="E81" s="23">
        <f>JOURNAL!R46</f>
        <v/>
      </c>
      <c r="F81" s="23">
        <f>JOURNAL!T46</f>
        <v/>
      </c>
    </row>
    <row r="82" outlineLevel="1" ht="15" customHeight="1" s="15">
      <c r="B82" s="19">
        <f>JOURNAL!C47</f>
        <v/>
      </c>
      <c r="C82" s="24">
        <f>JOURNAL!D47</f>
        <v/>
      </c>
      <c r="D82" s="23">
        <f>JOURNAL!Q47</f>
        <v/>
      </c>
      <c r="E82" s="23">
        <f>JOURNAL!R47</f>
        <v/>
      </c>
      <c r="F82" s="23">
        <f>JOURNAL!T47</f>
        <v/>
      </c>
    </row>
    <row r="83" outlineLevel="1" ht="15" customHeight="1" s="15">
      <c r="B83" s="19">
        <f>JOURNAL!C48</f>
        <v/>
      </c>
      <c r="C83" s="24">
        <f>JOURNAL!D48</f>
        <v/>
      </c>
      <c r="D83" s="23">
        <f>JOURNAL!Q48</f>
        <v/>
      </c>
      <c r="E83" s="23">
        <f>JOURNAL!R48</f>
        <v/>
      </c>
      <c r="F83" s="23">
        <f>JOURNAL!T48</f>
        <v/>
      </c>
    </row>
    <row r="84" outlineLevel="1" ht="15" customHeight="1" s="15">
      <c r="B84" s="19">
        <f>JOURNAL!C49</f>
        <v/>
      </c>
      <c r="C84" s="24">
        <f>JOURNAL!D49</f>
        <v/>
      </c>
      <c r="D84" s="23">
        <f>JOURNAL!Q49</f>
        <v/>
      </c>
      <c r="E84" s="23">
        <f>JOURNAL!R49</f>
        <v/>
      </c>
      <c r="F84" s="23">
        <f>JOURNAL!T49</f>
        <v/>
      </c>
    </row>
    <row r="85" outlineLevel="1" ht="15" customHeight="1" s="15">
      <c r="B85" s="19">
        <f>JOURNAL!C50</f>
        <v/>
      </c>
      <c r="C85" s="24">
        <f>JOURNAL!D50</f>
        <v/>
      </c>
      <c r="D85" s="23">
        <f>JOURNAL!Q50</f>
        <v/>
      </c>
      <c r="E85" s="23">
        <f>JOURNAL!R50</f>
        <v/>
      </c>
      <c r="F85" s="23">
        <f>JOURNAL!T50</f>
        <v/>
      </c>
    </row>
    <row r="86" outlineLevel="1" ht="15" customHeight="1" s="15">
      <c r="B86" s="19">
        <f>JOURNAL!C51</f>
        <v/>
      </c>
      <c r="C86" s="24">
        <f>JOURNAL!D51</f>
        <v/>
      </c>
      <c r="D86" s="23">
        <f>JOURNAL!Q51</f>
        <v/>
      </c>
      <c r="E86" s="23">
        <f>JOURNAL!R51</f>
        <v/>
      </c>
      <c r="F86" s="23">
        <f>JOURNAL!T51</f>
        <v/>
      </c>
    </row>
    <row r="87" outlineLevel="1" ht="15" customHeight="1" s="15">
      <c r="B87" s="19">
        <f>JOURNAL!C52</f>
        <v/>
      </c>
      <c r="C87" s="24">
        <f>JOURNAL!D52</f>
        <v/>
      </c>
      <c r="D87" s="23">
        <f>JOURNAL!Q52</f>
        <v/>
      </c>
      <c r="E87" s="23">
        <f>JOURNAL!R52</f>
        <v/>
      </c>
      <c r="F87" s="23">
        <f>JOURNAL!T52</f>
        <v/>
      </c>
    </row>
    <row r="88" outlineLevel="1" ht="15" customHeight="1" s="15">
      <c r="B88" s="19">
        <f>JOURNAL!C53</f>
        <v/>
      </c>
      <c r="C88" s="24">
        <f>JOURNAL!D53</f>
        <v/>
      </c>
      <c r="D88" s="23">
        <f>JOURNAL!Q53</f>
        <v/>
      </c>
      <c r="E88" s="23">
        <f>JOURNAL!R53</f>
        <v/>
      </c>
      <c r="F88" s="23">
        <f>JOURNAL!T53</f>
        <v/>
      </c>
    </row>
    <row r="89" outlineLevel="1" ht="15" customHeight="1" s="15">
      <c r="B89" s="19">
        <f>JOURNAL!C54</f>
        <v/>
      </c>
      <c r="C89" s="24">
        <f>JOURNAL!D54</f>
        <v/>
      </c>
      <c r="D89" s="23">
        <f>JOURNAL!Q54</f>
        <v/>
      </c>
      <c r="E89" s="23">
        <f>JOURNAL!R54</f>
        <v/>
      </c>
      <c r="F89" s="23">
        <f>JOURNAL!T54</f>
        <v/>
      </c>
    </row>
    <row r="90" outlineLevel="1" ht="15" customHeight="1" s="15">
      <c r="B90" s="19">
        <f>JOURNAL!C55</f>
        <v/>
      </c>
      <c r="C90" s="24">
        <f>JOURNAL!D55</f>
        <v/>
      </c>
      <c r="D90" s="23">
        <f>JOURNAL!Q55</f>
        <v/>
      </c>
      <c r="E90" s="23">
        <f>JOURNAL!R55</f>
        <v/>
      </c>
      <c r="F90" s="23">
        <f>JOURNAL!T55</f>
        <v/>
      </c>
    </row>
    <row r="91" outlineLevel="1" ht="15" customHeight="1" s="15">
      <c r="B91" s="19">
        <f>JOURNAL!C56</f>
        <v/>
      </c>
      <c r="C91" s="24">
        <f>JOURNAL!D56</f>
        <v/>
      </c>
      <c r="D91" s="23">
        <f>JOURNAL!Q56</f>
        <v/>
      </c>
      <c r="E91" s="23">
        <f>JOURNAL!R56</f>
        <v/>
      </c>
      <c r="F91" s="23">
        <f>JOURNAL!T56</f>
        <v/>
      </c>
    </row>
    <row r="92" outlineLevel="1" ht="15" customHeight="1" s="15">
      <c r="B92" s="19">
        <f>JOURNAL!C57</f>
        <v/>
      </c>
      <c r="C92" s="24">
        <f>JOURNAL!D57</f>
        <v/>
      </c>
      <c r="D92" s="23">
        <f>JOURNAL!Q57</f>
        <v/>
      </c>
      <c r="E92" s="23">
        <f>JOURNAL!R57</f>
        <v/>
      </c>
      <c r="F92" s="23">
        <f>JOURNAL!T57</f>
        <v/>
      </c>
    </row>
    <row r="93" outlineLevel="1" ht="15" customHeight="1" s="15">
      <c r="B93" s="19">
        <f>JOURNAL!C58</f>
        <v/>
      </c>
      <c r="C93" s="24">
        <f>JOURNAL!D58</f>
        <v/>
      </c>
      <c r="D93" s="23">
        <f>JOURNAL!Q58</f>
        <v/>
      </c>
      <c r="E93" s="23">
        <f>JOURNAL!R58</f>
        <v/>
      </c>
      <c r="F93" s="23">
        <f>JOURNAL!T58</f>
        <v/>
      </c>
    </row>
    <row r="94" outlineLevel="1" ht="15" customHeight="1" s="15">
      <c r="B94" s="19">
        <f>JOURNAL!C59</f>
        <v/>
      </c>
      <c r="C94" s="24">
        <f>JOURNAL!D59</f>
        <v/>
      </c>
      <c r="D94" s="23">
        <f>JOURNAL!Q59</f>
        <v/>
      </c>
      <c r="E94" s="23">
        <f>JOURNAL!R59</f>
        <v/>
      </c>
      <c r="F94" s="23">
        <f>JOURNAL!T59</f>
        <v/>
      </c>
    </row>
    <row r="95" outlineLevel="1" ht="15" customHeight="1" s="15">
      <c r="B95" s="19">
        <f>JOURNAL!C60</f>
        <v/>
      </c>
      <c r="C95" s="24">
        <f>JOURNAL!D60</f>
        <v/>
      </c>
      <c r="D95" s="23">
        <f>JOURNAL!Q60</f>
        <v/>
      </c>
      <c r="E95" s="23">
        <f>JOURNAL!R60</f>
        <v/>
      </c>
      <c r="F95" s="23">
        <f>JOURNAL!T60</f>
        <v/>
      </c>
    </row>
    <row r="96" outlineLevel="1" ht="15" customHeight="1" s="15">
      <c r="B96" s="19">
        <f>JOURNAL!C61</f>
        <v/>
      </c>
      <c r="C96" s="24">
        <f>JOURNAL!D61</f>
        <v/>
      </c>
      <c r="D96" s="23">
        <f>JOURNAL!Q61</f>
        <v/>
      </c>
      <c r="E96" s="23">
        <f>JOURNAL!R61</f>
        <v/>
      </c>
      <c r="F96" s="23">
        <f>JOURNAL!T61</f>
        <v/>
      </c>
    </row>
    <row r="97" outlineLevel="1" ht="15" customHeight="1" s="15">
      <c r="B97" s="19">
        <f>JOURNAL!C62</f>
        <v/>
      </c>
      <c r="C97" s="24">
        <f>JOURNAL!D62</f>
        <v/>
      </c>
      <c r="D97" s="23">
        <f>JOURNAL!Q62</f>
        <v/>
      </c>
      <c r="E97" s="23">
        <f>JOURNAL!R62</f>
        <v/>
      </c>
      <c r="F97" s="23">
        <f>JOURNAL!T62</f>
        <v/>
      </c>
    </row>
    <row r="98" outlineLevel="1" ht="15" customHeight="1" s="15">
      <c r="B98" s="19">
        <f>JOURNAL!C63</f>
        <v/>
      </c>
      <c r="C98" s="24">
        <f>JOURNAL!D63</f>
        <v/>
      </c>
      <c r="D98" s="23">
        <f>JOURNAL!Q63</f>
        <v/>
      </c>
      <c r="E98" s="23">
        <f>JOURNAL!R63</f>
        <v/>
      </c>
      <c r="F98" s="23">
        <f>JOURNAL!T63</f>
        <v/>
      </c>
    </row>
    <row r="99" outlineLevel="1" ht="15" customHeight="1" s="15">
      <c r="B99" s="19">
        <f>JOURNAL!C64</f>
        <v/>
      </c>
      <c r="C99" s="24">
        <f>JOURNAL!D64</f>
        <v/>
      </c>
      <c r="D99" s="23">
        <f>JOURNAL!Q64</f>
        <v/>
      </c>
      <c r="E99" s="23">
        <f>JOURNAL!R64</f>
        <v/>
      </c>
      <c r="F99" s="23">
        <f>JOURNAL!T64</f>
        <v/>
      </c>
    </row>
    <row r="100" outlineLevel="1" ht="15" customHeight="1" s="15">
      <c r="B100" s="19">
        <f>JOURNAL!C65</f>
        <v/>
      </c>
      <c r="C100" s="24">
        <f>JOURNAL!D65</f>
        <v/>
      </c>
      <c r="D100" s="23">
        <f>JOURNAL!Q65</f>
        <v/>
      </c>
      <c r="E100" s="23">
        <f>JOURNAL!R65</f>
        <v/>
      </c>
      <c r="F100" s="23">
        <f>JOURNAL!T65</f>
        <v/>
      </c>
    </row>
    <row r="101" outlineLevel="1" ht="15" customHeight="1" s="15">
      <c r="B101" s="19">
        <f>JOURNAL!C66</f>
        <v/>
      </c>
      <c r="C101" s="24">
        <f>JOURNAL!D66</f>
        <v/>
      </c>
      <c r="D101" s="23">
        <f>JOURNAL!Q66</f>
        <v/>
      </c>
      <c r="E101" s="23">
        <f>JOURNAL!R66</f>
        <v/>
      </c>
      <c r="F101" s="23">
        <f>JOURNAL!T66</f>
        <v/>
      </c>
    </row>
    <row r="102" ht="27.75" customHeight="1" s="15">
      <c r="B102" s="6" t="inlineStr">
        <is>
          <t>ℹ  Reprend directement les lignes de JOURNAL (aucun recalcul) — les lignes vides du tableau n'apparaissent pas (agents non renseignés dans EMPLOYES). Replié par défaut, cliquez sur le « + » pour dérouler.</t>
        </is>
      </c>
    </row>
  </sheetData>
  <mergeCells count="14">
    <mergeCell ref="B21:F21"/>
    <mergeCell ref="A2:F2"/>
    <mergeCell ref="B30:F30"/>
    <mergeCell ref="B27:F27"/>
    <mergeCell ref="B38:F38"/>
    <mergeCell ref="B15:F15"/>
    <mergeCell ref="B25:F25"/>
    <mergeCell ref="A1:F1"/>
    <mergeCell ref="B19:F19"/>
    <mergeCell ref="B8:F8"/>
    <mergeCell ref="B32:F32"/>
    <mergeCell ref="B40:F40"/>
    <mergeCell ref="B102:F102"/>
    <mergeCell ref="B13:F13"/>
  </mergeCells>
  <pageMargins left="0.75" right="0.75" top="1" bottom="1"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W125"/>
  <sheetViews>
    <sheetView showGridLines="0" zoomScaleNormal="100" workbookViewId="0">
      <pane ySplit="3" topLeftCell="A4" activePane="bottomLeft" state="frozen"/>
      <selection pane="bottomLeft" activeCell="A1" sqref="A1:G1"/>
    </sheetView>
  </sheetViews>
  <sheetFormatPr baseColWidth="10" defaultColWidth="8.6640625" defaultRowHeight="14.4"/>
  <cols>
    <col width="4" customWidth="1" style="15" min="1" max="1"/>
    <col width="34" customWidth="1" style="15" min="2" max="2"/>
    <col width="14" customWidth="1" style="15" min="3" max="5"/>
    <col width="16.5546875" customWidth="1" style="15" min="6" max="6"/>
    <col width="40" customWidth="1" style="15" min="7" max="7"/>
    <col width="12" customWidth="1" style="15" min="20" max="20"/>
    <col width="10" customWidth="1" style="15" min="21" max="23"/>
  </cols>
  <sheetData>
    <row r="1" ht="30" customHeight="1" s="15">
      <c r="A1" s="14" t="inlineStr">
        <is>
          <t>TABLEAU DE BORD RH</t>
        </is>
      </c>
    </row>
    <row r="2" ht="18" customHeight="1" s="15">
      <c r="A2" s="13" t="inlineStr">
        <is>
          <t>Morning SARL  —  Maquette de validation  —  Effectifs vivants (EMPLOYES) + mois en cours (JOURNAL)</t>
        </is>
      </c>
    </row>
    <row r="4" ht="21.75" customHeight="1" s="15">
      <c r="B4" s="8" t="inlineStr">
        <is>
          <t xml:space="preserve">  A.  EFFECTIFS</t>
        </is>
      </c>
    </row>
    <row r="5" ht="15" customHeight="1" s="15">
      <c r="B5" s="16" t="inlineStr">
        <is>
          <t>Effectif actif</t>
        </is>
      </c>
      <c r="C5" s="19">
        <f>COUNTIF(EMPLOYES!$T$15:$T$74,"Actif")</f>
        <v/>
      </c>
    </row>
    <row r="6" ht="15" customHeight="1" s="15">
      <c r="B6" s="16" t="inlineStr">
        <is>
          <t>Suspendus</t>
        </is>
      </c>
      <c r="C6" s="19">
        <f>COUNTIF(EMPLOYES!$T$15:$T$74,"Suspendu")</f>
        <v/>
      </c>
    </row>
    <row r="7" ht="15" customHeight="1" s="15">
      <c r="B7" s="16" t="inlineStr">
        <is>
          <t>Sortis</t>
        </is>
      </c>
      <c r="C7" s="19">
        <f>COUNTIF(EMPLOYES!$T$15:$T$74,"Sorti")</f>
        <v/>
      </c>
    </row>
    <row r="8" ht="15" customHeight="1" s="15">
      <c r="B8" s="51" t="inlineStr">
        <is>
          <t>Total inscrit (tous statuts)</t>
        </is>
      </c>
      <c r="C8" s="54">
        <f>COUNTA(EMPLOYES!$C$15:$C$74)</f>
        <v/>
      </c>
    </row>
    <row r="10" ht="15" customHeight="1" s="15">
      <c r="B10" s="32" t="inlineStr">
        <is>
          <t>Catégorie</t>
        </is>
      </c>
      <c r="C10" s="32" t="inlineStr">
        <is>
          <t>Effectif</t>
        </is>
      </c>
      <c r="D10" s="32" t="inlineStr">
        <is>
          <t>% de l'actif</t>
        </is>
      </c>
    </row>
    <row r="11" ht="15" customHeight="1" s="15">
      <c r="B11" s="24" t="inlineStr">
        <is>
          <t>Hommes (actifs)</t>
        </is>
      </c>
      <c r="C11" s="19">
        <f>COUNTIFS(EMPLOYES!$T$15:$T$74,"Actif",EMPLOYES!$E$15:$E$74,"M")</f>
        <v/>
      </c>
      <c r="D11" s="63">
        <f>IFERROR(COUNTIFS(EMPLOYES!$T$15:$T$74,"Actif",EMPLOYES!$E$15:$E$74,"M")/COUNTIF(EMPLOYES!$T$15:$T$74,"Actif"),0)</f>
        <v/>
      </c>
    </row>
    <row r="12" ht="15" customHeight="1" s="15">
      <c r="B12" s="24" t="inlineStr">
        <is>
          <t>Femmes (actives)</t>
        </is>
      </c>
      <c r="C12" s="19">
        <f>COUNTIFS(EMPLOYES!$T$15:$T$74,"Actif",EMPLOYES!$E$15:$E$74,"F")</f>
        <v/>
      </c>
      <c r="D12" s="63">
        <f>IFERROR(COUNTIFS(EMPLOYES!$T$15:$T$74,"Actif",EMPLOYES!$E$15:$E$74,"F")/COUNTIF(EMPLOYES!$T$15:$T$74,"Actif"),0)</f>
        <v/>
      </c>
    </row>
    <row r="13" ht="15" customHeight="1" s="15">
      <c r="B13" s="24" t="inlineStr">
        <is>
          <t>Régime 6 jours</t>
        </is>
      </c>
      <c r="C13" s="19">
        <f>COUNTIFS(EMPLOYES!$T$15:$T$74,"Actif",EMPLOYES!$M$15:$M$74,"6j")</f>
        <v/>
      </c>
      <c r="D13" s="63">
        <f>IFERROR(COUNTIFS(EMPLOYES!$T$15:$T$74,"Actif",EMPLOYES!$M$15:$M$74,"6j")/COUNTIF(EMPLOYES!$T$15:$T$74,"Actif"),0)</f>
        <v/>
      </c>
    </row>
    <row r="14" ht="15" customHeight="1" s="15">
      <c r="B14" s="24" t="inlineStr">
        <is>
          <t>Régime 5 jours</t>
        </is>
      </c>
      <c r="C14" s="19">
        <f>COUNTIFS(EMPLOYES!$T$15:$T$74,"Actif",EMPLOYES!$M$15:$M$74,"5j")</f>
        <v/>
      </c>
      <c r="D14" s="63">
        <f>IFERROR(COUNTIFS(EMPLOYES!$T$15:$T$74,"Actif",EMPLOYES!$M$15:$M$74,"5j")/COUNTIF(EMPLOYES!$T$15:$T$74,"Actif"),0)</f>
        <v/>
      </c>
    </row>
    <row r="15" ht="15" customHeight="1" s="15">
      <c r="B15" s="24" t="inlineStr">
        <is>
          <t>CDI</t>
        </is>
      </c>
      <c r="C15" s="19">
        <f>COUNTIFS(EMPLOYES!$T$15:$T$74,"Actif",EMPLOYES!$L$15:$L$74,"CDI")</f>
        <v/>
      </c>
      <c r="D15" s="63">
        <f>IFERROR(COUNTIFS(EMPLOYES!$T$15:$T$74,"Actif",EMPLOYES!$L$15:$L$74,"CDI")/COUNTIF(EMPLOYES!$T$15:$T$74,"Actif"),0)</f>
        <v/>
      </c>
    </row>
    <row r="16" ht="15" customHeight="1" s="15">
      <c r="B16" s="24" t="inlineStr">
        <is>
          <t>CDD</t>
        </is>
      </c>
      <c r="C16" s="19">
        <f>COUNTIFS(EMPLOYES!$T$15:$T$74,"Actif",EMPLOYES!$L$15:$L$74,"CDD")</f>
        <v/>
      </c>
      <c r="D16" s="63">
        <f>IFERROR(COUNTIFS(EMPLOYES!$T$15:$T$74,"Actif",EMPLOYES!$L$15:$L$74,"CDD")/COUNTIF(EMPLOYES!$T$15:$T$74,"Actif"),0)</f>
        <v/>
      </c>
    </row>
    <row r="17" ht="15" customHeight="1" s="15">
      <c r="B17" s="24" t="inlineStr">
        <is>
          <t>Journalier</t>
        </is>
      </c>
      <c r="C17" s="19">
        <f>COUNTIFS(EMPLOYES!$T$15:$T$74,"Actif",EMPLOYES!$L$15:$L$74,"Journalier")</f>
        <v/>
      </c>
      <c r="D17" s="63">
        <f>IFERROR(COUNTIFS(EMPLOYES!$T$15:$T$74,"Actif",EMPLOYES!$L$15:$L$74,"Journalier")/COUNTIF(EMPLOYES!$T$15:$T$74,"Actif"),0)</f>
        <v/>
      </c>
    </row>
    <row r="18" ht="15" customHeight="1" s="15">
      <c r="B18" s="24" t="inlineStr">
        <is>
          <t>Stage</t>
        </is>
      </c>
      <c r="C18" s="19">
        <f>COUNTIFS(EMPLOYES!$T$15:$T$74,"Actif",EMPLOYES!$L$15:$L$74,"Stage")</f>
        <v/>
      </c>
      <c r="D18" s="63">
        <f>IFERROR(COUNTIFS(EMPLOYES!$T$15:$T$74,"Actif",EMPLOYES!$L$15:$L$74,"Stage")/COUNTIF(EMPLOYES!$T$15:$T$74,"Actif"),0)</f>
        <v/>
      </c>
    </row>
    <row r="20" ht="21.75" customHeight="1" s="15">
      <c r="B20" s="8" t="inlineStr">
        <is>
          <t xml:space="preserve">  B.  PYRAMIDE D'ANCIENNETÉ (agents actifs)</t>
        </is>
      </c>
    </row>
    <row r="21" ht="15" customHeight="1" s="15">
      <c r="B21" s="32" t="inlineStr">
        <is>
          <t>Tranche</t>
        </is>
      </c>
      <c r="C21" s="32" t="inlineStr">
        <is>
          <t>Effectif</t>
        </is>
      </c>
      <c r="D21" s="32" t="inlineStr">
        <is>
          <t>% de l'actif</t>
        </is>
      </c>
    </row>
    <row r="22" ht="15" customHeight="1" s="15">
      <c r="B22" s="24" t="inlineStr">
        <is>
          <t>Moins d'1 an</t>
        </is>
      </c>
      <c r="C22" s="19">
        <f>COUNTIFS(EMPLOYES!$T$15:$T$74,"Actif",EMPLOYES!$W$15:$W$74,"&lt;1")</f>
        <v/>
      </c>
      <c r="D22" s="63">
        <f>IFERROR(COUNTIFS(EMPLOYES!$T$15:$T$74,"Actif",EMPLOYES!$W$15:$W$74,"&lt;1")/COUNTIF(EMPLOYES!$T$15:$T$74,"Actif"),0)</f>
        <v/>
      </c>
    </row>
    <row r="23" ht="15" customHeight="1" s="15">
      <c r="B23" s="24" t="inlineStr">
        <is>
          <t>1 à 3 ans</t>
        </is>
      </c>
      <c r="C23" s="19">
        <f>COUNTIFS(EMPLOYES!$T$15:$T$74,"Actif",EMPLOYES!$W$15:$W$74,"&gt;=1",EMPLOYES!$W$15:$W$74,"&lt;3")</f>
        <v/>
      </c>
      <c r="D23" s="63">
        <f>IFERROR(COUNTIFS(EMPLOYES!$T$15:$T$74,"Actif",EMPLOYES!$W$15:$W$74,"&gt;=1",EMPLOYES!$W$15:$W$74,"&lt;3")/COUNTIF(EMPLOYES!$T$15:$T$74,"Actif"),0)</f>
        <v/>
      </c>
    </row>
    <row r="24" ht="15" customHeight="1" s="15">
      <c r="B24" s="24" t="inlineStr">
        <is>
          <t>3 à 5 ans</t>
        </is>
      </c>
      <c r="C24" s="19">
        <f>COUNTIFS(EMPLOYES!$T$15:$T$74,"Actif",EMPLOYES!$W$15:$W$74,"&gt;=3",EMPLOYES!$W$15:$W$74,"&lt;5")</f>
        <v/>
      </c>
      <c r="D24" s="63">
        <f>IFERROR(COUNTIFS(EMPLOYES!$T$15:$T$74,"Actif",EMPLOYES!$W$15:$W$74,"&gt;=3",EMPLOYES!$W$15:$W$74,"&lt;5")/COUNTIF(EMPLOYES!$T$15:$T$74,"Actif"),0)</f>
        <v/>
      </c>
    </row>
    <row r="25" ht="15" customHeight="1" s="15">
      <c r="B25" s="24" t="inlineStr">
        <is>
          <t>5 à 10 ans</t>
        </is>
      </c>
      <c r="C25" s="19">
        <f>COUNTIFS(EMPLOYES!$T$15:$T$74,"Actif",EMPLOYES!$W$15:$W$74,"&gt;=5",EMPLOYES!$W$15:$W$74,"&lt;10")</f>
        <v/>
      </c>
      <c r="D25" s="63">
        <f>IFERROR(COUNTIFS(EMPLOYES!$T$15:$T$74,"Actif",EMPLOYES!$W$15:$W$74,"&gt;=5",EMPLOYES!$W$15:$W$74,"&lt;10")/COUNTIF(EMPLOYES!$T$15:$T$74,"Actif"),0)</f>
        <v/>
      </c>
    </row>
    <row r="26" ht="15" customHeight="1" s="15">
      <c r="B26" s="24" t="inlineStr">
        <is>
          <t>10 ans et plus</t>
        </is>
      </c>
      <c r="C26" s="19">
        <f>COUNTIFS(EMPLOYES!$T$15:$T$74,"Actif",EMPLOYES!$W$15:$W$74,"&gt;=10")</f>
        <v/>
      </c>
      <c r="D26" s="63">
        <f>IFERROR(COUNTIFS(EMPLOYES!$T$15:$T$74,"Actif",EMPLOYES!$W$15:$W$74,"&gt;=10")/COUNTIF(EMPLOYES!$T$15:$T$74,"Actif"),0)</f>
        <v/>
      </c>
    </row>
    <row r="28" ht="21.75" customHeight="1" s="15">
      <c r="B28" s="8" t="inlineStr">
        <is>
          <t xml:space="preserve">  C.  EFFECTIF PAR DÉPARTEMENT / SECTION</t>
        </is>
      </c>
    </row>
    <row r="29" ht="27.75" customHeight="1" s="15">
      <c r="B29" s="6" t="inlineStr">
        <is>
          <t>ℹ  Liste à adapter : les départements sont saisis librement dans EMPLOYES (texte libre), pas une liste fermée. Ajoutez une ligne ici pour chaque section propre à votre organisation.</t>
        </is>
      </c>
    </row>
    <row r="30" ht="15" customHeight="1" s="15">
      <c r="B30" s="32" t="inlineStr">
        <is>
          <t>Département</t>
        </is>
      </c>
      <c r="C30" s="32" t="inlineStr">
        <is>
          <t>Effectif actif</t>
        </is>
      </c>
    </row>
    <row r="31" ht="15" customHeight="1" s="15">
      <c r="B31" s="24" t="inlineStr">
        <is>
          <t>Administration</t>
        </is>
      </c>
      <c r="C31" s="19">
        <f>COUNTIFS(EMPLOYES!$T$15:$T$74,"Actif",EMPLOYES!$K$15:$K$74,B31)</f>
        <v/>
      </c>
    </row>
    <row r="32" ht="15" customHeight="1" s="15">
      <c r="B32" s="24" t="inlineStr">
        <is>
          <t>Terrain</t>
        </is>
      </c>
      <c r="C32" s="19">
        <f>COUNTIFS(EMPLOYES!$T$15:$T$74,"Actif",EMPLOYES!$K$15:$K$74,B32)</f>
        <v/>
      </c>
    </row>
    <row r="34" ht="21.75" customHeight="1" s="15">
      <c r="B34" s="8" t="inlineStr">
        <is>
          <t xml:space="preserve">  D.  MASSE SALARIALE DU MOIS EN COURS (JOURNAL)</t>
        </is>
      </c>
    </row>
    <row r="35" ht="15" customHeight="1" s="15">
      <c r="B35" s="16" t="inlineStr">
        <is>
          <t>Période</t>
        </is>
      </c>
      <c r="C35" s="19">
        <f>PARAMETRES!$C$30&amp;" "&amp;PARAMETRES!$C$29</f>
        <v/>
      </c>
    </row>
    <row r="36" ht="15" customHeight="1" s="15">
      <c r="B36" s="16" t="inlineStr">
        <is>
          <t>BRUT total</t>
        </is>
      </c>
      <c r="C36" s="23">
        <f>JOURNAL!$Q$67</f>
        <v/>
      </c>
      <c r="D36" s="20" t="inlineStr">
        <is>
          <t>CDF</t>
        </is>
      </c>
    </row>
    <row r="37" ht="15" customHeight="1" s="15">
      <c r="B37" s="16" t="inlineStr">
        <is>
          <t>NET total à payer</t>
        </is>
      </c>
      <c r="C37" s="23">
        <f>JOURNAL!$X$67</f>
        <v/>
      </c>
      <c r="D37" s="20" t="inlineStr">
        <is>
          <t>CDF</t>
        </is>
      </c>
    </row>
    <row r="38" ht="15" customHeight="1" s="15">
      <c r="B38" s="51" t="inlineStr">
        <is>
          <t>Coût total employeur</t>
        </is>
      </c>
      <c r="C38" s="52">
        <f>JOURNAL!$AB$67</f>
        <v/>
      </c>
      <c r="D38" s="20" t="inlineStr">
        <is>
          <t>CDF</t>
        </is>
      </c>
    </row>
    <row r="39" ht="27.75" customHeight="1" s="15">
      <c r="B39" s="6" t="inlineStr">
        <is>
          <t>ℹ  Un seul point dans le temps (le mois piloté par PARAMÈTRES). Une vraie courbe d'évolution sur plusieurs mois nécessite HISTORIQUE (mois clos et figés) — pas encore construit. Afficher une tendance à partir de VARIABLES seul serait trompeur : ce sont des mois prévisionnels/modifiables, pas des mois clos.</t>
        </is>
      </c>
    </row>
    <row r="41" ht="21.75" customHeight="1" s="15">
      <c r="B41" s="8" t="inlineStr">
        <is>
          <t xml:space="preserve">  E.  TENDANCE MENSUELLE — ÉLÉMENTS VARIABLES (données brutes exactes, VARIABLES)</t>
        </is>
      </c>
    </row>
    <row r="42" ht="53.25" customHeight="1" s="15">
      <c r="B42" s="32" t="inlineStr">
        <is>
          <t>Mois</t>
        </is>
      </c>
      <c r="C42" s="32" t="inlineStr">
        <is>
          <t>Primes (CDF)</t>
        </is>
      </c>
      <c r="D42" s="32" t="inlineStr">
        <is>
          <t>Heures sup (nb)</t>
        </is>
      </c>
      <c r="E42" s="32" t="inlineStr">
        <is>
          <t>Absences (jours)</t>
        </is>
      </c>
      <c r="F42" s="32" t="inlineStr">
        <is>
          <t>Avances (CDF)</t>
        </is>
      </c>
    </row>
    <row r="43" ht="15" customHeight="1" s="15">
      <c r="B43" s="19" t="inlineStr">
        <is>
          <t>Janv</t>
        </is>
      </c>
      <c r="C43" s="23">
        <f>SUM(VARIABLES!F12:F71)</f>
        <v/>
      </c>
      <c r="D43" s="48">
        <f>SUM(VARIABLES!E12:E71)</f>
        <v/>
      </c>
      <c r="E43" s="49">
        <f>SUM(VARIABLES!G12:G71)</f>
        <v/>
      </c>
      <c r="F43" s="23">
        <f>SUM(VARIABLES!H12:H71)</f>
        <v/>
      </c>
    </row>
    <row r="44" ht="15" customHeight="1" s="15">
      <c r="B44" s="19" t="inlineStr">
        <is>
          <t>Févr</t>
        </is>
      </c>
      <c r="C44" s="23">
        <f>SUM(VARIABLES!F265:F324)</f>
        <v/>
      </c>
      <c r="D44" s="48">
        <f>SUM(VARIABLES!E265:E324)</f>
        <v/>
      </c>
      <c r="E44" s="49">
        <f>SUM(VARIABLES!G265:G324)</f>
        <v/>
      </c>
      <c r="F44" s="23">
        <f>SUM(VARIABLES!H265:H324)</f>
        <v/>
      </c>
    </row>
    <row r="45" ht="15" customHeight="1" s="15">
      <c r="B45" s="19" t="inlineStr">
        <is>
          <t>Mars</t>
        </is>
      </c>
      <c r="C45" s="23">
        <f>SUM(VARIABLES!F518:F577)</f>
        <v/>
      </c>
      <c r="D45" s="48">
        <f>SUM(VARIABLES!E518:E577)</f>
        <v/>
      </c>
      <c r="E45" s="49">
        <f>SUM(VARIABLES!G518:G577)</f>
        <v/>
      </c>
      <c r="F45" s="23">
        <f>SUM(VARIABLES!H518:H577)</f>
        <v/>
      </c>
    </row>
    <row r="46" ht="15" customHeight="1" s="15">
      <c r="B46" s="19" t="inlineStr">
        <is>
          <t>Avr</t>
        </is>
      </c>
      <c r="C46" s="23">
        <f>SUM(VARIABLES!F771:F830)</f>
        <v/>
      </c>
      <c r="D46" s="48">
        <f>SUM(VARIABLES!E771:E830)</f>
        <v/>
      </c>
      <c r="E46" s="49">
        <f>SUM(VARIABLES!G771:G830)</f>
        <v/>
      </c>
      <c r="F46" s="23">
        <f>SUM(VARIABLES!H771:H830)</f>
        <v/>
      </c>
    </row>
    <row r="47" ht="15" customHeight="1" s="15">
      <c r="B47" s="19" t="inlineStr">
        <is>
          <t>Mai</t>
        </is>
      </c>
      <c r="C47" s="23">
        <f>SUM(VARIABLES!F1024:F1083)</f>
        <v/>
      </c>
      <c r="D47" s="48">
        <f>SUM(VARIABLES!E1024:E1083)</f>
        <v/>
      </c>
      <c r="E47" s="49">
        <f>SUM(VARIABLES!G1024:G1083)</f>
        <v/>
      </c>
      <c r="F47" s="23">
        <f>SUM(VARIABLES!H1024:H1083)</f>
        <v/>
      </c>
    </row>
    <row r="48" ht="15" customHeight="1" s="15">
      <c r="B48" s="19" t="inlineStr">
        <is>
          <t>Juin</t>
        </is>
      </c>
      <c r="C48" s="23">
        <f>SUM(VARIABLES!F1277:F1336)</f>
        <v/>
      </c>
      <c r="D48" s="48">
        <f>SUM(VARIABLES!E1277:E1336)</f>
        <v/>
      </c>
      <c r="E48" s="49">
        <f>SUM(VARIABLES!G1277:G1336)</f>
        <v/>
      </c>
      <c r="F48" s="23">
        <f>SUM(VARIABLES!H1277:H1336)</f>
        <v/>
      </c>
    </row>
    <row r="49" ht="15" customHeight="1" s="15">
      <c r="B49" s="19" t="inlineStr">
        <is>
          <t>Juil</t>
        </is>
      </c>
      <c r="C49" s="23">
        <f>SUM(VARIABLES!F1530:F1589)</f>
        <v/>
      </c>
      <c r="D49" s="48">
        <f>SUM(VARIABLES!E1530:E1589)</f>
        <v/>
      </c>
      <c r="E49" s="49">
        <f>SUM(VARIABLES!G1530:G1589)</f>
        <v/>
      </c>
      <c r="F49" s="23">
        <f>SUM(VARIABLES!H1530:H1589)</f>
        <v/>
      </c>
    </row>
    <row r="50" ht="15" customHeight="1" s="15">
      <c r="B50" s="19" t="inlineStr">
        <is>
          <t>Août</t>
        </is>
      </c>
      <c r="C50" s="23">
        <f>SUM(VARIABLES!F1783:F1842)</f>
        <v/>
      </c>
      <c r="D50" s="48">
        <f>SUM(VARIABLES!E1783:E1842)</f>
        <v/>
      </c>
      <c r="E50" s="49">
        <f>SUM(VARIABLES!G1783:G1842)</f>
        <v/>
      </c>
      <c r="F50" s="23">
        <f>SUM(VARIABLES!H1783:H1842)</f>
        <v/>
      </c>
    </row>
    <row r="51" ht="15" customHeight="1" s="15">
      <c r="B51" s="19" t="inlineStr">
        <is>
          <t>Sept</t>
        </is>
      </c>
      <c r="C51" s="23">
        <f>SUM(VARIABLES!F2036:F2095)</f>
        <v/>
      </c>
      <c r="D51" s="48">
        <f>SUM(VARIABLES!E2036:E2095)</f>
        <v/>
      </c>
      <c r="E51" s="49">
        <f>SUM(VARIABLES!G2036:G2095)</f>
        <v/>
      </c>
      <c r="F51" s="23">
        <f>SUM(VARIABLES!H2036:H2095)</f>
        <v/>
      </c>
    </row>
    <row r="52" ht="15" customHeight="1" s="15">
      <c r="B52" s="19" t="inlineStr">
        <is>
          <t>Oct</t>
        </is>
      </c>
      <c r="C52" s="23">
        <f>SUM(VARIABLES!F2289:F2348)</f>
        <v/>
      </c>
      <c r="D52" s="48">
        <f>SUM(VARIABLES!E2289:E2348)</f>
        <v/>
      </c>
      <c r="E52" s="49">
        <f>SUM(VARIABLES!G2289:G2348)</f>
        <v/>
      </c>
      <c r="F52" s="23">
        <f>SUM(VARIABLES!H2289:H2348)</f>
        <v/>
      </c>
    </row>
    <row r="53" ht="15" customHeight="1" s="15">
      <c r="B53" s="19" t="inlineStr">
        <is>
          <t>Nov</t>
        </is>
      </c>
      <c r="C53" s="23">
        <f>SUM(VARIABLES!F2542:F2601)</f>
        <v/>
      </c>
      <c r="D53" s="48">
        <f>SUM(VARIABLES!E2542:E2601)</f>
        <v/>
      </c>
      <c r="E53" s="49">
        <f>SUM(VARIABLES!G2542:G2601)</f>
        <v/>
      </c>
      <c r="F53" s="23">
        <f>SUM(VARIABLES!H2542:H2601)</f>
        <v/>
      </c>
    </row>
    <row r="54" ht="15" customHeight="1" s="15">
      <c r="B54" s="19" t="inlineStr">
        <is>
          <t>Déc</t>
        </is>
      </c>
      <c r="C54" s="23">
        <f>SUM(VARIABLES!F2795:F2854)</f>
        <v/>
      </c>
      <c r="D54" s="48">
        <f>SUM(VARIABLES!E2795:E2854)</f>
        <v/>
      </c>
      <c r="E54" s="49">
        <f>SUM(VARIABLES!G2795:G2854)</f>
        <v/>
      </c>
      <c r="F54" s="23">
        <f>SUM(VARIABLES!H2795:H2854)</f>
        <v/>
      </c>
    </row>
    <row r="56" ht="27.75" customHeight="1" s="15">
      <c r="B56" s="6" t="inlineStr">
        <is>
          <t>ℹ  Sommes exactes des colonnes de VARIABLES pour chaque bloc mensuel — aucune estimation. Utile pour repérer les tendances (heures sup en hausse, pic d'absences, etc.) indépendamment du calcul complet de la paie.</t>
        </is>
      </c>
    </row>
    <row r="58" ht="21.75" customHeight="1" s="15">
      <c r="B58" s="8" t="inlineStr">
        <is>
          <t xml:space="preserve">  F.  CONSOLIDATION ANNUELLE HONNÊTE (mois clos uniquement, HISTORIQUE)</t>
        </is>
      </c>
    </row>
    <row r="59" ht="27.75" customHeight="1" s="15">
      <c r="B59" s="6" t="inlineStr">
        <is>
          <t>ℹ  Ne compte que les mois marqués « Clos » dans HISTORIQUE — un mois non clôturé affiche vide, pas zéro, et n'entre pas dans le total. Le total se complète tout seul au fil des clôtures mensuelles, sans jamais fausser la moyenne avec des mois vides.</t>
        </is>
      </c>
    </row>
    <row r="60" ht="74.25" customHeight="1" s="15">
      <c r="B60" s="32" t="inlineStr">
        <is>
          <t>Mois</t>
        </is>
      </c>
      <c r="C60" s="32" t="inlineStr">
        <is>
          <t>Statut</t>
        </is>
      </c>
      <c r="D60" s="32" t="inlineStr">
        <is>
          <t>BRUT</t>
        </is>
      </c>
      <c r="E60" s="32" t="inlineStr">
        <is>
          <t>NET à payer</t>
        </is>
      </c>
      <c r="F60" s="32" t="inlineStr">
        <is>
          <t>Coût total employeur</t>
        </is>
      </c>
    </row>
    <row r="61" ht="15" customHeight="1" s="15">
      <c r="B61" s="24" t="inlineStr">
        <is>
          <t>Janvier</t>
        </is>
      </c>
      <c r="C61" s="41">
        <f>HISTORIQUE!$D$14</f>
        <v/>
      </c>
      <c r="D61" s="57">
        <f>IF(HISTORIQUE!$D$14="Clos",SUM(HISTORIQUE!$F$30:$F$89),"")</f>
        <v/>
      </c>
      <c r="E61" s="57">
        <f>IF(HISTORIQUE!$D$14="Clos",SUM(HISTORIQUE!$L$30:$L$89),"")</f>
        <v/>
      </c>
      <c r="F61" s="57">
        <f>IF(HISTORIQUE!$D$14="Clos",SUM(HISTORIQUE!$P$30:$P$89),"")</f>
        <v/>
      </c>
    </row>
    <row r="62" ht="15" customHeight="1" s="15">
      <c r="B62" s="24" t="inlineStr">
        <is>
          <t>Février</t>
        </is>
      </c>
      <c r="C62" s="41">
        <f>HISTORIQUE!$D$15</f>
        <v/>
      </c>
      <c r="D62" s="57">
        <f>IF(HISTORIQUE!$D$15="Clos",SUM(HISTORIQUE!$F$94:$F$153),"")</f>
        <v/>
      </c>
      <c r="E62" s="57">
        <f>IF(HISTORIQUE!$D$15="Clos",SUM(HISTORIQUE!$L$94:$L$153),"")</f>
        <v/>
      </c>
      <c r="F62" s="57">
        <f>IF(HISTORIQUE!$D$15="Clos",SUM(HISTORIQUE!$P$94:$P$153),"")</f>
        <v/>
      </c>
    </row>
    <row r="63" ht="15" customHeight="1" s="15">
      <c r="B63" s="24" t="inlineStr">
        <is>
          <t>Mars</t>
        </is>
      </c>
      <c r="C63" s="41">
        <f>HISTORIQUE!$D$16</f>
        <v/>
      </c>
      <c r="D63" s="57">
        <f>IF(HISTORIQUE!$D$16="Clos",SUM(HISTORIQUE!$F$158:$F$217),"")</f>
        <v/>
      </c>
      <c r="E63" s="57">
        <f>IF(HISTORIQUE!$D$16="Clos",SUM(HISTORIQUE!$L$158:$L$217),"")</f>
        <v/>
      </c>
      <c r="F63" s="57">
        <f>IF(HISTORIQUE!$D$16="Clos",SUM(HISTORIQUE!$P$158:$P$217),"")</f>
        <v/>
      </c>
    </row>
    <row r="64" ht="15" customHeight="1" s="15">
      <c r="B64" s="24" t="inlineStr">
        <is>
          <t>Avril</t>
        </is>
      </c>
      <c r="C64" s="41">
        <f>HISTORIQUE!$D$17</f>
        <v/>
      </c>
      <c r="D64" s="57">
        <f>IF(HISTORIQUE!$D$17="Clos",SUM(HISTORIQUE!$F$222:$F$281),"")</f>
        <v/>
      </c>
      <c r="E64" s="57">
        <f>IF(HISTORIQUE!$D$17="Clos",SUM(HISTORIQUE!$L$222:$L$281),"")</f>
        <v/>
      </c>
      <c r="F64" s="57">
        <f>IF(HISTORIQUE!$D$17="Clos",SUM(HISTORIQUE!$P$222:$P$281),"")</f>
        <v/>
      </c>
    </row>
    <row r="65" ht="15" customHeight="1" s="15">
      <c r="B65" s="24" t="inlineStr">
        <is>
          <t>Mai</t>
        </is>
      </c>
      <c r="C65" s="41">
        <f>HISTORIQUE!$D$18</f>
        <v/>
      </c>
      <c r="D65" s="57">
        <f>IF(HISTORIQUE!$D$18="Clos",SUM(HISTORIQUE!$F$286:$F$345),"")</f>
        <v/>
      </c>
      <c r="E65" s="57">
        <f>IF(HISTORIQUE!$D$18="Clos",SUM(HISTORIQUE!$L$286:$L$345),"")</f>
        <v/>
      </c>
      <c r="F65" s="57">
        <f>IF(HISTORIQUE!$D$18="Clos",SUM(HISTORIQUE!$P$286:$P$345),"")</f>
        <v/>
      </c>
    </row>
    <row r="66" ht="15" customHeight="1" s="15">
      <c r="B66" s="24" t="inlineStr">
        <is>
          <t>Juin</t>
        </is>
      </c>
      <c r="C66" s="41">
        <f>HISTORIQUE!$D$19</f>
        <v/>
      </c>
      <c r="D66" s="57">
        <f>IF(HISTORIQUE!$D$19="Clos",SUM(HISTORIQUE!$F$350:$F$409),"")</f>
        <v/>
      </c>
      <c r="E66" s="57">
        <f>IF(HISTORIQUE!$D$19="Clos",SUM(HISTORIQUE!$L$350:$L$409),"")</f>
        <v/>
      </c>
      <c r="F66" s="57">
        <f>IF(HISTORIQUE!$D$19="Clos",SUM(HISTORIQUE!$P$350:$P$409),"")</f>
        <v/>
      </c>
    </row>
    <row r="67" ht="15" customHeight="1" s="15">
      <c r="B67" s="24" t="inlineStr">
        <is>
          <t>Juillet</t>
        </is>
      </c>
      <c r="C67" s="41">
        <f>HISTORIQUE!$D$20</f>
        <v/>
      </c>
      <c r="D67" s="57">
        <f>IF(HISTORIQUE!$D$20="Clos",SUM(HISTORIQUE!$F$414:$F$473),"")</f>
        <v/>
      </c>
      <c r="E67" s="57">
        <f>IF(HISTORIQUE!$D$20="Clos",SUM(HISTORIQUE!$L$414:$L$473),"")</f>
        <v/>
      </c>
      <c r="F67" s="57">
        <f>IF(HISTORIQUE!$D$20="Clos",SUM(HISTORIQUE!$P$414:$P$473),"")</f>
        <v/>
      </c>
    </row>
    <row r="68" ht="15" customHeight="1" s="15">
      <c r="B68" s="24" t="inlineStr">
        <is>
          <t>Août</t>
        </is>
      </c>
      <c r="C68" s="41">
        <f>HISTORIQUE!$D$21</f>
        <v/>
      </c>
      <c r="D68" s="57">
        <f>IF(HISTORIQUE!$D$21="Clos",SUM(HISTORIQUE!$F$478:$F$537),"")</f>
        <v/>
      </c>
      <c r="E68" s="57">
        <f>IF(HISTORIQUE!$D$21="Clos",SUM(HISTORIQUE!$L$478:$L$537),"")</f>
        <v/>
      </c>
      <c r="F68" s="57">
        <f>IF(HISTORIQUE!$D$21="Clos",SUM(HISTORIQUE!$P$478:$P$537),"")</f>
        <v/>
      </c>
    </row>
    <row r="69" ht="15" customHeight="1" s="15">
      <c r="B69" s="24" t="inlineStr">
        <is>
          <t>Septembre</t>
        </is>
      </c>
      <c r="C69" s="41">
        <f>HISTORIQUE!$D$22</f>
        <v/>
      </c>
      <c r="D69" s="57">
        <f>IF(HISTORIQUE!$D$22="Clos",SUM(HISTORIQUE!$F$542:$F$601),"")</f>
        <v/>
      </c>
      <c r="E69" s="57">
        <f>IF(HISTORIQUE!$D$22="Clos",SUM(HISTORIQUE!$L$542:$L$601),"")</f>
        <v/>
      </c>
      <c r="F69" s="57">
        <f>IF(HISTORIQUE!$D$22="Clos",SUM(HISTORIQUE!$P$542:$P$601),"")</f>
        <v/>
      </c>
    </row>
    <row r="70" ht="15" customHeight="1" s="15">
      <c r="B70" s="24" t="inlineStr">
        <is>
          <t>Octobre</t>
        </is>
      </c>
      <c r="C70" s="41">
        <f>HISTORIQUE!$D$23</f>
        <v/>
      </c>
      <c r="D70" s="57">
        <f>IF(HISTORIQUE!$D$23="Clos",SUM(HISTORIQUE!$F$606:$F$665),"")</f>
        <v/>
      </c>
      <c r="E70" s="57">
        <f>IF(HISTORIQUE!$D$23="Clos",SUM(HISTORIQUE!$L$606:$L$665),"")</f>
        <v/>
      </c>
      <c r="F70" s="57">
        <f>IF(HISTORIQUE!$D$23="Clos",SUM(HISTORIQUE!$P$606:$P$665),"")</f>
        <v/>
      </c>
    </row>
    <row r="71" ht="15" customHeight="1" s="15">
      <c r="B71" s="24" t="inlineStr">
        <is>
          <t>Novembre</t>
        </is>
      </c>
      <c r="C71" s="41">
        <f>HISTORIQUE!$D$24</f>
        <v/>
      </c>
      <c r="D71" s="57">
        <f>IF(HISTORIQUE!$D$24="Clos",SUM(HISTORIQUE!$F$670:$F$729),"")</f>
        <v/>
      </c>
      <c r="E71" s="57">
        <f>IF(HISTORIQUE!$D$24="Clos",SUM(HISTORIQUE!$L$670:$L$729),"")</f>
        <v/>
      </c>
      <c r="F71" s="57">
        <f>IF(HISTORIQUE!$D$24="Clos",SUM(HISTORIQUE!$P$670:$P$729),"")</f>
        <v/>
      </c>
    </row>
    <row r="72" ht="15" customHeight="1" s="15">
      <c r="B72" s="24" t="inlineStr">
        <is>
          <t>Décembre</t>
        </is>
      </c>
      <c r="C72" s="41">
        <f>HISTORIQUE!$D$25</f>
        <v/>
      </c>
      <c r="D72" s="57">
        <f>IF(HISTORIQUE!$D$25="Clos",SUM(HISTORIQUE!$F$734:$F$793),"")</f>
        <v/>
      </c>
      <c r="E72" s="57">
        <f>IF(HISTORIQUE!$D$25="Clos",SUM(HISTORIQUE!$L$734:$L$793),"")</f>
        <v/>
      </c>
      <c r="F72" s="57">
        <f>IF(HISTORIQUE!$D$25="Clos",SUM(HISTORIQUE!$P$734:$P$793),"")</f>
        <v/>
      </c>
    </row>
    <row r="73" ht="15" customHeight="1" s="15">
      <c r="B73" s="64" t="inlineStr">
        <is>
          <t>TOTAL ANNUEL (mois clos)</t>
        </is>
      </c>
      <c r="C73" s="65" t="n"/>
      <c r="D73" s="66">
        <f>SUM(D61:D72)</f>
        <v/>
      </c>
      <c r="E73" s="66">
        <f>SUM(E61:E72)</f>
        <v/>
      </c>
      <c r="F73" s="66">
        <f>SUM(F61:F72)</f>
        <v/>
      </c>
    </row>
    <row r="74" ht="15" customHeight="1" s="15">
      <c r="B74" s="55">
        <f>SUMPRODUCT(--(HISTORIQUE!$D$14:$D$25="Clos"))&amp;" mois clos sur 12"</f>
        <v/>
      </c>
    </row>
    <row r="76" ht="21.75" customHeight="1" s="15">
      <c r="B76" s="8" t="inlineStr">
        <is>
          <t xml:space="preserve">  G.  CONSULTER UN MOIS CLÔTURÉ (indépendant du mois de saisie en cours)</t>
        </is>
      </c>
      <c r="T76" s="55" t="inlineStr">
        <is>
          <t>Janvier</t>
        </is>
      </c>
      <c r="U76" s="55" t="n">
        <v>30</v>
      </c>
      <c r="V76" s="55" t="n">
        <v>89</v>
      </c>
      <c r="W76" s="55" t="n">
        <v>14</v>
      </c>
    </row>
    <row r="77" ht="27.75" customHeight="1" s="15">
      <c r="B77" s="6" t="inlineStr">
        <is>
          <t>ℹ  Ce sélecteur ne touche pas à PARAMÈTRES (mois de saisie en cours) — vous pouvez consulter un mois archivé pendant que VARIABLES reste ouvert sur un autre mois pour la saisie.</t>
        </is>
      </c>
      <c r="T77" s="55" t="inlineStr">
        <is>
          <t>Février</t>
        </is>
      </c>
      <c r="U77" s="55" t="n">
        <v>94</v>
      </c>
      <c r="V77" s="55" t="n">
        <v>153</v>
      </c>
      <c r="W77" s="55" t="n">
        <v>15</v>
      </c>
    </row>
    <row r="78" ht="15" customHeight="1" s="15">
      <c r="B78" s="16" t="inlineStr">
        <is>
          <t>Mois à consulter</t>
        </is>
      </c>
      <c r="C78" s="17" t="inlineStr">
        <is>
          <t>Janvier</t>
        </is>
      </c>
      <c r="T78" s="55" t="inlineStr">
        <is>
          <t>Mars</t>
        </is>
      </c>
      <c r="U78" s="55" t="n">
        <v>158</v>
      </c>
      <c r="V78" s="55" t="n">
        <v>217</v>
      </c>
      <c r="W78" s="55" t="n">
        <v>16</v>
      </c>
    </row>
    <row r="79" ht="15" customHeight="1" s="15">
      <c r="B79" s="16" t="inlineStr">
        <is>
          <t>Statut</t>
        </is>
      </c>
      <c r="C79" s="19">
        <f>INDEX(HISTORIQUE!$D$14:$D$25,MATCH($C$78,T76:T87,0))</f>
        <v/>
      </c>
      <c r="T79" s="55" t="inlineStr">
        <is>
          <t>Avril</t>
        </is>
      </c>
      <c r="U79" s="55" t="n">
        <v>222</v>
      </c>
      <c r="V79" s="55" t="n">
        <v>281</v>
      </c>
      <c r="W79" s="55" t="n">
        <v>17</v>
      </c>
    </row>
    <row r="80" ht="23.25" customHeight="1" s="15">
      <c r="B80" s="16" t="inlineStr">
        <is>
          <t>BRUT du mois consulté</t>
        </is>
      </c>
      <c r="C80" s="23">
        <f>IF($C$79&lt;&gt;"Clos","(mois non clôturé)",SUM(INDIRECT("HISTORIQUE!F"&amp;INDEX(U76:U87,MATCH($C$78,T76:T87,0))&amp;":F"&amp;INDEX(V76:V87,MATCH($C$78,T76:T87,0)))))</f>
        <v/>
      </c>
      <c r="T80" s="55" t="inlineStr">
        <is>
          <t>Mai</t>
        </is>
      </c>
      <c r="U80" s="55" t="n">
        <v>286</v>
      </c>
      <c r="V80" s="55" t="n">
        <v>345</v>
      </c>
      <c r="W80" s="55" t="n">
        <v>18</v>
      </c>
    </row>
    <row r="81" ht="23.25" customHeight="1" s="15">
      <c r="B81" s="16" t="inlineStr">
        <is>
          <t>NET à payer du mois consulté</t>
        </is>
      </c>
      <c r="C81" s="23">
        <f>IF($C$79&lt;&gt;"Clos","(mois non clôturé)",SUM(INDIRECT("HISTORIQUE!L"&amp;INDEX(U76:U87,MATCH($C$78,T76:T87,0))&amp;":L"&amp;INDEX(V76:V87,MATCH($C$78,T76:T87,0)))))</f>
        <v/>
      </c>
      <c r="T81" s="55" t="inlineStr">
        <is>
          <t>Juin</t>
        </is>
      </c>
      <c r="U81" s="55" t="n">
        <v>350</v>
      </c>
      <c r="V81" s="55" t="n">
        <v>409</v>
      </c>
      <c r="W81" s="55" t="n">
        <v>19</v>
      </c>
    </row>
    <row r="82" ht="23.25" customHeight="1" s="15">
      <c r="B82" s="16" t="inlineStr">
        <is>
          <t>Coût total employeur du mois consulté</t>
        </is>
      </c>
      <c r="C82" s="23">
        <f>IF($C$79&lt;&gt;"Clos","(mois non clôturé)",SUM(INDIRECT("HISTORIQUE!P"&amp;INDEX(U76:U87,MATCH($C$78,T76:T87,0))&amp;":P"&amp;INDEX(V76:V87,MATCH($C$78,T76:T87,0)))))</f>
        <v/>
      </c>
      <c r="T82" s="55" t="inlineStr">
        <is>
          <t>Juillet</t>
        </is>
      </c>
      <c r="U82" s="55" t="n">
        <v>414</v>
      </c>
      <c r="V82" s="55" t="n">
        <v>473</v>
      </c>
      <c r="W82" s="55" t="n">
        <v>20</v>
      </c>
    </row>
    <row r="83" ht="15" customHeight="1" s="15">
      <c r="T83" s="55" t="inlineStr">
        <is>
          <t>Août</t>
        </is>
      </c>
      <c r="U83" s="55" t="n">
        <v>478</v>
      </c>
      <c r="V83" s="55" t="n">
        <v>537</v>
      </c>
      <c r="W83" s="55" t="n">
        <v>21</v>
      </c>
    </row>
    <row r="84" ht="15" customHeight="1" s="15">
      <c r="T84" s="55" t="inlineStr">
        <is>
          <t>Septembre</t>
        </is>
      </c>
      <c r="U84" s="55" t="n">
        <v>542</v>
      </c>
      <c r="V84" s="55" t="n">
        <v>601</v>
      </c>
      <c r="W84" s="55" t="n">
        <v>22</v>
      </c>
    </row>
    <row r="85" ht="15" customHeight="1" s="15">
      <c r="T85" s="55" t="inlineStr">
        <is>
          <t>Octobre</t>
        </is>
      </c>
      <c r="U85" s="55" t="n">
        <v>606</v>
      </c>
      <c r="V85" s="55" t="n">
        <v>665</v>
      </c>
      <c r="W85" s="55" t="n">
        <v>23</v>
      </c>
    </row>
    <row r="86" ht="15" customHeight="1" s="15">
      <c r="T86" s="55" t="inlineStr">
        <is>
          <t>Novembre</t>
        </is>
      </c>
      <c r="U86" s="55" t="n">
        <v>670</v>
      </c>
      <c r="V86" s="55" t="n">
        <v>729</v>
      </c>
      <c r="W86" s="55" t="n">
        <v>24</v>
      </c>
    </row>
    <row r="87" ht="15" customHeight="1" s="15">
      <c r="T87" s="55" t="inlineStr">
        <is>
          <t>Décembre</t>
        </is>
      </c>
      <c r="U87" s="55" t="n">
        <v>734</v>
      </c>
      <c r="V87" s="55" t="n">
        <v>793</v>
      </c>
      <c r="W87" s="55" t="n">
        <v>25</v>
      </c>
    </row>
    <row r="89" ht="21.75" customHeight="1" s="15">
      <c r="B89" s="8" t="inlineStr">
        <is>
          <t xml:space="preserve">  H.  LISTES FILTRÉES — MOIS DE SAISIE EN COURS (PARAMÈTRES)</t>
        </is>
      </c>
    </row>
    <row r="90" ht="33.75" customHeight="1" s="15">
      <c r="B90" s="6" t="inlineStr">
        <is>
          <t>ℹ  Extraction sans FILTER/UNIQUE (incompatibles avec notre moteur de recalcul) — technique à index cumulatif reprise de la Fiche d'Imputation Lobii Group. Les lignes vides ci-dessous sont normales : elles se remplissent au fur et à mesure qu'il y a des agents concernés.</t>
        </is>
      </c>
    </row>
    <row r="91" ht="15" customHeight="1" s="15">
      <c r="B91" s="34" t="inlineStr">
        <is>
          <t>Agents avec absences ce mois</t>
        </is>
      </c>
    </row>
    <row r="92" ht="15" customHeight="1" s="15">
      <c r="B92" s="32" t="inlineStr">
        <is>
          <t>Matricule</t>
        </is>
      </c>
      <c r="C92" s="32" t="inlineStr">
        <is>
          <t>Nom</t>
        </is>
      </c>
      <c r="D92" s="32" t="inlineStr">
        <is>
          <t>Jours d'absence</t>
        </is>
      </c>
    </row>
    <row r="93" ht="15" customHeight="1" s="15">
      <c r="B93" s="41">
        <f>IFERROR(INDEX(JOURNAL!$C$7:$C$66,MATCH(1,JOURNAL!$AD$7:$AD$66,0)),"")</f>
        <v/>
      </c>
      <c r="C93" s="56">
        <f>IFERROR(INDEX(JOURNAL!$D$7:$D$66,MATCH(1,JOURNAL!$AD$7:$AD$66,0)),"")</f>
        <v/>
      </c>
      <c r="D93" s="58">
        <f>IFERROR(INDEX(JOURNAL!$I$7:$I$66,MATCH(1,JOURNAL!$AD$7:$AD$66,0)),"")</f>
        <v/>
      </c>
    </row>
    <row r="94" ht="15" customHeight="1" s="15">
      <c r="B94" s="41">
        <f>IFERROR(INDEX(JOURNAL!$C$7:$C$66,MATCH(2,JOURNAL!$AD$7:$AD$66,0)),"")</f>
        <v/>
      </c>
      <c r="C94" s="56">
        <f>IFERROR(INDEX(JOURNAL!$D$7:$D$66,MATCH(2,JOURNAL!$AD$7:$AD$66,0)),"")</f>
        <v/>
      </c>
      <c r="D94" s="41">
        <f>IFERROR(INDEX(JOURNAL!$I$7:$I$66,MATCH(2,JOURNAL!$AD$7:$AD$66,0)),"")</f>
        <v/>
      </c>
    </row>
    <row r="95" ht="15" customHeight="1" s="15">
      <c r="B95" s="41">
        <f>IFERROR(INDEX(JOURNAL!$C$7:$C$66,MATCH(3,JOURNAL!$AD$7:$AD$66,0)),"")</f>
        <v/>
      </c>
      <c r="C95" s="56">
        <f>IFERROR(INDEX(JOURNAL!$D$7:$D$66,MATCH(3,JOURNAL!$AD$7:$AD$66,0)),"")</f>
        <v/>
      </c>
      <c r="D95" s="41">
        <f>IFERROR(INDEX(JOURNAL!$I$7:$I$66,MATCH(3,JOURNAL!$AD$7:$AD$66,0)),"")</f>
        <v/>
      </c>
    </row>
    <row r="96" ht="15" customHeight="1" s="15">
      <c r="B96" s="41">
        <f>IFERROR(INDEX(JOURNAL!$C$7:$C$66,MATCH(4,JOURNAL!$AD$7:$AD$66,0)),"")</f>
        <v/>
      </c>
      <c r="C96" s="56">
        <f>IFERROR(INDEX(JOURNAL!$D$7:$D$66,MATCH(4,JOURNAL!$AD$7:$AD$66,0)),"")</f>
        <v/>
      </c>
      <c r="D96" s="41">
        <f>IFERROR(INDEX(JOURNAL!$I$7:$I$66,MATCH(4,JOURNAL!$AD$7:$AD$66,0)),"")</f>
        <v/>
      </c>
    </row>
    <row r="97" ht="15" customHeight="1" s="15">
      <c r="B97" s="41">
        <f>IFERROR(INDEX(JOURNAL!$C$7:$C$66,MATCH(5,JOURNAL!$AD$7:$AD$66,0)),"")</f>
        <v/>
      </c>
      <c r="C97" s="56">
        <f>IFERROR(INDEX(JOURNAL!$D$7:$D$66,MATCH(5,JOURNAL!$AD$7:$AD$66,0)),"")</f>
        <v/>
      </c>
      <c r="D97" s="41">
        <f>IFERROR(INDEX(JOURNAL!$I$7:$I$66,MATCH(5,JOURNAL!$AD$7:$AD$66,0)),"")</f>
        <v/>
      </c>
    </row>
    <row r="98" ht="15" customHeight="1" s="15">
      <c r="B98" s="41">
        <f>IFERROR(INDEX(JOURNAL!$C$7:$C$66,MATCH(6,JOURNAL!$AD$7:$AD$66,0)),"")</f>
        <v/>
      </c>
      <c r="C98" s="56">
        <f>IFERROR(INDEX(JOURNAL!$D$7:$D$66,MATCH(6,JOURNAL!$AD$7:$AD$66,0)),"")</f>
        <v/>
      </c>
      <c r="D98" s="41">
        <f>IFERROR(INDEX(JOURNAL!$I$7:$I$66,MATCH(6,JOURNAL!$AD$7:$AD$66,0)),"")</f>
        <v/>
      </c>
    </row>
    <row r="99" ht="15" customHeight="1" s="15">
      <c r="B99" s="41">
        <f>IFERROR(INDEX(JOURNAL!$C$7:$C$66,MATCH(7,JOURNAL!$AD$7:$AD$66,0)),"")</f>
        <v/>
      </c>
      <c r="C99" s="56">
        <f>IFERROR(INDEX(JOURNAL!$D$7:$D$66,MATCH(7,JOURNAL!$AD$7:$AD$66,0)),"")</f>
        <v/>
      </c>
      <c r="D99" s="41">
        <f>IFERROR(INDEX(JOURNAL!$I$7:$I$66,MATCH(7,JOURNAL!$AD$7:$AD$66,0)),"")</f>
        <v/>
      </c>
    </row>
    <row r="100" ht="15" customHeight="1" s="15">
      <c r="B100" s="41">
        <f>IFERROR(INDEX(JOURNAL!$C$7:$C$66,MATCH(8,JOURNAL!$AD$7:$AD$66,0)),"")</f>
        <v/>
      </c>
      <c r="C100" s="56">
        <f>IFERROR(INDEX(JOURNAL!$D$7:$D$66,MATCH(8,JOURNAL!$AD$7:$AD$66,0)),"")</f>
        <v/>
      </c>
      <c r="D100" s="41">
        <f>IFERROR(INDEX(JOURNAL!$I$7:$I$66,MATCH(8,JOURNAL!$AD$7:$AD$66,0)),"")</f>
        <v/>
      </c>
    </row>
    <row r="101" ht="15" customHeight="1" s="15">
      <c r="B101" s="41">
        <f>IFERROR(INDEX(JOURNAL!$C$7:$C$66,MATCH(9,JOURNAL!$AD$7:$AD$66,0)),"")</f>
        <v/>
      </c>
      <c r="C101" s="56">
        <f>IFERROR(INDEX(JOURNAL!$D$7:$D$66,MATCH(9,JOURNAL!$AD$7:$AD$66,0)),"")</f>
        <v/>
      </c>
      <c r="D101" s="41">
        <f>IFERROR(INDEX(JOURNAL!$I$7:$I$66,MATCH(9,JOURNAL!$AD$7:$AD$66,0)),"")</f>
        <v/>
      </c>
    </row>
    <row r="102" ht="15" customHeight="1" s="15">
      <c r="B102" s="41">
        <f>IFERROR(INDEX(JOURNAL!$C$7:$C$66,MATCH(10,JOURNAL!$AD$7:$AD$66,0)),"")</f>
        <v/>
      </c>
      <c r="C102" s="56">
        <f>IFERROR(INDEX(JOURNAL!$D$7:$D$66,MATCH(10,JOURNAL!$AD$7:$AD$66,0)),"")</f>
        <v/>
      </c>
      <c r="D102" s="41">
        <f>IFERROR(INDEX(JOURNAL!$I$7:$I$66,MATCH(10,JOURNAL!$AD$7:$AD$66,0)),"")</f>
        <v/>
      </c>
    </row>
    <row r="103" ht="15" customHeight="1" s="15">
      <c r="B103" s="41">
        <f>IFERROR(INDEX(JOURNAL!$C$7:$C$66,MATCH(11,JOURNAL!$AD$7:$AD$66,0)),"")</f>
        <v/>
      </c>
      <c r="C103" s="56">
        <f>IFERROR(INDEX(JOURNAL!$D$7:$D$66,MATCH(11,JOURNAL!$AD$7:$AD$66,0)),"")</f>
        <v/>
      </c>
      <c r="D103" s="41">
        <f>IFERROR(INDEX(JOURNAL!$I$7:$I$66,MATCH(11,JOURNAL!$AD$7:$AD$66,0)),"")</f>
        <v/>
      </c>
    </row>
    <row r="104" ht="15" customHeight="1" s="15">
      <c r="B104" s="41">
        <f>IFERROR(INDEX(JOURNAL!$C$7:$C$66,MATCH(12,JOURNAL!$AD$7:$AD$66,0)),"")</f>
        <v/>
      </c>
      <c r="C104" s="56">
        <f>IFERROR(INDEX(JOURNAL!$D$7:$D$66,MATCH(12,JOURNAL!$AD$7:$AD$66,0)),"")</f>
        <v/>
      </c>
      <c r="D104" s="41">
        <f>IFERROR(INDEX(JOURNAL!$I$7:$I$66,MATCH(12,JOURNAL!$AD$7:$AD$66,0)),"")</f>
        <v/>
      </c>
    </row>
    <row r="105" ht="15" customHeight="1" s="15">
      <c r="B105" s="41">
        <f>IFERROR(INDEX(JOURNAL!$C$7:$C$66,MATCH(13,JOURNAL!$AD$7:$AD$66,0)),"")</f>
        <v/>
      </c>
      <c r="C105" s="56">
        <f>IFERROR(INDEX(JOURNAL!$D$7:$D$66,MATCH(13,JOURNAL!$AD$7:$AD$66,0)),"")</f>
        <v/>
      </c>
      <c r="D105" s="41">
        <f>IFERROR(INDEX(JOURNAL!$I$7:$I$66,MATCH(13,JOURNAL!$AD$7:$AD$66,0)),"")</f>
        <v/>
      </c>
    </row>
    <row r="106" ht="15" customHeight="1" s="15">
      <c r="B106" s="41">
        <f>IFERROR(INDEX(JOURNAL!$C$7:$C$66,MATCH(14,JOURNAL!$AD$7:$AD$66,0)),"")</f>
        <v/>
      </c>
      <c r="C106" s="56">
        <f>IFERROR(INDEX(JOURNAL!$D$7:$D$66,MATCH(14,JOURNAL!$AD$7:$AD$66,0)),"")</f>
        <v/>
      </c>
      <c r="D106" s="41">
        <f>IFERROR(INDEX(JOURNAL!$I$7:$I$66,MATCH(14,JOURNAL!$AD$7:$AD$66,0)),"")</f>
        <v/>
      </c>
    </row>
    <row r="107" ht="15" customHeight="1" s="15">
      <c r="B107" s="41">
        <f>IFERROR(INDEX(JOURNAL!$C$7:$C$66,MATCH(15,JOURNAL!$AD$7:$AD$66,0)),"")</f>
        <v/>
      </c>
      <c r="C107" s="56">
        <f>IFERROR(INDEX(JOURNAL!$D$7:$D$66,MATCH(15,JOURNAL!$AD$7:$AD$66,0)),"")</f>
        <v/>
      </c>
      <c r="D107" s="41">
        <f>IFERROR(INDEX(JOURNAL!$I$7:$I$66,MATCH(15,JOURNAL!$AD$7:$AD$66,0)),"")</f>
        <v/>
      </c>
    </row>
    <row r="109" ht="15" customHeight="1" s="15">
      <c r="B109" s="34" t="inlineStr">
        <is>
          <t>Agents avec avance en cours ce mois</t>
        </is>
      </c>
    </row>
    <row r="110" ht="15" customHeight="1" s="15">
      <c r="B110" s="32" t="inlineStr">
        <is>
          <t>Matricule</t>
        </is>
      </c>
      <c r="C110" s="32" t="inlineStr">
        <is>
          <t>Nom</t>
        </is>
      </c>
      <c r="D110" s="32" t="inlineStr">
        <is>
          <t>Avance (CDF)</t>
        </is>
      </c>
    </row>
    <row r="111" ht="15" customHeight="1" s="15">
      <c r="B111" s="41">
        <f>IFERROR(INDEX(JOURNAL!$C$7:$C$66,MATCH(1,JOURNAL!$AF$7:$AF$66,0)),"")</f>
        <v/>
      </c>
      <c r="C111" s="56">
        <f>IFERROR(INDEX(JOURNAL!$D$7:$D$66,MATCH(1,JOURNAL!$AF$7:$AF$66,0)),"")</f>
        <v/>
      </c>
      <c r="D111" s="57">
        <f>IFERROR(INDEX(JOURNAL!$V$7:$V$66,MATCH(1,JOURNAL!$AF$7:$AF$66,0)),"")</f>
        <v/>
      </c>
    </row>
    <row r="112" ht="15" customHeight="1" s="15">
      <c r="B112" s="41">
        <f>IFERROR(INDEX(JOURNAL!$C$7:$C$66,MATCH(2,JOURNAL!$AF$7:$AF$66,0)),"")</f>
        <v/>
      </c>
      <c r="C112" s="56">
        <f>IFERROR(INDEX(JOURNAL!$D$7:$D$66,MATCH(2,JOURNAL!$AF$7:$AF$66,0)),"")</f>
        <v/>
      </c>
      <c r="D112" s="57">
        <f>IFERROR(INDEX(JOURNAL!$V$7:$V$66,MATCH(2,JOURNAL!$AF$7:$AF$66,0)),"")</f>
        <v/>
      </c>
    </row>
    <row r="113" ht="15" customHeight="1" s="15">
      <c r="B113" s="41">
        <f>IFERROR(INDEX(JOURNAL!$C$7:$C$66,MATCH(3,JOURNAL!$AF$7:$AF$66,0)),"")</f>
        <v/>
      </c>
      <c r="C113" s="56">
        <f>IFERROR(INDEX(JOURNAL!$D$7:$D$66,MATCH(3,JOURNAL!$AF$7:$AF$66,0)),"")</f>
        <v/>
      </c>
      <c r="D113" s="57">
        <f>IFERROR(INDEX(JOURNAL!$V$7:$V$66,MATCH(3,JOURNAL!$AF$7:$AF$66,0)),"")</f>
        <v/>
      </c>
    </row>
    <row r="114" ht="15" customHeight="1" s="15">
      <c r="B114" s="41">
        <f>IFERROR(INDEX(JOURNAL!$C$7:$C$66,MATCH(4,JOURNAL!$AF$7:$AF$66,0)),"")</f>
        <v/>
      </c>
      <c r="C114" s="56">
        <f>IFERROR(INDEX(JOURNAL!$D$7:$D$66,MATCH(4,JOURNAL!$AF$7:$AF$66,0)),"")</f>
        <v/>
      </c>
      <c r="D114" s="57">
        <f>IFERROR(INDEX(JOURNAL!$V$7:$V$66,MATCH(4,JOURNAL!$AF$7:$AF$66,0)),"")</f>
        <v/>
      </c>
    </row>
    <row r="115" ht="15" customHeight="1" s="15">
      <c r="B115" s="41">
        <f>IFERROR(INDEX(JOURNAL!$C$7:$C$66,MATCH(5,JOURNAL!$AF$7:$AF$66,0)),"")</f>
        <v/>
      </c>
      <c r="C115" s="56">
        <f>IFERROR(INDEX(JOURNAL!$D$7:$D$66,MATCH(5,JOURNAL!$AF$7:$AF$66,0)),"")</f>
        <v/>
      </c>
      <c r="D115" s="57">
        <f>IFERROR(INDEX(JOURNAL!$V$7:$V$66,MATCH(5,JOURNAL!$AF$7:$AF$66,0)),"")</f>
        <v/>
      </c>
    </row>
    <row r="116" ht="15" customHeight="1" s="15">
      <c r="B116" s="41">
        <f>IFERROR(INDEX(JOURNAL!$C$7:$C$66,MATCH(6,JOURNAL!$AF$7:$AF$66,0)),"")</f>
        <v/>
      </c>
      <c r="C116" s="56">
        <f>IFERROR(INDEX(JOURNAL!$D$7:$D$66,MATCH(6,JOURNAL!$AF$7:$AF$66,0)),"")</f>
        <v/>
      </c>
      <c r="D116" s="57">
        <f>IFERROR(INDEX(JOURNAL!$V$7:$V$66,MATCH(6,JOURNAL!$AF$7:$AF$66,0)),"")</f>
        <v/>
      </c>
    </row>
    <row r="117" ht="15" customHeight="1" s="15">
      <c r="B117" s="41">
        <f>IFERROR(INDEX(JOURNAL!$C$7:$C$66,MATCH(7,JOURNAL!$AF$7:$AF$66,0)),"")</f>
        <v/>
      </c>
      <c r="C117" s="56">
        <f>IFERROR(INDEX(JOURNAL!$D$7:$D$66,MATCH(7,JOURNAL!$AF$7:$AF$66,0)),"")</f>
        <v/>
      </c>
      <c r="D117" s="57">
        <f>IFERROR(INDEX(JOURNAL!$V$7:$V$66,MATCH(7,JOURNAL!$AF$7:$AF$66,0)),"")</f>
        <v/>
      </c>
    </row>
    <row r="118" ht="15" customHeight="1" s="15">
      <c r="B118" s="41">
        <f>IFERROR(INDEX(JOURNAL!$C$7:$C$66,MATCH(8,JOURNAL!$AF$7:$AF$66,0)),"")</f>
        <v/>
      </c>
      <c r="C118" s="56">
        <f>IFERROR(INDEX(JOURNAL!$D$7:$D$66,MATCH(8,JOURNAL!$AF$7:$AF$66,0)),"")</f>
        <v/>
      </c>
      <c r="D118" s="57">
        <f>IFERROR(INDEX(JOURNAL!$V$7:$V$66,MATCH(8,JOURNAL!$AF$7:$AF$66,0)),"")</f>
        <v/>
      </c>
    </row>
    <row r="119" ht="15" customHeight="1" s="15">
      <c r="B119" s="41">
        <f>IFERROR(INDEX(JOURNAL!$C$7:$C$66,MATCH(9,JOURNAL!$AF$7:$AF$66,0)),"")</f>
        <v/>
      </c>
      <c r="C119" s="56">
        <f>IFERROR(INDEX(JOURNAL!$D$7:$D$66,MATCH(9,JOURNAL!$AF$7:$AF$66,0)),"")</f>
        <v/>
      </c>
      <c r="D119" s="57">
        <f>IFERROR(INDEX(JOURNAL!$V$7:$V$66,MATCH(9,JOURNAL!$AF$7:$AF$66,0)),"")</f>
        <v/>
      </c>
    </row>
    <row r="120" ht="15" customHeight="1" s="15">
      <c r="B120" s="41">
        <f>IFERROR(INDEX(JOURNAL!$C$7:$C$66,MATCH(10,JOURNAL!$AF$7:$AF$66,0)),"")</f>
        <v/>
      </c>
      <c r="C120" s="56">
        <f>IFERROR(INDEX(JOURNAL!$D$7:$D$66,MATCH(10,JOURNAL!$AF$7:$AF$66,0)),"")</f>
        <v/>
      </c>
      <c r="D120" s="57">
        <f>IFERROR(INDEX(JOURNAL!$V$7:$V$66,MATCH(10,JOURNAL!$AF$7:$AF$66,0)),"")</f>
        <v/>
      </c>
    </row>
    <row r="121" ht="15" customHeight="1" s="15">
      <c r="B121" s="41">
        <f>IFERROR(INDEX(JOURNAL!$C$7:$C$66,MATCH(11,JOURNAL!$AF$7:$AF$66,0)),"")</f>
        <v/>
      </c>
      <c r="C121" s="56">
        <f>IFERROR(INDEX(JOURNAL!$D$7:$D$66,MATCH(11,JOURNAL!$AF$7:$AF$66,0)),"")</f>
        <v/>
      </c>
      <c r="D121" s="57">
        <f>IFERROR(INDEX(JOURNAL!$V$7:$V$66,MATCH(11,JOURNAL!$AF$7:$AF$66,0)),"")</f>
        <v/>
      </c>
    </row>
    <row r="122" ht="15" customHeight="1" s="15">
      <c r="B122" s="41">
        <f>IFERROR(INDEX(JOURNAL!$C$7:$C$66,MATCH(12,JOURNAL!$AF$7:$AF$66,0)),"")</f>
        <v/>
      </c>
      <c r="C122" s="56">
        <f>IFERROR(INDEX(JOURNAL!$D$7:$D$66,MATCH(12,JOURNAL!$AF$7:$AF$66,0)),"")</f>
        <v/>
      </c>
      <c r="D122" s="57">
        <f>IFERROR(INDEX(JOURNAL!$V$7:$V$66,MATCH(12,JOURNAL!$AF$7:$AF$66,0)),"")</f>
        <v/>
      </c>
    </row>
    <row r="123" ht="15" customHeight="1" s="15">
      <c r="B123" s="41">
        <f>IFERROR(INDEX(JOURNAL!$C$7:$C$66,MATCH(13,JOURNAL!$AF$7:$AF$66,0)),"")</f>
        <v/>
      </c>
      <c r="C123" s="56">
        <f>IFERROR(INDEX(JOURNAL!$D$7:$D$66,MATCH(13,JOURNAL!$AF$7:$AF$66,0)),"")</f>
        <v/>
      </c>
      <c r="D123" s="57">
        <f>IFERROR(INDEX(JOURNAL!$V$7:$V$66,MATCH(13,JOURNAL!$AF$7:$AF$66,0)),"")</f>
        <v/>
      </c>
    </row>
    <row r="124" ht="15" customHeight="1" s="15">
      <c r="B124" s="41">
        <f>IFERROR(INDEX(JOURNAL!$C$7:$C$66,MATCH(14,JOURNAL!$AF$7:$AF$66,0)),"")</f>
        <v/>
      </c>
      <c r="C124" s="56">
        <f>IFERROR(INDEX(JOURNAL!$D$7:$D$66,MATCH(14,JOURNAL!$AF$7:$AF$66,0)),"")</f>
        <v/>
      </c>
      <c r="D124" s="57">
        <f>IFERROR(INDEX(JOURNAL!$V$7:$V$66,MATCH(14,JOURNAL!$AF$7:$AF$66,0)),"")</f>
        <v/>
      </c>
    </row>
    <row r="125" ht="15" customHeight="1" s="15">
      <c r="B125" s="41">
        <f>IFERROR(INDEX(JOURNAL!$C$7:$C$66,MATCH(15,JOURNAL!$AF$7:$AF$66,0)),"")</f>
        <v/>
      </c>
      <c r="C125" s="56">
        <f>IFERROR(INDEX(JOURNAL!$D$7:$D$66,MATCH(15,JOURNAL!$AF$7:$AF$66,0)),"")</f>
        <v/>
      </c>
      <c r="D125" s="57">
        <f>IFERROR(INDEX(JOURNAL!$V$7:$V$66,MATCH(15,JOURNAL!$AF$7:$AF$66,0)),"")</f>
        <v/>
      </c>
    </row>
  </sheetData>
  <mergeCells count="16">
    <mergeCell ref="B20:G20"/>
    <mergeCell ref="B34:G34"/>
    <mergeCell ref="B89:G89"/>
    <mergeCell ref="B90:G90"/>
    <mergeCell ref="B59:G59"/>
    <mergeCell ref="A1:G1"/>
    <mergeCell ref="B28:G28"/>
    <mergeCell ref="B76:G76"/>
    <mergeCell ref="B41:G41"/>
    <mergeCell ref="B4:G4"/>
    <mergeCell ref="A2:G2"/>
    <mergeCell ref="B58:G58"/>
    <mergeCell ref="B56:G56"/>
    <mergeCell ref="B77:G77"/>
    <mergeCell ref="B29:G29"/>
    <mergeCell ref="B39:G39"/>
  </mergeCells>
  <dataValidations count="1">
    <dataValidation sqref="C78" showDropDown="0" showInputMessage="0" showErrorMessage="0" allowBlank="0" type="list">
      <formula1>"Janvier,Février,Mars,Avril,Mai,Juin,Juillet,Août,Septembre,Octobre,Novembre,Décembre"</formula1>
      <formula2>0</formula2>
    </dataValidation>
  </dataValidations>
  <pageMargins left="0.75" right="0.75" top="1" bottom="1" header="0.511811023622047" footer="0.511811023622047"/>
  <pageSetup orientation="portrait" paperSize="9" horizontalDpi="300" verticalDpi="300"/>
</worksheet>
</file>

<file path=xl/worksheets/sheet8.xml><?xml version="1.0" encoding="utf-8"?>
<worksheet xmlns="http://schemas.openxmlformats.org/spreadsheetml/2006/main">
  <sheetPr>
    <outlinePr summaryBelow="1" summaryRight="1"/>
    <pageSetUpPr/>
  </sheetPr>
  <dimension ref="A1:R794"/>
  <sheetViews>
    <sheetView topLeftCell="A795" zoomScaleNormal="100" workbookViewId="0">
      <selection activeCell="A1" sqref="A1:R1"/>
    </sheetView>
  </sheetViews>
  <sheetFormatPr baseColWidth="10" defaultColWidth="8.6640625" defaultRowHeight="14.4" outlineLevelRow="1"/>
  <cols>
    <col width="4" customWidth="1" style="15" min="1" max="1"/>
    <col width="6" customWidth="1" style="15" min="2" max="2"/>
    <col width="9" customWidth="1" style="15" min="3" max="3"/>
    <col width="12" customWidth="1" style="15" min="4" max="4"/>
    <col width="18" customWidth="1" style="15" min="5" max="5"/>
    <col width="12" customWidth="1" style="15" min="6" max="17"/>
    <col width="40" customWidth="1" style="15" min="18" max="18"/>
  </cols>
  <sheetData>
    <row r="1" ht="30" customHeight="1" s="15">
      <c r="A1" s="14" t="inlineStr">
        <is>
          <t>HISTORIQUE — MOIS CLÔTURÉS (ARCHIVE FIGÉE)</t>
        </is>
      </c>
    </row>
    <row r="2" ht="18" customHeight="1" s="15">
      <c r="A2" s="13" t="inlineStr">
        <is>
          <t>Morning SARL  —  Maquette de validation  —  Valeurs figées (pas de formules) — source des rééditions et cumuls annuels</t>
        </is>
      </c>
    </row>
    <row r="4" ht="19.5" customHeight="1" s="15">
      <c r="B4" s="4" t="inlineStr">
        <is>
          <t xml:space="preserve">  PROCÉDURE DE CLÔTURE MENSUELLE (MANUELLE)</t>
        </is>
      </c>
    </row>
    <row r="5" ht="25.5" customHeight="1" s="15">
      <c r="B5" s="72" t="inlineStr">
        <is>
          <t>1. Vérifiez que JOURNAL est complet et correct pour le mois sélectionné dans PARAMÈTRES (année + mois).</t>
        </is>
      </c>
    </row>
    <row r="6" ht="25.5" customHeight="1" s="15">
      <c r="B6" s="72" t="inlineStr">
        <is>
          <t>2. Dans JOURNAL, sélectionnez la plage de données (lignes des agents, colonnes C à AB) et copiez (Ctrl+C).</t>
        </is>
      </c>
    </row>
    <row r="7" ht="25.5" customHeight="1" s="15">
      <c r="B7" s="72" t="inlineStr">
        <is>
          <t>3. Ici, dans HISTORIQUE, placez-vous sur la première ligne du bloc du mois concerné (voir tableau des blocs ci-dessous) et faites Collage spécial &gt; Valeurs uniquement (Ctrl+Alt+V, puis V) — jamais un collage normal, qui recopierait les formules et casserait le figement.</t>
        </is>
      </c>
    </row>
    <row r="8" ht="25.5" customHeight="1" s="15">
      <c r="B8" s="72" t="inlineStr">
        <is>
          <t>4. Renseignez la date de clôture et passez le statut du mois à « Clos » dans le tableau de suivi ci-dessous.</t>
        </is>
      </c>
    </row>
    <row r="9" ht="25.5" customHeight="1" s="15">
      <c r="B9" s="72" t="inlineStr">
        <is>
          <t>5. Une fois clos, ne modifiez plus les cellules de ce bloc — c'est la référence officielle pour les déclarations et les cumuls annuels.</t>
        </is>
      </c>
    </row>
    <row r="10" ht="27.75" customHeight="1" s="15">
      <c r="B10" s="6" t="inlineStr">
        <is>
          <t>ℹ  Ce geste est manuel dans cette maquette — une macro VBA « Clôturer le mois » pourrait l'automatiser (comme dans vos autres outils Morning SARL), mais ne peut pas être insérée proprement via le pipeline Python/openpyxl utilisé pour construire ce classeur.</t>
        </is>
      </c>
    </row>
    <row r="11" ht="40" customHeight="1" s="15">
      <c r="B11" s="5" t="inlineStr">
        <is>
          <t>⚙  Version .xlsm de ce classeur : la clôture ci-dessus peut être automatisée avec la macro ClotureDuMois (Alt+F8 → ClotureDuMois → Exécuter). Elle applique exactement les étapes 1 à 5 ci-dessus (copie figée de JOURNAL, statut Clos, date, puis avance le mois de PARAMÈTRES) et refuse de ré-écraser un bloc déjà clos. Macro non testée dans Excel réel (construite hors environnement Windows) — à vérifier avant usage en production.</t>
        </is>
      </c>
    </row>
    <row r="12" ht="21.75" customHeight="1" s="15">
      <c r="B12" s="8" t="inlineStr">
        <is>
          <t xml:space="preserve">  SUIVI DE CLÔTURE PAR MOIS</t>
        </is>
      </c>
    </row>
    <row r="13" ht="15" customHeight="1" s="15">
      <c r="B13" s="40" t="inlineStr">
        <is>
          <t>Mois</t>
        </is>
      </c>
      <c r="C13" s="40" t="inlineStr">
        <is>
          <t>Année</t>
        </is>
      </c>
      <c r="D13" s="40" t="inlineStr">
        <is>
          <t>Statut</t>
        </is>
      </c>
      <c r="E13" s="40" t="inlineStr">
        <is>
          <t>Date de clôture</t>
        </is>
      </c>
      <c r="F13" s="40" t="inlineStr">
        <is>
          <t>Clôturé par</t>
        </is>
      </c>
    </row>
    <row r="14" ht="23.25" customHeight="1" s="15">
      <c r="B14" s="24" t="inlineStr">
        <is>
          <t>Janvier</t>
        </is>
      </c>
      <c r="C14" s="41">
        <f>PARAMETRES!$C$29</f>
        <v/>
      </c>
      <c r="D14" s="67" t="inlineStr">
        <is>
          <t>Non clos</t>
        </is>
      </c>
      <c r="E14" s="68" t="n"/>
      <c r="F14" s="41" t="n"/>
    </row>
    <row r="15" ht="23.25" customHeight="1" s="15">
      <c r="B15" s="24" t="inlineStr">
        <is>
          <t>Février</t>
        </is>
      </c>
      <c r="C15" s="41">
        <f>PARAMETRES!$C$29</f>
        <v/>
      </c>
      <c r="D15" s="67" t="inlineStr">
        <is>
          <t>Non clos</t>
        </is>
      </c>
      <c r="E15" s="68" t="n"/>
      <c r="F15" s="41" t="n"/>
    </row>
    <row r="16" ht="15" customHeight="1" s="15">
      <c r="B16" s="24" t="inlineStr">
        <is>
          <t>Mars</t>
        </is>
      </c>
      <c r="C16" s="41">
        <f>PARAMETRES!$C$29</f>
        <v/>
      </c>
      <c r="D16" s="67" t="inlineStr">
        <is>
          <t>Non clos</t>
        </is>
      </c>
      <c r="E16" s="68" t="n"/>
      <c r="F16" s="41" t="n"/>
    </row>
    <row r="17" ht="15" customHeight="1" s="15">
      <c r="B17" s="24" t="inlineStr">
        <is>
          <t>Avril</t>
        </is>
      </c>
      <c r="C17" s="41">
        <f>PARAMETRES!$C$29</f>
        <v/>
      </c>
      <c r="D17" s="67" t="inlineStr">
        <is>
          <t>Non clos</t>
        </is>
      </c>
      <c r="E17" s="68" t="n"/>
      <c r="F17" s="41" t="n"/>
    </row>
    <row r="18" ht="15" customHeight="1" s="15">
      <c r="B18" s="24" t="inlineStr">
        <is>
          <t>Mai</t>
        </is>
      </c>
      <c r="C18" s="41">
        <f>PARAMETRES!$C$29</f>
        <v/>
      </c>
      <c r="D18" s="67" t="inlineStr">
        <is>
          <t>Non clos</t>
        </is>
      </c>
      <c r="E18" s="68" t="n"/>
      <c r="F18" s="41" t="n"/>
    </row>
    <row r="19" ht="15" customHeight="1" s="15">
      <c r="B19" s="24" t="inlineStr">
        <is>
          <t>Juin</t>
        </is>
      </c>
      <c r="C19" s="41">
        <f>PARAMETRES!$C$29</f>
        <v/>
      </c>
      <c r="D19" s="67" t="inlineStr">
        <is>
          <t>Non clos</t>
        </is>
      </c>
      <c r="E19" s="68" t="n"/>
      <c r="F19" s="41" t="n"/>
    </row>
    <row r="20" ht="15" customHeight="1" s="15">
      <c r="B20" s="24" t="inlineStr">
        <is>
          <t>Juillet</t>
        </is>
      </c>
      <c r="C20" s="41">
        <f>PARAMETRES!$C$29</f>
        <v/>
      </c>
      <c r="D20" s="67" t="inlineStr">
        <is>
          <t>Non clos</t>
        </is>
      </c>
      <c r="E20" s="68" t="n"/>
      <c r="F20" s="41" t="n"/>
    </row>
    <row r="21" ht="15" customHeight="1" s="15">
      <c r="B21" s="24" t="inlineStr">
        <is>
          <t>Août</t>
        </is>
      </c>
      <c r="C21" s="41">
        <f>PARAMETRES!$C$29</f>
        <v/>
      </c>
      <c r="D21" s="67" t="inlineStr">
        <is>
          <t>Non clos</t>
        </is>
      </c>
      <c r="E21" s="68" t="n"/>
      <c r="F21" s="41" t="n"/>
    </row>
    <row r="22" ht="23.25" customHeight="1" s="15">
      <c r="B22" s="24" t="inlineStr">
        <is>
          <t>Septembre</t>
        </is>
      </c>
      <c r="C22" s="41">
        <f>PARAMETRES!$C$29</f>
        <v/>
      </c>
      <c r="D22" s="67" t="inlineStr">
        <is>
          <t>Non clos</t>
        </is>
      </c>
      <c r="E22" s="68" t="n"/>
      <c r="F22" s="41" t="n"/>
    </row>
    <row r="23" ht="23.25" customHeight="1" s="15">
      <c r="B23" s="24" t="inlineStr">
        <is>
          <t>Octobre</t>
        </is>
      </c>
      <c r="C23" s="41">
        <f>PARAMETRES!$C$29</f>
        <v/>
      </c>
      <c r="D23" s="67" t="inlineStr">
        <is>
          <t>Non clos</t>
        </is>
      </c>
      <c r="E23" s="68" t="n"/>
      <c r="F23" s="41" t="n"/>
    </row>
    <row r="24" ht="23.25" customHeight="1" s="15">
      <c r="B24" s="24" t="inlineStr">
        <is>
          <t>Novembre</t>
        </is>
      </c>
      <c r="C24" s="41">
        <f>PARAMETRES!$C$29</f>
        <v/>
      </c>
      <c r="D24" s="67" t="inlineStr">
        <is>
          <t>Non clos</t>
        </is>
      </c>
      <c r="E24" s="68" t="n"/>
      <c r="F24" s="41" t="n"/>
    </row>
    <row r="25" ht="23.25" customHeight="1" s="15">
      <c r="B25" s="24" t="inlineStr">
        <is>
          <t>Décembre</t>
        </is>
      </c>
      <c r="C25" s="41">
        <f>PARAMETRES!$C$29</f>
        <v/>
      </c>
      <c r="D25" s="67" t="inlineStr">
        <is>
          <t>Non clos</t>
        </is>
      </c>
      <c r="E25" s="68" t="n"/>
      <c r="F25" s="41" t="n"/>
    </row>
    <row r="28" ht="19.5" customHeight="1" s="15">
      <c r="B28" s="4" t="inlineStr">
        <is>
          <t xml:space="preserve">  JANVIER — bloc à remplir à la clôture</t>
        </is>
      </c>
    </row>
    <row r="29" ht="25.5" customHeight="1" s="15">
      <c r="B29" s="40" t="inlineStr">
        <is>
          <t>Année</t>
        </is>
      </c>
      <c r="C29" s="40" t="inlineStr">
        <is>
          <t>Mois</t>
        </is>
      </c>
      <c r="D29" s="40" t="inlineStr">
        <is>
          <t>Matricule</t>
        </is>
      </c>
      <c r="E29" s="40" t="inlineStr">
        <is>
          <t>Nom</t>
        </is>
      </c>
      <c r="F29" s="40" t="inlineStr">
        <is>
          <t>BRUT</t>
        </is>
      </c>
      <c r="G29" s="40" t="inlineStr">
        <is>
          <t>CNSS salariale</t>
        </is>
      </c>
      <c r="H29" s="40" t="inlineStr">
        <is>
          <t>IPR</t>
        </is>
      </c>
      <c r="I29" s="40" t="inlineStr">
        <is>
          <t>NET avant retenues</t>
        </is>
      </c>
      <c r="J29" s="40" t="inlineStr">
        <is>
          <t>Avance</t>
        </is>
      </c>
      <c r="K29" s="40" t="inlineStr">
        <is>
          <t>Retenues diverses</t>
        </is>
      </c>
      <c r="L29" s="40" t="inlineStr">
        <is>
          <t>NET À PAYER</t>
        </is>
      </c>
      <c r="M29" s="40" t="inlineStr">
        <is>
          <t>CNSS patronale</t>
        </is>
      </c>
      <c r="N29" s="40" t="inlineStr">
        <is>
          <t>INPP</t>
        </is>
      </c>
      <c r="O29" s="40" t="inlineStr">
        <is>
          <t>ONEM</t>
        </is>
      </c>
      <c r="P29" s="40" t="inlineStr">
        <is>
          <t>Coût total employeur</t>
        </is>
      </c>
    </row>
    <row r="30" hidden="1" outlineLevel="1" ht="15" customHeight="1" s="15">
      <c r="B30" s="69" t="n"/>
      <c r="C30" s="69" t="n"/>
      <c r="D30" s="69" t="n"/>
      <c r="E30" s="70" t="n"/>
      <c r="F30" s="69" t="n"/>
      <c r="G30" s="69" t="n"/>
      <c r="H30" s="69" t="n"/>
      <c r="I30" s="69" t="n"/>
      <c r="J30" s="69" t="n"/>
      <c r="K30" s="69" t="n"/>
      <c r="L30" s="69" t="n"/>
      <c r="M30" s="69" t="n"/>
      <c r="N30" s="69" t="n"/>
      <c r="O30" s="69" t="n"/>
      <c r="P30" s="69" t="n"/>
    </row>
    <row r="31" hidden="1" outlineLevel="1" ht="15" customHeight="1" s="15">
      <c r="B31" s="69" t="n"/>
      <c r="C31" s="69" t="n"/>
      <c r="D31" s="69" t="n"/>
      <c r="E31" s="70" t="n"/>
      <c r="F31" s="69" t="n"/>
      <c r="G31" s="69" t="n"/>
      <c r="H31" s="69" t="n"/>
      <c r="I31" s="69" t="n"/>
      <c r="J31" s="69" t="n"/>
      <c r="K31" s="69" t="n"/>
      <c r="L31" s="69" t="n"/>
      <c r="M31" s="69" t="n"/>
      <c r="N31" s="69" t="n"/>
      <c r="O31" s="69" t="n"/>
      <c r="P31" s="69" t="n"/>
    </row>
    <row r="32" hidden="1" outlineLevel="1" ht="15" customHeight="1" s="15">
      <c r="B32" s="69" t="n"/>
      <c r="C32" s="69" t="n"/>
      <c r="D32" s="69" t="n"/>
      <c r="E32" s="70" t="n"/>
      <c r="F32" s="69" t="n"/>
      <c r="G32" s="69" t="n"/>
      <c r="H32" s="69" t="n"/>
      <c r="I32" s="69" t="n"/>
      <c r="J32" s="69" t="n"/>
      <c r="K32" s="69" t="n"/>
      <c r="L32" s="69" t="n"/>
      <c r="M32" s="69" t="n"/>
      <c r="N32" s="69" t="n"/>
      <c r="O32" s="69" t="n"/>
      <c r="P32" s="69" t="n"/>
    </row>
    <row r="33" hidden="1" outlineLevel="1" ht="15" customHeight="1" s="15">
      <c r="B33" s="69" t="n"/>
      <c r="C33" s="69" t="n"/>
      <c r="D33" s="69" t="n"/>
      <c r="E33" s="70" t="n"/>
      <c r="F33" s="69" t="n"/>
      <c r="G33" s="69" t="n"/>
      <c r="H33" s="69" t="n"/>
      <c r="I33" s="69" t="n"/>
      <c r="J33" s="69" t="n"/>
      <c r="K33" s="69" t="n"/>
      <c r="L33" s="69" t="n"/>
      <c r="M33" s="69" t="n"/>
      <c r="N33" s="69" t="n"/>
      <c r="O33" s="69" t="n"/>
      <c r="P33" s="69" t="n"/>
    </row>
    <row r="34" hidden="1" outlineLevel="1" ht="15" customHeight="1" s="15">
      <c r="B34" s="69" t="n"/>
      <c r="C34" s="69" t="n"/>
      <c r="D34" s="69" t="n"/>
      <c r="E34" s="70" t="n"/>
      <c r="F34" s="69" t="n"/>
      <c r="G34" s="69" t="n"/>
      <c r="H34" s="69" t="n"/>
      <c r="I34" s="69" t="n"/>
      <c r="J34" s="69" t="n"/>
      <c r="K34" s="69" t="n"/>
      <c r="L34" s="69" t="n"/>
      <c r="M34" s="69" t="n"/>
      <c r="N34" s="69" t="n"/>
      <c r="O34" s="69" t="n"/>
      <c r="P34" s="69" t="n"/>
    </row>
    <row r="35" hidden="1" outlineLevel="1" ht="15" customHeight="1" s="15">
      <c r="B35" s="69" t="n"/>
      <c r="C35" s="69" t="n"/>
      <c r="D35" s="69" t="n"/>
      <c r="E35" s="70" t="n"/>
      <c r="F35" s="69" t="n"/>
      <c r="G35" s="69" t="n"/>
      <c r="H35" s="69" t="n"/>
      <c r="I35" s="69" t="n"/>
      <c r="J35" s="69" t="n"/>
      <c r="K35" s="69" t="n"/>
      <c r="L35" s="69" t="n"/>
      <c r="M35" s="69" t="n"/>
      <c r="N35" s="69" t="n"/>
      <c r="O35" s="69" t="n"/>
      <c r="P35" s="69" t="n"/>
    </row>
    <row r="36" hidden="1" outlineLevel="1" ht="15" customHeight="1" s="15">
      <c r="B36" s="69" t="n"/>
      <c r="C36" s="69" t="n"/>
      <c r="D36" s="69" t="n"/>
      <c r="E36" s="70" t="n"/>
      <c r="F36" s="69" t="n"/>
      <c r="G36" s="69" t="n"/>
      <c r="H36" s="69" t="n"/>
      <c r="I36" s="69" t="n"/>
      <c r="J36" s="69" t="n"/>
      <c r="K36" s="69" t="n"/>
      <c r="L36" s="69" t="n"/>
      <c r="M36" s="69" t="n"/>
      <c r="N36" s="69" t="n"/>
      <c r="O36" s="69" t="n"/>
      <c r="P36" s="69" t="n"/>
    </row>
    <row r="37" hidden="1" outlineLevel="1" ht="15" customHeight="1" s="15">
      <c r="B37" s="69" t="n"/>
      <c r="C37" s="69" t="n"/>
      <c r="D37" s="69" t="n"/>
      <c r="E37" s="70" t="n"/>
      <c r="F37" s="69" t="n"/>
      <c r="G37" s="69" t="n"/>
      <c r="H37" s="69" t="n"/>
      <c r="I37" s="69" t="n"/>
      <c r="J37" s="69" t="n"/>
      <c r="K37" s="69" t="n"/>
      <c r="L37" s="69" t="n"/>
      <c r="M37" s="69" t="n"/>
      <c r="N37" s="69" t="n"/>
      <c r="O37" s="69" t="n"/>
      <c r="P37" s="69" t="n"/>
    </row>
    <row r="38" hidden="1" outlineLevel="1" ht="15" customHeight="1" s="15">
      <c r="B38" s="69" t="n"/>
      <c r="C38" s="69" t="n"/>
      <c r="D38" s="69" t="n"/>
      <c r="E38" s="70" t="n"/>
      <c r="F38" s="69" t="n"/>
      <c r="G38" s="69" t="n"/>
      <c r="H38" s="69" t="n"/>
      <c r="I38" s="69" t="n"/>
      <c r="J38" s="69" t="n"/>
      <c r="K38" s="69" t="n"/>
      <c r="L38" s="69" t="n"/>
      <c r="M38" s="69" t="n"/>
      <c r="N38" s="69" t="n"/>
      <c r="O38" s="69" t="n"/>
      <c r="P38" s="69" t="n"/>
    </row>
    <row r="39" hidden="1" outlineLevel="1" ht="15" customHeight="1" s="15">
      <c r="B39" s="69" t="n"/>
      <c r="C39" s="69" t="n"/>
      <c r="D39" s="69" t="n"/>
      <c r="E39" s="70" t="n"/>
      <c r="F39" s="69" t="n"/>
      <c r="G39" s="69" t="n"/>
      <c r="H39" s="69" t="n"/>
      <c r="I39" s="69" t="n"/>
      <c r="J39" s="69" t="n"/>
      <c r="K39" s="69" t="n"/>
      <c r="L39" s="69" t="n"/>
      <c r="M39" s="69" t="n"/>
      <c r="N39" s="69" t="n"/>
      <c r="O39" s="69" t="n"/>
      <c r="P39" s="69" t="n"/>
    </row>
    <row r="40" hidden="1" outlineLevel="1" ht="15" customHeight="1" s="15">
      <c r="B40" s="69" t="n"/>
      <c r="C40" s="69" t="n"/>
      <c r="D40" s="69" t="n"/>
      <c r="E40" s="70" t="n"/>
      <c r="F40" s="69" t="n"/>
      <c r="G40" s="69" t="n"/>
      <c r="H40" s="69" t="n"/>
      <c r="I40" s="69" t="n"/>
      <c r="J40" s="69" t="n"/>
      <c r="K40" s="69" t="n"/>
      <c r="L40" s="69" t="n"/>
      <c r="M40" s="69" t="n"/>
      <c r="N40" s="69" t="n"/>
      <c r="O40" s="69" t="n"/>
      <c r="P40" s="69" t="n"/>
    </row>
    <row r="41" hidden="1" outlineLevel="1" ht="15" customHeight="1" s="15">
      <c r="B41" s="69" t="n"/>
      <c r="C41" s="69" t="n"/>
      <c r="D41" s="69" t="n"/>
      <c r="E41" s="70" t="n"/>
      <c r="F41" s="69" t="n"/>
      <c r="G41" s="69" t="n"/>
      <c r="H41" s="69" t="n"/>
      <c r="I41" s="69" t="n"/>
      <c r="J41" s="69" t="n"/>
      <c r="K41" s="69" t="n"/>
      <c r="L41" s="69" t="n"/>
      <c r="M41" s="69" t="n"/>
      <c r="N41" s="69" t="n"/>
      <c r="O41" s="69" t="n"/>
      <c r="P41" s="69" t="n"/>
    </row>
    <row r="42" hidden="1" outlineLevel="1" ht="15" customHeight="1" s="15">
      <c r="B42" s="69" t="n"/>
      <c r="C42" s="69" t="n"/>
      <c r="D42" s="69" t="n"/>
      <c r="E42" s="70" t="n"/>
      <c r="F42" s="69" t="n"/>
      <c r="G42" s="69" t="n"/>
      <c r="H42" s="69" t="n"/>
      <c r="I42" s="69" t="n"/>
      <c r="J42" s="69" t="n"/>
      <c r="K42" s="69" t="n"/>
      <c r="L42" s="69" t="n"/>
      <c r="M42" s="69" t="n"/>
      <c r="N42" s="69" t="n"/>
      <c r="O42" s="69" t="n"/>
      <c r="P42" s="69" t="n"/>
    </row>
    <row r="43" hidden="1" outlineLevel="1" ht="15" customHeight="1" s="15">
      <c r="B43" s="69" t="n"/>
      <c r="C43" s="69" t="n"/>
      <c r="D43" s="69" t="n"/>
      <c r="E43" s="70" t="n"/>
      <c r="F43" s="69" t="n"/>
      <c r="G43" s="69" t="n"/>
      <c r="H43" s="69" t="n"/>
      <c r="I43" s="69" t="n"/>
      <c r="J43" s="69" t="n"/>
      <c r="K43" s="69" t="n"/>
      <c r="L43" s="69" t="n"/>
      <c r="M43" s="69" t="n"/>
      <c r="N43" s="69" t="n"/>
      <c r="O43" s="69" t="n"/>
      <c r="P43" s="69" t="n"/>
    </row>
    <row r="44" hidden="1" outlineLevel="1" ht="15" customHeight="1" s="15">
      <c r="B44" s="69" t="n"/>
      <c r="C44" s="69" t="n"/>
      <c r="D44" s="69" t="n"/>
      <c r="E44" s="70" t="n"/>
      <c r="F44" s="69" t="n"/>
      <c r="G44" s="69" t="n"/>
      <c r="H44" s="69" t="n"/>
      <c r="I44" s="69" t="n"/>
      <c r="J44" s="69" t="n"/>
      <c r="K44" s="69" t="n"/>
      <c r="L44" s="69" t="n"/>
      <c r="M44" s="69" t="n"/>
      <c r="N44" s="69" t="n"/>
      <c r="O44" s="69" t="n"/>
      <c r="P44" s="69" t="n"/>
    </row>
    <row r="45" hidden="1" outlineLevel="1" ht="15" customHeight="1" s="15">
      <c r="B45" s="69" t="n"/>
      <c r="C45" s="69" t="n"/>
      <c r="D45" s="69" t="n"/>
      <c r="E45" s="70" t="n"/>
      <c r="F45" s="69" t="n"/>
      <c r="G45" s="69" t="n"/>
      <c r="H45" s="69" t="n"/>
      <c r="I45" s="69" t="n"/>
      <c r="J45" s="69" t="n"/>
      <c r="K45" s="69" t="n"/>
      <c r="L45" s="69" t="n"/>
      <c r="M45" s="69" t="n"/>
      <c r="N45" s="69" t="n"/>
      <c r="O45" s="69" t="n"/>
      <c r="P45" s="69" t="n"/>
    </row>
    <row r="46" hidden="1" outlineLevel="1" ht="15" customHeight="1" s="15">
      <c r="B46" s="69" t="n"/>
      <c r="C46" s="69" t="n"/>
      <c r="D46" s="69" t="n"/>
      <c r="E46" s="70" t="n"/>
      <c r="F46" s="69" t="n"/>
      <c r="G46" s="69" t="n"/>
      <c r="H46" s="69" t="n"/>
      <c r="I46" s="69" t="n"/>
      <c r="J46" s="69" t="n"/>
      <c r="K46" s="69" t="n"/>
      <c r="L46" s="69" t="n"/>
      <c r="M46" s="69" t="n"/>
      <c r="N46" s="69" t="n"/>
      <c r="O46" s="69" t="n"/>
      <c r="P46" s="69" t="n"/>
    </row>
    <row r="47" hidden="1" outlineLevel="1" ht="15" customHeight="1" s="15">
      <c r="B47" s="69" t="n"/>
      <c r="C47" s="69" t="n"/>
      <c r="D47" s="69" t="n"/>
      <c r="E47" s="70" t="n"/>
      <c r="F47" s="69" t="n"/>
      <c r="G47" s="69" t="n"/>
      <c r="H47" s="69" t="n"/>
      <c r="I47" s="69" t="n"/>
      <c r="J47" s="69" t="n"/>
      <c r="K47" s="69" t="n"/>
      <c r="L47" s="69" t="n"/>
      <c r="M47" s="69" t="n"/>
      <c r="N47" s="69" t="n"/>
      <c r="O47" s="69" t="n"/>
      <c r="P47" s="69" t="n"/>
    </row>
    <row r="48" hidden="1" outlineLevel="1" ht="15" customHeight="1" s="15">
      <c r="B48" s="69" t="n"/>
      <c r="C48" s="69" t="n"/>
      <c r="D48" s="69" t="n"/>
      <c r="E48" s="70" t="n"/>
      <c r="F48" s="69" t="n"/>
      <c r="G48" s="69" t="n"/>
      <c r="H48" s="69" t="n"/>
      <c r="I48" s="69" t="n"/>
      <c r="J48" s="69" t="n"/>
      <c r="K48" s="69" t="n"/>
      <c r="L48" s="69" t="n"/>
      <c r="M48" s="69" t="n"/>
      <c r="N48" s="69" t="n"/>
      <c r="O48" s="69" t="n"/>
      <c r="P48" s="69" t="n"/>
    </row>
    <row r="49" hidden="1" outlineLevel="1" ht="15" customHeight="1" s="15">
      <c r="B49" s="69" t="n"/>
      <c r="C49" s="69" t="n"/>
      <c r="D49" s="69" t="n"/>
      <c r="E49" s="70" t="n"/>
      <c r="F49" s="69" t="n"/>
      <c r="G49" s="69" t="n"/>
      <c r="H49" s="69" t="n"/>
      <c r="I49" s="69" t="n"/>
      <c r="J49" s="69" t="n"/>
      <c r="K49" s="69" t="n"/>
      <c r="L49" s="69" t="n"/>
      <c r="M49" s="69" t="n"/>
      <c r="N49" s="69" t="n"/>
      <c r="O49" s="69" t="n"/>
      <c r="P49" s="69" t="n"/>
    </row>
    <row r="50" hidden="1" outlineLevel="1" ht="15" customHeight="1" s="15">
      <c r="B50" s="69" t="n"/>
      <c r="C50" s="69" t="n"/>
      <c r="D50" s="69" t="n"/>
      <c r="E50" s="70" t="n"/>
      <c r="F50" s="69" t="n"/>
      <c r="G50" s="69" t="n"/>
      <c r="H50" s="69" t="n"/>
      <c r="I50" s="69" t="n"/>
      <c r="J50" s="69" t="n"/>
      <c r="K50" s="69" t="n"/>
      <c r="L50" s="69" t="n"/>
      <c r="M50" s="69" t="n"/>
      <c r="N50" s="69" t="n"/>
      <c r="O50" s="69" t="n"/>
      <c r="P50" s="69" t="n"/>
    </row>
    <row r="51" hidden="1" outlineLevel="1" ht="15" customHeight="1" s="15">
      <c r="B51" s="69" t="n"/>
      <c r="C51" s="69" t="n"/>
      <c r="D51" s="69" t="n"/>
      <c r="E51" s="70" t="n"/>
      <c r="F51" s="69" t="n"/>
      <c r="G51" s="69" t="n"/>
      <c r="H51" s="69" t="n"/>
      <c r="I51" s="69" t="n"/>
      <c r="J51" s="69" t="n"/>
      <c r="K51" s="69" t="n"/>
      <c r="L51" s="69" t="n"/>
      <c r="M51" s="69" t="n"/>
      <c r="N51" s="69" t="n"/>
      <c r="O51" s="69" t="n"/>
      <c r="P51" s="69" t="n"/>
    </row>
    <row r="52" hidden="1" outlineLevel="1" ht="15" customHeight="1" s="15">
      <c r="B52" s="69" t="n"/>
      <c r="C52" s="69" t="n"/>
      <c r="D52" s="69" t="n"/>
      <c r="E52" s="70" t="n"/>
      <c r="F52" s="69" t="n"/>
      <c r="G52" s="69" t="n"/>
      <c r="H52" s="69" t="n"/>
      <c r="I52" s="69" t="n"/>
      <c r="J52" s="69" t="n"/>
      <c r="K52" s="69" t="n"/>
      <c r="L52" s="69" t="n"/>
      <c r="M52" s="69" t="n"/>
      <c r="N52" s="69" t="n"/>
      <c r="O52" s="69" t="n"/>
      <c r="P52" s="69" t="n"/>
    </row>
    <row r="53" hidden="1" outlineLevel="1" ht="15" customHeight="1" s="15">
      <c r="B53" s="69" t="n"/>
      <c r="C53" s="69" t="n"/>
      <c r="D53" s="69" t="n"/>
      <c r="E53" s="70" t="n"/>
      <c r="F53" s="69" t="n"/>
      <c r="G53" s="69" t="n"/>
      <c r="H53" s="69" t="n"/>
      <c r="I53" s="69" t="n"/>
      <c r="J53" s="69" t="n"/>
      <c r="K53" s="69" t="n"/>
      <c r="L53" s="69" t="n"/>
      <c r="M53" s="69" t="n"/>
      <c r="N53" s="69" t="n"/>
      <c r="O53" s="69" t="n"/>
      <c r="P53" s="69" t="n"/>
    </row>
    <row r="54" hidden="1" outlineLevel="1" ht="15" customHeight="1" s="15">
      <c r="B54" s="69" t="n"/>
      <c r="C54" s="69" t="n"/>
      <c r="D54" s="69" t="n"/>
      <c r="E54" s="70" t="n"/>
      <c r="F54" s="69" t="n"/>
      <c r="G54" s="69" t="n"/>
      <c r="H54" s="69" t="n"/>
      <c r="I54" s="69" t="n"/>
      <c r="J54" s="69" t="n"/>
      <c r="K54" s="69" t="n"/>
      <c r="L54" s="69" t="n"/>
      <c r="M54" s="69" t="n"/>
      <c r="N54" s="69" t="n"/>
      <c r="O54" s="69" t="n"/>
      <c r="P54" s="69" t="n"/>
    </row>
    <row r="55" hidden="1" outlineLevel="1" ht="15" customHeight="1" s="15">
      <c r="B55" s="69" t="n"/>
      <c r="C55" s="69" t="n"/>
      <c r="D55" s="69" t="n"/>
      <c r="E55" s="70" t="n"/>
      <c r="F55" s="69" t="n"/>
      <c r="G55" s="69" t="n"/>
      <c r="H55" s="69" t="n"/>
      <c r="I55" s="69" t="n"/>
      <c r="J55" s="69" t="n"/>
      <c r="K55" s="69" t="n"/>
      <c r="L55" s="69" t="n"/>
      <c r="M55" s="69" t="n"/>
      <c r="N55" s="69" t="n"/>
      <c r="O55" s="69" t="n"/>
      <c r="P55" s="69" t="n"/>
    </row>
    <row r="56" hidden="1" outlineLevel="1" ht="15" customHeight="1" s="15">
      <c r="B56" s="69" t="n"/>
      <c r="C56" s="69" t="n"/>
      <c r="D56" s="69" t="n"/>
      <c r="E56" s="70" t="n"/>
      <c r="F56" s="69" t="n"/>
      <c r="G56" s="69" t="n"/>
      <c r="H56" s="69" t="n"/>
      <c r="I56" s="69" t="n"/>
      <c r="J56" s="69" t="n"/>
      <c r="K56" s="69" t="n"/>
      <c r="L56" s="69" t="n"/>
      <c r="M56" s="69" t="n"/>
      <c r="N56" s="69" t="n"/>
      <c r="O56" s="69" t="n"/>
      <c r="P56" s="69" t="n"/>
    </row>
    <row r="57" hidden="1" outlineLevel="1" ht="15" customHeight="1" s="15">
      <c r="B57" s="69" t="n"/>
      <c r="C57" s="69" t="n"/>
      <c r="D57" s="69" t="n"/>
      <c r="E57" s="70" t="n"/>
      <c r="F57" s="69" t="n"/>
      <c r="G57" s="69" t="n"/>
      <c r="H57" s="69" t="n"/>
      <c r="I57" s="69" t="n"/>
      <c r="J57" s="69" t="n"/>
      <c r="K57" s="69" t="n"/>
      <c r="L57" s="69" t="n"/>
      <c r="M57" s="69" t="n"/>
      <c r="N57" s="69" t="n"/>
      <c r="O57" s="69" t="n"/>
      <c r="P57" s="69" t="n"/>
    </row>
    <row r="58" hidden="1" outlineLevel="1" ht="15" customHeight="1" s="15">
      <c r="B58" s="69" t="n"/>
      <c r="C58" s="69" t="n"/>
      <c r="D58" s="69" t="n"/>
      <c r="E58" s="70" t="n"/>
      <c r="F58" s="69" t="n"/>
      <c r="G58" s="69" t="n"/>
      <c r="H58" s="69" t="n"/>
      <c r="I58" s="69" t="n"/>
      <c r="J58" s="69" t="n"/>
      <c r="K58" s="69" t="n"/>
      <c r="L58" s="69" t="n"/>
      <c r="M58" s="69" t="n"/>
      <c r="N58" s="69" t="n"/>
      <c r="O58" s="69" t="n"/>
      <c r="P58" s="69" t="n"/>
    </row>
    <row r="59" hidden="1" outlineLevel="1" ht="15" customHeight="1" s="15">
      <c r="B59" s="69" t="n"/>
      <c r="C59" s="69" t="n"/>
      <c r="D59" s="69" t="n"/>
      <c r="E59" s="70" t="n"/>
      <c r="F59" s="69" t="n"/>
      <c r="G59" s="69" t="n"/>
      <c r="H59" s="69" t="n"/>
      <c r="I59" s="69" t="n"/>
      <c r="J59" s="69" t="n"/>
      <c r="K59" s="69" t="n"/>
      <c r="L59" s="69" t="n"/>
      <c r="M59" s="69" t="n"/>
      <c r="N59" s="69" t="n"/>
      <c r="O59" s="69" t="n"/>
      <c r="P59" s="69" t="n"/>
    </row>
    <row r="60" hidden="1" outlineLevel="1" ht="15" customHeight="1" s="15">
      <c r="B60" s="69" t="n"/>
      <c r="C60" s="69" t="n"/>
      <c r="D60" s="69" t="n"/>
      <c r="E60" s="70" t="n"/>
      <c r="F60" s="69" t="n"/>
      <c r="G60" s="69" t="n"/>
      <c r="H60" s="69" t="n"/>
      <c r="I60" s="69" t="n"/>
      <c r="J60" s="69" t="n"/>
      <c r="K60" s="69" t="n"/>
      <c r="L60" s="69" t="n"/>
      <c r="M60" s="69" t="n"/>
      <c r="N60" s="69" t="n"/>
      <c r="O60" s="69" t="n"/>
      <c r="P60" s="69" t="n"/>
    </row>
    <row r="61" hidden="1" outlineLevel="1" ht="15" customHeight="1" s="15">
      <c r="B61" s="69" t="n"/>
      <c r="C61" s="69" t="n"/>
      <c r="D61" s="69" t="n"/>
      <c r="E61" s="70" t="n"/>
      <c r="F61" s="69" t="n"/>
      <c r="G61" s="69" t="n"/>
      <c r="H61" s="69" t="n"/>
      <c r="I61" s="69" t="n"/>
      <c r="J61" s="69" t="n"/>
      <c r="K61" s="69" t="n"/>
      <c r="L61" s="69" t="n"/>
      <c r="M61" s="69" t="n"/>
      <c r="N61" s="69" t="n"/>
      <c r="O61" s="69" t="n"/>
      <c r="P61" s="69" t="n"/>
    </row>
    <row r="62" hidden="1" outlineLevel="1" ht="15" customHeight="1" s="15">
      <c r="B62" s="69" t="n"/>
      <c r="C62" s="69" t="n"/>
      <c r="D62" s="69" t="n"/>
      <c r="E62" s="70" t="n"/>
      <c r="F62" s="69" t="n"/>
      <c r="G62" s="69" t="n"/>
      <c r="H62" s="69" t="n"/>
      <c r="I62" s="69" t="n"/>
      <c r="J62" s="69" t="n"/>
      <c r="K62" s="69" t="n"/>
      <c r="L62" s="69" t="n"/>
      <c r="M62" s="69" t="n"/>
      <c r="N62" s="69" t="n"/>
      <c r="O62" s="69" t="n"/>
      <c r="P62" s="69" t="n"/>
    </row>
    <row r="63" hidden="1" outlineLevel="1" ht="15" customHeight="1" s="15">
      <c r="B63" s="69" t="n"/>
      <c r="C63" s="69" t="n"/>
      <c r="D63" s="69" t="n"/>
      <c r="E63" s="70" t="n"/>
      <c r="F63" s="69" t="n"/>
      <c r="G63" s="69" t="n"/>
      <c r="H63" s="69" t="n"/>
      <c r="I63" s="69" t="n"/>
      <c r="J63" s="69" t="n"/>
      <c r="K63" s="69" t="n"/>
      <c r="L63" s="69" t="n"/>
      <c r="M63" s="69" t="n"/>
      <c r="N63" s="69" t="n"/>
      <c r="O63" s="69" t="n"/>
      <c r="P63" s="69" t="n"/>
    </row>
    <row r="64" hidden="1" outlineLevel="1" ht="15" customHeight="1" s="15">
      <c r="B64" s="69" t="n"/>
      <c r="C64" s="69" t="n"/>
      <c r="D64" s="69" t="n"/>
      <c r="E64" s="70" t="n"/>
      <c r="F64" s="69" t="n"/>
      <c r="G64" s="69" t="n"/>
      <c r="H64" s="69" t="n"/>
      <c r="I64" s="69" t="n"/>
      <c r="J64" s="69" t="n"/>
      <c r="K64" s="69" t="n"/>
      <c r="L64" s="69" t="n"/>
      <c r="M64" s="69" t="n"/>
      <c r="N64" s="69" t="n"/>
      <c r="O64" s="69" t="n"/>
      <c r="P64" s="69" t="n"/>
    </row>
    <row r="65" hidden="1" outlineLevel="1" ht="15" customHeight="1" s="15">
      <c r="B65" s="69" t="n"/>
      <c r="C65" s="69" t="n"/>
      <c r="D65" s="69" t="n"/>
      <c r="E65" s="70" t="n"/>
      <c r="F65" s="69" t="n"/>
      <c r="G65" s="69" t="n"/>
      <c r="H65" s="69" t="n"/>
      <c r="I65" s="69" t="n"/>
      <c r="J65" s="69" t="n"/>
      <c r="K65" s="69" t="n"/>
      <c r="L65" s="69" t="n"/>
      <c r="M65" s="69" t="n"/>
      <c r="N65" s="69" t="n"/>
      <c r="O65" s="69" t="n"/>
      <c r="P65" s="69" t="n"/>
    </row>
    <row r="66" hidden="1" outlineLevel="1" ht="15" customHeight="1" s="15">
      <c r="B66" s="69" t="n"/>
      <c r="C66" s="69" t="n"/>
      <c r="D66" s="69" t="n"/>
      <c r="E66" s="70" t="n"/>
      <c r="F66" s="69" t="n"/>
      <c r="G66" s="69" t="n"/>
      <c r="H66" s="69" t="n"/>
      <c r="I66" s="69" t="n"/>
      <c r="J66" s="69" t="n"/>
      <c r="K66" s="69" t="n"/>
      <c r="L66" s="69" t="n"/>
      <c r="M66" s="69" t="n"/>
      <c r="N66" s="69" t="n"/>
      <c r="O66" s="69" t="n"/>
      <c r="P66" s="69" t="n"/>
    </row>
    <row r="67" hidden="1" outlineLevel="1" ht="15" customHeight="1" s="15">
      <c r="B67" s="69" t="n"/>
      <c r="C67" s="69" t="n"/>
      <c r="D67" s="69" t="n"/>
      <c r="E67" s="70" t="n"/>
      <c r="F67" s="69" t="n"/>
      <c r="G67" s="69" t="n"/>
      <c r="H67" s="69" t="n"/>
      <c r="I67" s="69" t="n"/>
      <c r="J67" s="69" t="n"/>
      <c r="K67" s="69" t="n"/>
      <c r="L67" s="69" t="n"/>
      <c r="M67" s="69" t="n"/>
      <c r="N67" s="69" t="n"/>
      <c r="O67" s="69" t="n"/>
      <c r="P67" s="69" t="n"/>
    </row>
    <row r="68" hidden="1" outlineLevel="1" ht="15" customHeight="1" s="15">
      <c r="B68" s="69" t="n"/>
      <c r="C68" s="69" t="n"/>
      <c r="D68" s="69" t="n"/>
      <c r="E68" s="70" t="n"/>
      <c r="F68" s="69" t="n"/>
      <c r="G68" s="69" t="n"/>
      <c r="H68" s="69" t="n"/>
      <c r="I68" s="69" t="n"/>
      <c r="J68" s="69" t="n"/>
      <c r="K68" s="69" t="n"/>
      <c r="L68" s="69" t="n"/>
      <c r="M68" s="69" t="n"/>
      <c r="N68" s="69" t="n"/>
      <c r="O68" s="69" t="n"/>
      <c r="P68" s="69" t="n"/>
    </row>
    <row r="69" hidden="1" outlineLevel="1" ht="15" customHeight="1" s="15">
      <c r="B69" s="69" t="n"/>
      <c r="C69" s="69" t="n"/>
      <c r="D69" s="69" t="n"/>
      <c r="E69" s="70" t="n"/>
      <c r="F69" s="69" t="n"/>
      <c r="G69" s="69" t="n"/>
      <c r="H69" s="69" t="n"/>
      <c r="I69" s="69" t="n"/>
      <c r="J69" s="69" t="n"/>
      <c r="K69" s="69" t="n"/>
      <c r="L69" s="69" t="n"/>
      <c r="M69" s="69" t="n"/>
      <c r="N69" s="69" t="n"/>
      <c r="O69" s="69" t="n"/>
      <c r="P69" s="69" t="n"/>
    </row>
    <row r="70" hidden="1" outlineLevel="1" ht="15" customHeight="1" s="15">
      <c r="B70" s="69" t="n"/>
      <c r="C70" s="69" t="n"/>
      <c r="D70" s="69" t="n"/>
      <c r="E70" s="70" t="n"/>
      <c r="F70" s="69" t="n"/>
      <c r="G70" s="69" t="n"/>
      <c r="H70" s="69" t="n"/>
      <c r="I70" s="69" t="n"/>
      <c r="J70" s="69" t="n"/>
      <c r="K70" s="69" t="n"/>
      <c r="L70" s="69" t="n"/>
      <c r="M70" s="69" t="n"/>
      <c r="N70" s="69" t="n"/>
      <c r="O70" s="69" t="n"/>
      <c r="P70" s="69" t="n"/>
    </row>
    <row r="71" hidden="1" outlineLevel="1" ht="15" customHeight="1" s="15">
      <c r="B71" s="69" t="n"/>
      <c r="C71" s="69" t="n"/>
      <c r="D71" s="69" t="n"/>
      <c r="E71" s="70" t="n"/>
      <c r="F71" s="69" t="n"/>
      <c r="G71" s="69" t="n"/>
      <c r="H71" s="69" t="n"/>
      <c r="I71" s="69" t="n"/>
      <c r="J71" s="69" t="n"/>
      <c r="K71" s="69" t="n"/>
      <c r="L71" s="69" t="n"/>
      <c r="M71" s="69" t="n"/>
      <c r="N71" s="69" t="n"/>
      <c r="O71" s="69" t="n"/>
      <c r="P71" s="69" t="n"/>
    </row>
    <row r="72" hidden="1" outlineLevel="1" ht="15" customHeight="1" s="15">
      <c r="B72" s="69" t="n"/>
      <c r="C72" s="69" t="n"/>
      <c r="D72" s="69" t="n"/>
      <c r="E72" s="70" t="n"/>
      <c r="F72" s="69" t="n"/>
      <c r="G72" s="69" t="n"/>
      <c r="H72" s="69" t="n"/>
      <c r="I72" s="69" t="n"/>
      <c r="J72" s="69" t="n"/>
      <c r="K72" s="69" t="n"/>
      <c r="L72" s="69" t="n"/>
      <c r="M72" s="69" t="n"/>
      <c r="N72" s="69" t="n"/>
      <c r="O72" s="69" t="n"/>
      <c r="P72" s="69" t="n"/>
    </row>
    <row r="73" hidden="1" outlineLevel="1" ht="15" customHeight="1" s="15">
      <c r="B73" s="69" t="n"/>
      <c r="C73" s="69" t="n"/>
      <c r="D73" s="69" t="n"/>
      <c r="E73" s="70" t="n"/>
      <c r="F73" s="69" t="n"/>
      <c r="G73" s="69" t="n"/>
      <c r="H73" s="69" t="n"/>
      <c r="I73" s="69" t="n"/>
      <c r="J73" s="69" t="n"/>
      <c r="K73" s="69" t="n"/>
      <c r="L73" s="69" t="n"/>
      <c r="M73" s="69" t="n"/>
      <c r="N73" s="69" t="n"/>
      <c r="O73" s="69" t="n"/>
      <c r="P73" s="69" t="n"/>
    </row>
    <row r="74" hidden="1" outlineLevel="1" ht="15" customHeight="1" s="15">
      <c r="B74" s="69" t="n"/>
      <c r="C74" s="69" t="n"/>
      <c r="D74" s="69" t="n"/>
      <c r="E74" s="70" t="n"/>
      <c r="F74" s="69" t="n"/>
      <c r="G74" s="69" t="n"/>
      <c r="H74" s="69" t="n"/>
      <c r="I74" s="69" t="n"/>
      <c r="J74" s="69" t="n"/>
      <c r="K74" s="69" t="n"/>
      <c r="L74" s="69" t="n"/>
      <c r="M74" s="69" t="n"/>
      <c r="N74" s="69" t="n"/>
      <c r="O74" s="69" t="n"/>
      <c r="P74" s="69" t="n"/>
    </row>
    <row r="75" hidden="1" outlineLevel="1" ht="15" customHeight="1" s="15">
      <c r="B75" s="69" t="n"/>
      <c r="C75" s="69" t="n"/>
      <c r="D75" s="69" t="n"/>
      <c r="E75" s="70" t="n"/>
      <c r="F75" s="69" t="n"/>
      <c r="G75" s="69" t="n"/>
      <c r="H75" s="69" t="n"/>
      <c r="I75" s="69" t="n"/>
      <c r="J75" s="69" t="n"/>
      <c r="K75" s="69" t="n"/>
      <c r="L75" s="69" t="n"/>
      <c r="M75" s="69" t="n"/>
      <c r="N75" s="69" t="n"/>
      <c r="O75" s="69" t="n"/>
      <c r="P75" s="69" t="n"/>
    </row>
    <row r="76" hidden="1" outlineLevel="1" ht="15" customHeight="1" s="15">
      <c r="B76" s="69" t="n"/>
      <c r="C76" s="69" t="n"/>
      <c r="D76" s="69" t="n"/>
      <c r="E76" s="70" t="n"/>
      <c r="F76" s="69" t="n"/>
      <c r="G76" s="69" t="n"/>
      <c r="H76" s="69" t="n"/>
      <c r="I76" s="69" t="n"/>
      <c r="J76" s="69" t="n"/>
      <c r="K76" s="69" t="n"/>
      <c r="L76" s="69" t="n"/>
      <c r="M76" s="69" t="n"/>
      <c r="N76" s="69" t="n"/>
      <c r="O76" s="69" t="n"/>
      <c r="P76" s="69" t="n"/>
    </row>
    <row r="77" hidden="1" outlineLevel="1" ht="15" customHeight="1" s="15">
      <c r="B77" s="69" t="n"/>
      <c r="C77" s="69" t="n"/>
      <c r="D77" s="69" t="n"/>
      <c r="E77" s="70" t="n"/>
      <c r="F77" s="69" t="n"/>
      <c r="G77" s="69" t="n"/>
      <c r="H77" s="69" t="n"/>
      <c r="I77" s="69" t="n"/>
      <c r="J77" s="69" t="n"/>
      <c r="K77" s="69" t="n"/>
      <c r="L77" s="69" t="n"/>
      <c r="M77" s="69" t="n"/>
      <c r="N77" s="69" t="n"/>
      <c r="O77" s="69" t="n"/>
      <c r="P77" s="69" t="n"/>
    </row>
    <row r="78" hidden="1" outlineLevel="1" ht="15" customHeight="1" s="15">
      <c r="B78" s="69" t="n"/>
      <c r="C78" s="69" t="n"/>
      <c r="D78" s="69" t="n"/>
      <c r="E78" s="70" t="n"/>
      <c r="F78" s="69" t="n"/>
      <c r="G78" s="69" t="n"/>
      <c r="H78" s="69" t="n"/>
      <c r="I78" s="69" t="n"/>
      <c r="J78" s="69" t="n"/>
      <c r="K78" s="69" t="n"/>
      <c r="L78" s="69" t="n"/>
      <c r="M78" s="69" t="n"/>
      <c r="N78" s="69" t="n"/>
      <c r="O78" s="69" t="n"/>
      <c r="P78" s="69" t="n"/>
    </row>
    <row r="79" hidden="1" outlineLevel="1" ht="15" customHeight="1" s="15">
      <c r="B79" s="69" t="n"/>
      <c r="C79" s="69" t="n"/>
      <c r="D79" s="69" t="n"/>
      <c r="E79" s="70" t="n"/>
      <c r="F79" s="69" t="n"/>
      <c r="G79" s="69" t="n"/>
      <c r="H79" s="69" t="n"/>
      <c r="I79" s="69" t="n"/>
      <c r="J79" s="69" t="n"/>
      <c r="K79" s="69" t="n"/>
      <c r="L79" s="69" t="n"/>
      <c r="M79" s="69" t="n"/>
      <c r="N79" s="69" t="n"/>
      <c r="O79" s="69" t="n"/>
      <c r="P79" s="69" t="n"/>
    </row>
    <row r="80" hidden="1" outlineLevel="1" ht="15" customHeight="1" s="15">
      <c r="B80" s="69" t="n"/>
      <c r="C80" s="69" t="n"/>
      <c r="D80" s="69" t="n"/>
      <c r="E80" s="70" t="n"/>
      <c r="F80" s="69" t="n"/>
      <c r="G80" s="69" t="n"/>
      <c r="H80" s="69" t="n"/>
      <c r="I80" s="69" t="n"/>
      <c r="J80" s="69" t="n"/>
      <c r="K80" s="69" t="n"/>
      <c r="L80" s="69" t="n"/>
      <c r="M80" s="69" t="n"/>
      <c r="N80" s="69" t="n"/>
      <c r="O80" s="69" t="n"/>
      <c r="P80" s="69" t="n"/>
    </row>
    <row r="81" hidden="1" outlineLevel="1" ht="15" customHeight="1" s="15">
      <c r="B81" s="69" t="n"/>
      <c r="C81" s="69" t="n"/>
      <c r="D81" s="69" t="n"/>
      <c r="E81" s="70" t="n"/>
      <c r="F81" s="69" t="n"/>
      <c r="G81" s="69" t="n"/>
      <c r="H81" s="69" t="n"/>
      <c r="I81" s="69" t="n"/>
      <c r="J81" s="69" t="n"/>
      <c r="K81" s="69" t="n"/>
      <c r="L81" s="69" t="n"/>
      <c r="M81" s="69" t="n"/>
      <c r="N81" s="69" t="n"/>
      <c r="O81" s="69" t="n"/>
      <c r="P81" s="69" t="n"/>
    </row>
    <row r="82" hidden="1" outlineLevel="1" ht="15" customHeight="1" s="15">
      <c r="B82" s="69" t="n"/>
      <c r="C82" s="69" t="n"/>
      <c r="D82" s="69" t="n"/>
      <c r="E82" s="70" t="n"/>
      <c r="F82" s="69" t="n"/>
      <c r="G82" s="69" t="n"/>
      <c r="H82" s="69" t="n"/>
      <c r="I82" s="69" t="n"/>
      <c r="J82" s="69" t="n"/>
      <c r="K82" s="69" t="n"/>
      <c r="L82" s="69" t="n"/>
      <c r="M82" s="69" t="n"/>
      <c r="N82" s="69" t="n"/>
      <c r="O82" s="69" t="n"/>
      <c r="P82" s="69" t="n"/>
    </row>
    <row r="83" hidden="1" outlineLevel="1" ht="15" customHeight="1" s="15">
      <c r="B83" s="69" t="n"/>
      <c r="C83" s="69" t="n"/>
      <c r="D83" s="69" t="n"/>
      <c r="E83" s="70" t="n"/>
      <c r="F83" s="69" t="n"/>
      <c r="G83" s="69" t="n"/>
      <c r="H83" s="69" t="n"/>
      <c r="I83" s="69" t="n"/>
      <c r="J83" s="69" t="n"/>
      <c r="K83" s="69" t="n"/>
      <c r="L83" s="69" t="n"/>
      <c r="M83" s="69" t="n"/>
      <c r="N83" s="69" t="n"/>
      <c r="O83" s="69" t="n"/>
      <c r="P83" s="69" t="n"/>
    </row>
    <row r="84" hidden="1" outlineLevel="1" ht="15" customHeight="1" s="15">
      <c r="B84" s="69" t="n"/>
      <c r="C84" s="69" t="n"/>
      <c r="D84" s="69" t="n"/>
      <c r="E84" s="70" t="n"/>
      <c r="F84" s="69" t="n"/>
      <c r="G84" s="69" t="n"/>
      <c r="H84" s="69" t="n"/>
      <c r="I84" s="69" t="n"/>
      <c r="J84" s="69" t="n"/>
      <c r="K84" s="69" t="n"/>
      <c r="L84" s="69" t="n"/>
      <c r="M84" s="69" t="n"/>
      <c r="N84" s="69" t="n"/>
      <c r="O84" s="69" t="n"/>
      <c r="P84" s="69" t="n"/>
    </row>
    <row r="85" hidden="1" outlineLevel="1" ht="15" customHeight="1" s="15">
      <c r="B85" s="69" t="n"/>
      <c r="C85" s="69" t="n"/>
      <c r="D85" s="69" t="n"/>
      <c r="E85" s="70" t="n"/>
      <c r="F85" s="69" t="n"/>
      <c r="G85" s="69" t="n"/>
      <c r="H85" s="69" t="n"/>
      <c r="I85" s="69" t="n"/>
      <c r="J85" s="69" t="n"/>
      <c r="K85" s="69" t="n"/>
      <c r="L85" s="69" t="n"/>
      <c r="M85" s="69" t="n"/>
      <c r="N85" s="69" t="n"/>
      <c r="O85" s="69" t="n"/>
      <c r="P85" s="69" t="n"/>
    </row>
    <row r="86" hidden="1" outlineLevel="1" ht="15" customHeight="1" s="15">
      <c r="B86" s="69" t="n"/>
      <c r="C86" s="69" t="n"/>
      <c r="D86" s="69" t="n"/>
      <c r="E86" s="70" t="n"/>
      <c r="F86" s="69" t="n"/>
      <c r="G86" s="69" t="n"/>
      <c r="H86" s="69" t="n"/>
      <c r="I86" s="69" t="n"/>
      <c r="J86" s="69" t="n"/>
      <c r="K86" s="69" t="n"/>
      <c r="L86" s="69" t="n"/>
      <c r="M86" s="69" t="n"/>
      <c r="N86" s="69" t="n"/>
      <c r="O86" s="69" t="n"/>
      <c r="P86" s="69" t="n"/>
    </row>
    <row r="87" hidden="1" outlineLevel="1" ht="15" customHeight="1" s="15">
      <c r="B87" s="69" t="n"/>
      <c r="C87" s="69" t="n"/>
      <c r="D87" s="69" t="n"/>
      <c r="E87" s="70" t="n"/>
      <c r="F87" s="69" t="n"/>
      <c r="G87" s="69" t="n"/>
      <c r="H87" s="69" t="n"/>
      <c r="I87" s="69" t="n"/>
      <c r="J87" s="69" t="n"/>
      <c r="K87" s="69" t="n"/>
      <c r="L87" s="69" t="n"/>
      <c r="M87" s="69" t="n"/>
      <c r="N87" s="69" t="n"/>
      <c r="O87" s="69" t="n"/>
      <c r="P87" s="69" t="n"/>
    </row>
    <row r="88" hidden="1" outlineLevel="1" ht="15" customHeight="1" s="15">
      <c r="B88" s="69" t="n"/>
      <c r="C88" s="69" t="n"/>
      <c r="D88" s="69" t="n"/>
      <c r="E88" s="70" t="n"/>
      <c r="F88" s="69" t="n"/>
      <c r="G88" s="69" t="n"/>
      <c r="H88" s="69" t="n"/>
      <c r="I88" s="69" t="n"/>
      <c r="J88" s="69" t="n"/>
      <c r="K88" s="69" t="n"/>
      <c r="L88" s="69" t="n"/>
      <c r="M88" s="69" t="n"/>
      <c r="N88" s="69" t="n"/>
      <c r="O88" s="69" t="n"/>
      <c r="P88" s="69" t="n"/>
    </row>
    <row r="89" hidden="1" outlineLevel="1" ht="15" customHeight="1" s="15">
      <c r="B89" s="69" t="n"/>
      <c r="C89" s="69" t="n"/>
      <c r="D89" s="69" t="n"/>
      <c r="E89" s="70" t="n"/>
      <c r="F89" s="69" t="n"/>
      <c r="G89" s="69" t="n"/>
      <c r="H89" s="69" t="n"/>
      <c r="I89" s="69" t="n"/>
      <c r="J89" s="69" t="n"/>
      <c r="K89" s="69" t="n"/>
      <c r="L89" s="69" t="n"/>
      <c r="M89" s="69" t="n"/>
      <c r="N89" s="69" t="n"/>
      <c r="O89" s="69" t="n"/>
      <c r="P89" s="69" t="n"/>
    </row>
    <row r="90" collapsed="1" ht="19.5" customHeight="1" s="15">
      <c r="B90" s="6" t="inlineStr">
        <is>
          <t>ℹ  Coller ici (Collage spécial &gt; Valeurs) les lignes agents de JOURNAL pour Janvier — fond bleu-gris = zone d'archive, pas de formule.</t>
        </is>
      </c>
    </row>
    <row r="92" ht="19.5" customHeight="1" s="15">
      <c r="B92" s="4" t="inlineStr">
        <is>
          <t xml:space="preserve">  FÉVRIER — bloc à remplir à la clôture</t>
        </is>
      </c>
    </row>
    <row r="93" ht="25.5" customHeight="1" s="15">
      <c r="B93" s="40" t="inlineStr">
        <is>
          <t>Année</t>
        </is>
      </c>
      <c r="C93" s="40" t="inlineStr">
        <is>
          <t>Mois</t>
        </is>
      </c>
      <c r="D93" s="40" t="inlineStr">
        <is>
          <t>Matricule</t>
        </is>
      </c>
      <c r="E93" s="40" t="inlineStr">
        <is>
          <t>Nom</t>
        </is>
      </c>
      <c r="F93" s="40" t="inlineStr">
        <is>
          <t>BRUT</t>
        </is>
      </c>
      <c r="G93" s="40" t="inlineStr">
        <is>
          <t>CNSS salariale</t>
        </is>
      </c>
      <c r="H93" s="40" t="inlineStr">
        <is>
          <t>IPR</t>
        </is>
      </c>
      <c r="I93" s="40" t="inlineStr">
        <is>
          <t>NET avant retenues</t>
        </is>
      </c>
      <c r="J93" s="40" t="inlineStr">
        <is>
          <t>Avance</t>
        </is>
      </c>
      <c r="K93" s="40" t="inlineStr">
        <is>
          <t>Retenues diverses</t>
        </is>
      </c>
      <c r="L93" s="40" t="inlineStr">
        <is>
          <t>NET À PAYER</t>
        </is>
      </c>
      <c r="M93" s="40" t="inlineStr">
        <is>
          <t>CNSS patronale</t>
        </is>
      </c>
      <c r="N93" s="40" t="inlineStr">
        <is>
          <t>INPP</t>
        </is>
      </c>
      <c r="O93" s="40" t="inlineStr">
        <is>
          <t>ONEM</t>
        </is>
      </c>
      <c r="P93" s="40" t="inlineStr">
        <is>
          <t>Coût total employeur</t>
        </is>
      </c>
    </row>
    <row r="94" hidden="1" outlineLevel="1" ht="15" customHeight="1" s="15">
      <c r="B94" s="69" t="n"/>
      <c r="C94" s="69" t="n"/>
      <c r="D94" s="69" t="n"/>
      <c r="E94" s="70" t="n"/>
      <c r="F94" s="69" t="n"/>
      <c r="G94" s="69" t="n"/>
      <c r="H94" s="69" t="n"/>
      <c r="I94" s="69" t="n"/>
      <c r="J94" s="69" t="n"/>
      <c r="K94" s="69" t="n"/>
      <c r="L94" s="69" t="n"/>
      <c r="M94" s="69" t="n"/>
      <c r="N94" s="69" t="n"/>
      <c r="O94" s="69" t="n"/>
      <c r="P94" s="69" t="n"/>
    </row>
    <row r="95" hidden="1" outlineLevel="1" ht="15" customHeight="1" s="15">
      <c r="B95" s="69" t="n"/>
      <c r="C95" s="69" t="n"/>
      <c r="D95" s="69" t="n"/>
      <c r="E95" s="70" t="n"/>
      <c r="F95" s="69" t="n"/>
      <c r="G95" s="69" t="n"/>
      <c r="H95" s="69" t="n"/>
      <c r="I95" s="69" t="n"/>
      <c r="J95" s="69" t="n"/>
      <c r="K95" s="69" t="n"/>
      <c r="L95" s="69" t="n"/>
      <c r="M95" s="69" t="n"/>
      <c r="N95" s="69" t="n"/>
      <c r="O95" s="69" t="n"/>
      <c r="P95" s="69" t="n"/>
    </row>
    <row r="96" hidden="1" outlineLevel="1" ht="15" customHeight="1" s="15">
      <c r="B96" s="69" t="n"/>
      <c r="C96" s="69" t="n"/>
      <c r="D96" s="69" t="n"/>
      <c r="E96" s="70" t="n"/>
      <c r="F96" s="69" t="n"/>
      <c r="G96" s="69" t="n"/>
      <c r="H96" s="69" t="n"/>
      <c r="I96" s="69" t="n"/>
      <c r="J96" s="69" t="n"/>
      <c r="K96" s="69" t="n"/>
      <c r="L96" s="69" t="n"/>
      <c r="M96" s="69" t="n"/>
      <c r="N96" s="69" t="n"/>
      <c r="O96" s="69" t="n"/>
      <c r="P96" s="69" t="n"/>
    </row>
    <row r="97" hidden="1" outlineLevel="1" ht="15" customHeight="1" s="15">
      <c r="B97" s="69" t="n"/>
      <c r="C97" s="69" t="n"/>
      <c r="D97" s="69" t="n"/>
      <c r="E97" s="70" t="n"/>
      <c r="F97" s="69" t="n"/>
      <c r="G97" s="69" t="n"/>
      <c r="H97" s="69" t="n"/>
      <c r="I97" s="69" t="n"/>
      <c r="J97" s="69" t="n"/>
      <c r="K97" s="69" t="n"/>
      <c r="L97" s="69" t="n"/>
      <c r="M97" s="69" t="n"/>
      <c r="N97" s="69" t="n"/>
      <c r="O97" s="69" t="n"/>
      <c r="P97" s="69" t="n"/>
    </row>
    <row r="98" hidden="1" outlineLevel="1" ht="15" customHeight="1" s="15">
      <c r="B98" s="69" t="n"/>
      <c r="C98" s="69" t="n"/>
      <c r="D98" s="69" t="n"/>
      <c r="E98" s="70" t="n"/>
      <c r="F98" s="69" t="n"/>
      <c r="G98" s="69" t="n"/>
      <c r="H98" s="69" t="n"/>
      <c r="I98" s="69" t="n"/>
      <c r="J98" s="69" t="n"/>
      <c r="K98" s="69" t="n"/>
      <c r="L98" s="69" t="n"/>
      <c r="M98" s="69" t="n"/>
      <c r="N98" s="69" t="n"/>
      <c r="O98" s="69" t="n"/>
      <c r="P98" s="69" t="n"/>
    </row>
    <row r="99" hidden="1" outlineLevel="1" ht="15" customHeight="1" s="15">
      <c r="B99" s="69" t="n"/>
      <c r="C99" s="69" t="n"/>
      <c r="D99" s="69" t="n"/>
      <c r="E99" s="70" t="n"/>
      <c r="F99" s="69" t="n"/>
      <c r="G99" s="69" t="n"/>
      <c r="H99" s="69" t="n"/>
      <c r="I99" s="69" t="n"/>
      <c r="J99" s="69" t="n"/>
      <c r="K99" s="69" t="n"/>
      <c r="L99" s="69" t="n"/>
      <c r="M99" s="69" t="n"/>
      <c r="N99" s="69" t="n"/>
      <c r="O99" s="69" t="n"/>
      <c r="P99" s="69" t="n"/>
    </row>
    <row r="100" hidden="1" outlineLevel="1" ht="15" customHeight="1" s="15">
      <c r="B100" s="69" t="n"/>
      <c r="C100" s="69" t="n"/>
      <c r="D100" s="69" t="n"/>
      <c r="E100" s="70" t="n"/>
      <c r="F100" s="69" t="n"/>
      <c r="G100" s="69" t="n"/>
      <c r="H100" s="69" t="n"/>
      <c r="I100" s="69" t="n"/>
      <c r="J100" s="69" t="n"/>
      <c r="K100" s="69" t="n"/>
      <c r="L100" s="69" t="n"/>
      <c r="M100" s="69" t="n"/>
      <c r="N100" s="69" t="n"/>
      <c r="O100" s="69" t="n"/>
      <c r="P100" s="69" t="n"/>
    </row>
    <row r="101" hidden="1" outlineLevel="1" ht="15" customHeight="1" s="15">
      <c r="B101" s="69" t="n"/>
      <c r="C101" s="69" t="n"/>
      <c r="D101" s="69" t="n"/>
      <c r="E101" s="70" t="n"/>
      <c r="F101" s="69" t="n"/>
      <c r="G101" s="69" t="n"/>
      <c r="H101" s="69" t="n"/>
      <c r="I101" s="69" t="n"/>
      <c r="J101" s="69" t="n"/>
      <c r="K101" s="69" t="n"/>
      <c r="L101" s="69" t="n"/>
      <c r="M101" s="69" t="n"/>
      <c r="N101" s="69" t="n"/>
      <c r="O101" s="69" t="n"/>
      <c r="P101" s="69" t="n"/>
    </row>
    <row r="102" hidden="1" outlineLevel="1" ht="15" customHeight="1" s="15">
      <c r="B102" s="69" t="n"/>
      <c r="C102" s="69" t="n"/>
      <c r="D102" s="69" t="n"/>
      <c r="E102" s="70" t="n"/>
      <c r="F102" s="69" t="n"/>
      <c r="G102" s="69" t="n"/>
      <c r="H102" s="69" t="n"/>
      <c r="I102" s="69" t="n"/>
      <c r="J102" s="69" t="n"/>
      <c r="K102" s="69" t="n"/>
      <c r="L102" s="69" t="n"/>
      <c r="M102" s="69" t="n"/>
      <c r="N102" s="69" t="n"/>
      <c r="O102" s="69" t="n"/>
      <c r="P102" s="69" t="n"/>
    </row>
    <row r="103" hidden="1" outlineLevel="1" ht="15" customHeight="1" s="15">
      <c r="B103" s="69" t="n"/>
      <c r="C103" s="69" t="n"/>
      <c r="D103" s="69" t="n"/>
      <c r="E103" s="70" t="n"/>
      <c r="F103" s="69" t="n"/>
      <c r="G103" s="69" t="n"/>
      <c r="H103" s="69" t="n"/>
      <c r="I103" s="69" t="n"/>
      <c r="J103" s="69" t="n"/>
      <c r="K103" s="69" t="n"/>
      <c r="L103" s="69" t="n"/>
      <c r="M103" s="69" t="n"/>
      <c r="N103" s="69" t="n"/>
      <c r="O103" s="69" t="n"/>
      <c r="P103" s="69" t="n"/>
    </row>
    <row r="104" hidden="1" outlineLevel="1" ht="15" customHeight="1" s="15">
      <c r="B104" s="69" t="n"/>
      <c r="C104" s="69" t="n"/>
      <c r="D104" s="69" t="n"/>
      <c r="E104" s="70" t="n"/>
      <c r="F104" s="69" t="n"/>
      <c r="G104" s="69" t="n"/>
      <c r="H104" s="69" t="n"/>
      <c r="I104" s="69" t="n"/>
      <c r="J104" s="69" t="n"/>
      <c r="K104" s="69" t="n"/>
      <c r="L104" s="69" t="n"/>
      <c r="M104" s="69" t="n"/>
      <c r="N104" s="69" t="n"/>
      <c r="O104" s="69" t="n"/>
      <c r="P104" s="69" t="n"/>
    </row>
    <row r="105" hidden="1" outlineLevel="1" ht="15" customHeight="1" s="15">
      <c r="B105" s="69" t="n"/>
      <c r="C105" s="69" t="n"/>
      <c r="D105" s="69" t="n"/>
      <c r="E105" s="70" t="n"/>
      <c r="F105" s="69" t="n"/>
      <c r="G105" s="69" t="n"/>
      <c r="H105" s="69" t="n"/>
      <c r="I105" s="69" t="n"/>
      <c r="J105" s="69" t="n"/>
      <c r="K105" s="69" t="n"/>
      <c r="L105" s="69" t="n"/>
      <c r="M105" s="69" t="n"/>
      <c r="N105" s="69" t="n"/>
      <c r="O105" s="69" t="n"/>
      <c r="P105" s="69" t="n"/>
    </row>
    <row r="106" hidden="1" outlineLevel="1" ht="15" customHeight="1" s="15">
      <c r="B106" s="69" t="n"/>
      <c r="C106" s="69" t="n"/>
      <c r="D106" s="69" t="n"/>
      <c r="E106" s="70" t="n"/>
      <c r="F106" s="69" t="n"/>
      <c r="G106" s="69" t="n"/>
      <c r="H106" s="69" t="n"/>
      <c r="I106" s="69" t="n"/>
      <c r="J106" s="69" t="n"/>
      <c r="K106" s="69" t="n"/>
      <c r="L106" s="69" t="n"/>
      <c r="M106" s="69" t="n"/>
      <c r="N106" s="69" t="n"/>
      <c r="O106" s="69" t="n"/>
      <c r="P106" s="69" t="n"/>
    </row>
    <row r="107" hidden="1" outlineLevel="1" ht="15" customHeight="1" s="15">
      <c r="B107" s="69" t="n"/>
      <c r="C107" s="69" t="n"/>
      <c r="D107" s="69" t="n"/>
      <c r="E107" s="70" t="n"/>
      <c r="F107" s="69" t="n"/>
      <c r="G107" s="69" t="n"/>
      <c r="H107" s="69" t="n"/>
      <c r="I107" s="69" t="n"/>
      <c r="J107" s="69" t="n"/>
      <c r="K107" s="69" t="n"/>
      <c r="L107" s="69" t="n"/>
      <c r="M107" s="69" t="n"/>
      <c r="N107" s="69" t="n"/>
      <c r="O107" s="69" t="n"/>
      <c r="P107" s="69" t="n"/>
    </row>
    <row r="108" hidden="1" outlineLevel="1" ht="15" customHeight="1" s="15">
      <c r="B108" s="69" t="n"/>
      <c r="C108" s="69" t="n"/>
      <c r="D108" s="69" t="n"/>
      <c r="E108" s="70" t="n"/>
      <c r="F108" s="69" t="n"/>
      <c r="G108" s="69" t="n"/>
      <c r="H108" s="69" t="n"/>
      <c r="I108" s="69" t="n"/>
      <c r="J108" s="69" t="n"/>
      <c r="K108" s="69" t="n"/>
      <c r="L108" s="69" t="n"/>
      <c r="M108" s="69" t="n"/>
      <c r="N108" s="69" t="n"/>
      <c r="O108" s="69" t="n"/>
      <c r="P108" s="69" t="n"/>
    </row>
    <row r="109" hidden="1" outlineLevel="1" ht="15" customHeight="1" s="15">
      <c r="B109" s="69" t="n"/>
      <c r="C109" s="69" t="n"/>
      <c r="D109" s="69" t="n"/>
      <c r="E109" s="70" t="n"/>
      <c r="F109" s="69" t="n"/>
      <c r="G109" s="69" t="n"/>
      <c r="H109" s="69" t="n"/>
      <c r="I109" s="69" t="n"/>
      <c r="J109" s="69" t="n"/>
      <c r="K109" s="69" t="n"/>
      <c r="L109" s="69" t="n"/>
      <c r="M109" s="69" t="n"/>
      <c r="N109" s="69" t="n"/>
      <c r="O109" s="69" t="n"/>
      <c r="P109" s="69" t="n"/>
    </row>
    <row r="110" hidden="1" outlineLevel="1" ht="15" customHeight="1" s="15">
      <c r="B110" s="69" t="n"/>
      <c r="C110" s="69" t="n"/>
      <c r="D110" s="69" t="n"/>
      <c r="E110" s="70" t="n"/>
      <c r="F110" s="69" t="n"/>
      <c r="G110" s="69" t="n"/>
      <c r="H110" s="69" t="n"/>
      <c r="I110" s="69" t="n"/>
      <c r="J110" s="69" t="n"/>
      <c r="K110" s="69" t="n"/>
      <c r="L110" s="69" t="n"/>
      <c r="M110" s="69" t="n"/>
      <c r="N110" s="69" t="n"/>
      <c r="O110" s="69" t="n"/>
      <c r="P110" s="69" t="n"/>
    </row>
    <row r="111" hidden="1" outlineLevel="1" ht="15" customHeight="1" s="15">
      <c r="B111" s="69" t="n"/>
      <c r="C111" s="69" t="n"/>
      <c r="D111" s="69" t="n"/>
      <c r="E111" s="70" t="n"/>
      <c r="F111" s="69" t="n"/>
      <c r="G111" s="69" t="n"/>
      <c r="H111" s="69" t="n"/>
      <c r="I111" s="69" t="n"/>
      <c r="J111" s="69" t="n"/>
      <c r="K111" s="69" t="n"/>
      <c r="L111" s="69" t="n"/>
      <c r="M111" s="69" t="n"/>
      <c r="N111" s="69" t="n"/>
      <c r="O111" s="69" t="n"/>
      <c r="P111" s="69" t="n"/>
    </row>
    <row r="112" hidden="1" outlineLevel="1" ht="15" customHeight="1" s="15">
      <c r="B112" s="69" t="n"/>
      <c r="C112" s="69" t="n"/>
      <c r="D112" s="69" t="n"/>
      <c r="E112" s="70" t="n"/>
      <c r="F112" s="69" t="n"/>
      <c r="G112" s="69" t="n"/>
      <c r="H112" s="69" t="n"/>
      <c r="I112" s="69" t="n"/>
      <c r="J112" s="69" t="n"/>
      <c r="K112" s="69" t="n"/>
      <c r="L112" s="69" t="n"/>
      <c r="M112" s="69" t="n"/>
      <c r="N112" s="69" t="n"/>
      <c r="O112" s="69" t="n"/>
      <c r="P112" s="69" t="n"/>
    </row>
    <row r="113" hidden="1" outlineLevel="1" ht="15" customHeight="1" s="15">
      <c r="B113" s="69" t="n"/>
      <c r="C113" s="69" t="n"/>
      <c r="D113" s="69" t="n"/>
      <c r="E113" s="70" t="n"/>
      <c r="F113" s="69" t="n"/>
      <c r="G113" s="69" t="n"/>
      <c r="H113" s="69" t="n"/>
      <c r="I113" s="69" t="n"/>
      <c r="J113" s="69" t="n"/>
      <c r="K113" s="69" t="n"/>
      <c r="L113" s="69" t="n"/>
      <c r="M113" s="69" t="n"/>
      <c r="N113" s="69" t="n"/>
      <c r="O113" s="69" t="n"/>
      <c r="P113" s="69" t="n"/>
    </row>
    <row r="114" hidden="1" outlineLevel="1" ht="15" customHeight="1" s="15">
      <c r="B114" s="69" t="n"/>
      <c r="C114" s="69" t="n"/>
      <c r="D114" s="69" t="n"/>
      <c r="E114" s="70" t="n"/>
      <c r="F114" s="69" t="n"/>
      <c r="G114" s="69" t="n"/>
      <c r="H114" s="69" t="n"/>
      <c r="I114" s="69" t="n"/>
      <c r="J114" s="69" t="n"/>
      <c r="K114" s="69" t="n"/>
      <c r="L114" s="69" t="n"/>
      <c r="M114" s="69" t="n"/>
      <c r="N114" s="69" t="n"/>
      <c r="O114" s="69" t="n"/>
      <c r="P114" s="69" t="n"/>
    </row>
    <row r="115" hidden="1" outlineLevel="1" ht="15" customHeight="1" s="15">
      <c r="B115" s="69" t="n"/>
      <c r="C115" s="69" t="n"/>
      <c r="D115" s="69" t="n"/>
      <c r="E115" s="70" t="n"/>
      <c r="F115" s="69" t="n"/>
      <c r="G115" s="69" t="n"/>
      <c r="H115" s="69" t="n"/>
      <c r="I115" s="69" t="n"/>
      <c r="J115" s="69" t="n"/>
      <c r="K115" s="69" t="n"/>
      <c r="L115" s="69" t="n"/>
      <c r="M115" s="69" t="n"/>
      <c r="N115" s="69" t="n"/>
      <c r="O115" s="69" t="n"/>
      <c r="P115" s="69" t="n"/>
    </row>
    <row r="116" hidden="1" outlineLevel="1" ht="15" customHeight="1" s="15">
      <c r="B116" s="69" t="n"/>
      <c r="C116" s="69" t="n"/>
      <c r="D116" s="69" t="n"/>
      <c r="E116" s="70" t="n"/>
      <c r="F116" s="69" t="n"/>
      <c r="G116" s="69" t="n"/>
      <c r="H116" s="69" t="n"/>
      <c r="I116" s="69" t="n"/>
      <c r="J116" s="69" t="n"/>
      <c r="K116" s="69" t="n"/>
      <c r="L116" s="69" t="n"/>
      <c r="M116" s="69" t="n"/>
      <c r="N116" s="69" t="n"/>
      <c r="O116" s="69" t="n"/>
      <c r="P116" s="69" t="n"/>
    </row>
    <row r="117" hidden="1" outlineLevel="1" ht="15" customHeight="1" s="15">
      <c r="B117" s="69" t="n"/>
      <c r="C117" s="69" t="n"/>
      <c r="D117" s="69" t="n"/>
      <c r="E117" s="70" t="n"/>
      <c r="F117" s="69" t="n"/>
      <c r="G117" s="69" t="n"/>
      <c r="H117" s="69" t="n"/>
      <c r="I117" s="69" t="n"/>
      <c r="J117" s="69" t="n"/>
      <c r="K117" s="69" t="n"/>
      <c r="L117" s="69" t="n"/>
      <c r="M117" s="69" t="n"/>
      <c r="N117" s="69" t="n"/>
      <c r="O117" s="69" t="n"/>
      <c r="P117" s="69" t="n"/>
    </row>
    <row r="118" hidden="1" outlineLevel="1" ht="15" customHeight="1" s="15">
      <c r="B118" s="69" t="n"/>
      <c r="C118" s="69" t="n"/>
      <c r="D118" s="69" t="n"/>
      <c r="E118" s="70" t="n"/>
      <c r="F118" s="69" t="n"/>
      <c r="G118" s="69" t="n"/>
      <c r="H118" s="69" t="n"/>
      <c r="I118" s="69" t="n"/>
      <c r="J118" s="69" t="n"/>
      <c r="K118" s="69" t="n"/>
      <c r="L118" s="69" t="n"/>
      <c r="M118" s="69" t="n"/>
      <c r="N118" s="69" t="n"/>
      <c r="O118" s="69" t="n"/>
      <c r="P118" s="69" t="n"/>
    </row>
    <row r="119" hidden="1" outlineLevel="1" ht="15" customHeight="1" s="15">
      <c r="B119" s="69" t="n"/>
      <c r="C119" s="69" t="n"/>
      <c r="D119" s="69" t="n"/>
      <c r="E119" s="70" t="n"/>
      <c r="F119" s="69" t="n"/>
      <c r="G119" s="69" t="n"/>
      <c r="H119" s="69" t="n"/>
      <c r="I119" s="69" t="n"/>
      <c r="J119" s="69" t="n"/>
      <c r="K119" s="69" t="n"/>
      <c r="L119" s="69" t="n"/>
      <c r="M119" s="69" t="n"/>
      <c r="N119" s="69" t="n"/>
      <c r="O119" s="69" t="n"/>
      <c r="P119" s="69" t="n"/>
    </row>
    <row r="120" hidden="1" outlineLevel="1" ht="15" customHeight="1" s="15">
      <c r="B120" s="69" t="n"/>
      <c r="C120" s="69" t="n"/>
      <c r="D120" s="69" t="n"/>
      <c r="E120" s="70" t="n"/>
      <c r="F120" s="69" t="n"/>
      <c r="G120" s="69" t="n"/>
      <c r="H120" s="69" t="n"/>
      <c r="I120" s="69" t="n"/>
      <c r="J120" s="69" t="n"/>
      <c r="K120" s="69" t="n"/>
      <c r="L120" s="69" t="n"/>
      <c r="M120" s="69" t="n"/>
      <c r="N120" s="69" t="n"/>
      <c r="O120" s="69" t="n"/>
      <c r="P120" s="69" t="n"/>
    </row>
    <row r="121" hidden="1" outlineLevel="1" ht="15" customHeight="1" s="15">
      <c r="B121" s="69" t="n"/>
      <c r="C121" s="69" t="n"/>
      <c r="D121" s="69" t="n"/>
      <c r="E121" s="70" t="n"/>
      <c r="F121" s="69" t="n"/>
      <c r="G121" s="69" t="n"/>
      <c r="H121" s="69" t="n"/>
      <c r="I121" s="69" t="n"/>
      <c r="J121" s="69" t="n"/>
      <c r="K121" s="69" t="n"/>
      <c r="L121" s="69" t="n"/>
      <c r="M121" s="69" t="n"/>
      <c r="N121" s="69" t="n"/>
      <c r="O121" s="69" t="n"/>
      <c r="P121" s="69" t="n"/>
    </row>
    <row r="122" hidden="1" outlineLevel="1" ht="15" customHeight="1" s="15">
      <c r="B122" s="69" t="n"/>
      <c r="C122" s="69" t="n"/>
      <c r="D122" s="69" t="n"/>
      <c r="E122" s="70" t="n"/>
      <c r="F122" s="69" t="n"/>
      <c r="G122" s="69" t="n"/>
      <c r="H122" s="69" t="n"/>
      <c r="I122" s="69" t="n"/>
      <c r="J122" s="69" t="n"/>
      <c r="K122" s="69" t="n"/>
      <c r="L122" s="69" t="n"/>
      <c r="M122" s="69" t="n"/>
      <c r="N122" s="69" t="n"/>
      <c r="O122" s="69" t="n"/>
      <c r="P122" s="69" t="n"/>
    </row>
    <row r="123" hidden="1" outlineLevel="1" ht="15" customHeight="1" s="15">
      <c r="B123" s="69" t="n"/>
      <c r="C123" s="69" t="n"/>
      <c r="D123" s="69" t="n"/>
      <c r="E123" s="70" t="n"/>
      <c r="F123" s="69" t="n"/>
      <c r="G123" s="69" t="n"/>
      <c r="H123" s="69" t="n"/>
      <c r="I123" s="69" t="n"/>
      <c r="J123" s="69" t="n"/>
      <c r="K123" s="69" t="n"/>
      <c r="L123" s="69" t="n"/>
      <c r="M123" s="69" t="n"/>
      <c r="N123" s="69" t="n"/>
      <c r="O123" s="69" t="n"/>
      <c r="P123" s="69" t="n"/>
    </row>
    <row r="124" hidden="1" outlineLevel="1" ht="15" customHeight="1" s="15">
      <c r="B124" s="69" t="n"/>
      <c r="C124" s="69" t="n"/>
      <c r="D124" s="69" t="n"/>
      <c r="E124" s="70" t="n"/>
      <c r="F124" s="69" t="n"/>
      <c r="G124" s="69" t="n"/>
      <c r="H124" s="69" t="n"/>
      <c r="I124" s="69" t="n"/>
      <c r="J124" s="69" t="n"/>
      <c r="K124" s="69" t="n"/>
      <c r="L124" s="69" t="n"/>
      <c r="M124" s="69" t="n"/>
      <c r="N124" s="69" t="n"/>
      <c r="O124" s="69" t="n"/>
      <c r="P124" s="69" t="n"/>
    </row>
    <row r="125" hidden="1" outlineLevel="1" ht="15" customHeight="1" s="15">
      <c r="B125" s="69" t="n"/>
      <c r="C125" s="69" t="n"/>
      <c r="D125" s="69" t="n"/>
      <c r="E125" s="70" t="n"/>
      <c r="F125" s="69" t="n"/>
      <c r="G125" s="69" t="n"/>
      <c r="H125" s="69" t="n"/>
      <c r="I125" s="69" t="n"/>
      <c r="J125" s="69" t="n"/>
      <c r="K125" s="69" t="n"/>
      <c r="L125" s="69" t="n"/>
      <c r="M125" s="69" t="n"/>
      <c r="N125" s="69" t="n"/>
      <c r="O125" s="69" t="n"/>
      <c r="P125" s="69" t="n"/>
    </row>
    <row r="126" hidden="1" outlineLevel="1" ht="15" customHeight="1" s="15">
      <c r="B126" s="69" t="n"/>
      <c r="C126" s="69" t="n"/>
      <c r="D126" s="69" t="n"/>
      <c r="E126" s="70" t="n"/>
      <c r="F126" s="69" t="n"/>
      <c r="G126" s="69" t="n"/>
      <c r="H126" s="69" t="n"/>
      <c r="I126" s="69" t="n"/>
      <c r="J126" s="69" t="n"/>
      <c r="K126" s="69" t="n"/>
      <c r="L126" s="69" t="n"/>
      <c r="M126" s="69" t="n"/>
      <c r="N126" s="69" t="n"/>
      <c r="O126" s="69" t="n"/>
      <c r="P126" s="69" t="n"/>
    </row>
    <row r="127" hidden="1" outlineLevel="1" ht="15" customHeight="1" s="15">
      <c r="B127" s="69" t="n"/>
      <c r="C127" s="69" t="n"/>
      <c r="D127" s="69" t="n"/>
      <c r="E127" s="70" t="n"/>
      <c r="F127" s="69" t="n"/>
      <c r="G127" s="69" t="n"/>
      <c r="H127" s="69" t="n"/>
      <c r="I127" s="69" t="n"/>
      <c r="J127" s="69" t="n"/>
      <c r="K127" s="69" t="n"/>
      <c r="L127" s="69" t="n"/>
      <c r="M127" s="69" t="n"/>
      <c r="N127" s="69" t="n"/>
      <c r="O127" s="69" t="n"/>
      <c r="P127" s="69" t="n"/>
    </row>
    <row r="128" hidden="1" outlineLevel="1" ht="15" customHeight="1" s="15">
      <c r="B128" s="69" t="n"/>
      <c r="C128" s="69" t="n"/>
      <c r="D128" s="69" t="n"/>
      <c r="E128" s="70" t="n"/>
      <c r="F128" s="69" t="n"/>
      <c r="G128" s="69" t="n"/>
      <c r="H128" s="69" t="n"/>
      <c r="I128" s="69" t="n"/>
      <c r="J128" s="69" t="n"/>
      <c r="K128" s="69" t="n"/>
      <c r="L128" s="69" t="n"/>
      <c r="M128" s="69" t="n"/>
      <c r="N128" s="69" t="n"/>
      <c r="O128" s="69" t="n"/>
      <c r="P128" s="69" t="n"/>
    </row>
    <row r="129" hidden="1" outlineLevel="1" ht="15" customHeight="1" s="15">
      <c r="B129" s="69" t="n"/>
      <c r="C129" s="69" t="n"/>
      <c r="D129" s="69" t="n"/>
      <c r="E129" s="70" t="n"/>
      <c r="F129" s="69" t="n"/>
      <c r="G129" s="69" t="n"/>
      <c r="H129" s="69" t="n"/>
      <c r="I129" s="69" t="n"/>
      <c r="J129" s="69" t="n"/>
      <c r="K129" s="69" t="n"/>
      <c r="L129" s="69" t="n"/>
      <c r="M129" s="69" t="n"/>
      <c r="N129" s="69" t="n"/>
      <c r="O129" s="69" t="n"/>
      <c r="P129" s="69" t="n"/>
    </row>
    <row r="130" hidden="1" outlineLevel="1" ht="15" customHeight="1" s="15">
      <c r="B130" s="69" t="n"/>
      <c r="C130" s="69" t="n"/>
      <c r="D130" s="69" t="n"/>
      <c r="E130" s="70" t="n"/>
      <c r="F130" s="69" t="n"/>
      <c r="G130" s="69" t="n"/>
      <c r="H130" s="69" t="n"/>
      <c r="I130" s="69" t="n"/>
      <c r="J130" s="69" t="n"/>
      <c r="K130" s="69" t="n"/>
      <c r="L130" s="69" t="n"/>
      <c r="M130" s="69" t="n"/>
      <c r="N130" s="69" t="n"/>
      <c r="O130" s="69" t="n"/>
      <c r="P130" s="69" t="n"/>
    </row>
    <row r="131" hidden="1" outlineLevel="1" ht="15" customHeight="1" s="15">
      <c r="B131" s="69" t="n"/>
      <c r="C131" s="69" t="n"/>
      <c r="D131" s="69" t="n"/>
      <c r="E131" s="70" t="n"/>
      <c r="F131" s="69" t="n"/>
      <c r="G131" s="69" t="n"/>
      <c r="H131" s="69" t="n"/>
      <c r="I131" s="69" t="n"/>
      <c r="J131" s="69" t="n"/>
      <c r="K131" s="69" t="n"/>
      <c r="L131" s="69" t="n"/>
      <c r="M131" s="69" t="n"/>
      <c r="N131" s="69" t="n"/>
      <c r="O131" s="69" t="n"/>
      <c r="P131" s="69" t="n"/>
    </row>
    <row r="132" hidden="1" outlineLevel="1" ht="15" customHeight="1" s="15">
      <c r="B132" s="69" t="n"/>
      <c r="C132" s="69" t="n"/>
      <c r="D132" s="69" t="n"/>
      <c r="E132" s="70" t="n"/>
      <c r="F132" s="69" t="n"/>
      <c r="G132" s="69" t="n"/>
      <c r="H132" s="69" t="n"/>
      <c r="I132" s="69" t="n"/>
      <c r="J132" s="69" t="n"/>
      <c r="K132" s="69" t="n"/>
      <c r="L132" s="69" t="n"/>
      <c r="M132" s="69" t="n"/>
      <c r="N132" s="69" t="n"/>
      <c r="O132" s="69" t="n"/>
      <c r="P132" s="69" t="n"/>
    </row>
    <row r="133" hidden="1" outlineLevel="1" ht="15" customHeight="1" s="15">
      <c r="B133" s="69" t="n"/>
      <c r="C133" s="69" t="n"/>
      <c r="D133" s="69" t="n"/>
      <c r="E133" s="70" t="n"/>
      <c r="F133" s="69" t="n"/>
      <c r="G133" s="69" t="n"/>
      <c r="H133" s="69" t="n"/>
      <c r="I133" s="69" t="n"/>
      <c r="J133" s="69" t="n"/>
      <c r="K133" s="69" t="n"/>
      <c r="L133" s="69" t="n"/>
      <c r="M133" s="69" t="n"/>
      <c r="N133" s="69" t="n"/>
      <c r="O133" s="69" t="n"/>
      <c r="P133" s="69" t="n"/>
    </row>
    <row r="134" hidden="1" outlineLevel="1" ht="15" customHeight="1" s="15">
      <c r="B134" s="69" t="n"/>
      <c r="C134" s="69" t="n"/>
      <c r="D134" s="69" t="n"/>
      <c r="E134" s="70" t="n"/>
      <c r="F134" s="69" t="n"/>
      <c r="G134" s="69" t="n"/>
      <c r="H134" s="69" t="n"/>
      <c r="I134" s="69" t="n"/>
      <c r="J134" s="69" t="n"/>
      <c r="K134" s="69" t="n"/>
      <c r="L134" s="69" t="n"/>
      <c r="M134" s="69" t="n"/>
      <c r="N134" s="69" t="n"/>
      <c r="O134" s="69" t="n"/>
      <c r="P134" s="69" t="n"/>
    </row>
    <row r="135" hidden="1" outlineLevel="1" ht="15" customHeight="1" s="15">
      <c r="B135" s="69" t="n"/>
      <c r="C135" s="69" t="n"/>
      <c r="D135" s="69" t="n"/>
      <c r="E135" s="70" t="n"/>
      <c r="F135" s="69" t="n"/>
      <c r="G135" s="69" t="n"/>
      <c r="H135" s="69" t="n"/>
      <c r="I135" s="69" t="n"/>
      <c r="J135" s="69" t="n"/>
      <c r="K135" s="69" t="n"/>
      <c r="L135" s="69" t="n"/>
      <c r="M135" s="69" t="n"/>
      <c r="N135" s="69" t="n"/>
      <c r="O135" s="69" t="n"/>
      <c r="P135" s="69" t="n"/>
    </row>
    <row r="136" hidden="1" outlineLevel="1" ht="15" customHeight="1" s="15">
      <c r="B136" s="69" t="n"/>
      <c r="C136" s="69" t="n"/>
      <c r="D136" s="69" t="n"/>
      <c r="E136" s="70" t="n"/>
      <c r="F136" s="69" t="n"/>
      <c r="G136" s="69" t="n"/>
      <c r="H136" s="69" t="n"/>
      <c r="I136" s="69" t="n"/>
      <c r="J136" s="69" t="n"/>
      <c r="K136" s="69" t="n"/>
      <c r="L136" s="69" t="n"/>
      <c r="M136" s="69" t="n"/>
      <c r="N136" s="69" t="n"/>
      <c r="O136" s="69" t="n"/>
      <c r="P136" s="69" t="n"/>
    </row>
    <row r="137" hidden="1" outlineLevel="1" ht="15" customHeight="1" s="15">
      <c r="B137" s="69" t="n"/>
      <c r="C137" s="69" t="n"/>
      <c r="D137" s="69" t="n"/>
      <c r="E137" s="70" t="n"/>
      <c r="F137" s="69" t="n"/>
      <c r="G137" s="69" t="n"/>
      <c r="H137" s="69" t="n"/>
      <c r="I137" s="69" t="n"/>
      <c r="J137" s="69" t="n"/>
      <c r="K137" s="69" t="n"/>
      <c r="L137" s="69" t="n"/>
      <c r="M137" s="69" t="n"/>
      <c r="N137" s="69" t="n"/>
      <c r="O137" s="69" t="n"/>
      <c r="P137" s="69" t="n"/>
    </row>
    <row r="138" hidden="1" outlineLevel="1" ht="15" customHeight="1" s="15">
      <c r="B138" s="69" t="n"/>
      <c r="C138" s="69" t="n"/>
      <c r="D138" s="69" t="n"/>
      <c r="E138" s="70" t="n"/>
      <c r="F138" s="69" t="n"/>
      <c r="G138" s="69" t="n"/>
      <c r="H138" s="69" t="n"/>
      <c r="I138" s="69" t="n"/>
      <c r="J138" s="69" t="n"/>
      <c r="K138" s="69" t="n"/>
      <c r="L138" s="69" t="n"/>
      <c r="M138" s="69" t="n"/>
      <c r="N138" s="69" t="n"/>
      <c r="O138" s="69" t="n"/>
      <c r="P138" s="69" t="n"/>
    </row>
    <row r="139" hidden="1" outlineLevel="1" ht="15" customHeight="1" s="15">
      <c r="B139" s="69" t="n"/>
      <c r="C139" s="69" t="n"/>
      <c r="D139" s="69" t="n"/>
      <c r="E139" s="70" t="n"/>
      <c r="F139" s="69" t="n"/>
      <c r="G139" s="69" t="n"/>
      <c r="H139" s="69" t="n"/>
      <c r="I139" s="69" t="n"/>
      <c r="J139" s="69" t="n"/>
      <c r="K139" s="69" t="n"/>
      <c r="L139" s="69" t="n"/>
      <c r="M139" s="69" t="n"/>
      <c r="N139" s="69" t="n"/>
      <c r="O139" s="69" t="n"/>
      <c r="P139" s="69" t="n"/>
    </row>
    <row r="140" hidden="1" outlineLevel="1" ht="15" customHeight="1" s="15">
      <c r="B140" s="69" t="n"/>
      <c r="C140" s="69" t="n"/>
      <c r="D140" s="69" t="n"/>
      <c r="E140" s="70" t="n"/>
      <c r="F140" s="69" t="n"/>
      <c r="G140" s="69" t="n"/>
      <c r="H140" s="69" t="n"/>
      <c r="I140" s="69" t="n"/>
      <c r="J140" s="69" t="n"/>
      <c r="K140" s="69" t="n"/>
      <c r="L140" s="69" t="n"/>
      <c r="M140" s="69" t="n"/>
      <c r="N140" s="69" t="n"/>
      <c r="O140" s="69" t="n"/>
      <c r="P140" s="69" t="n"/>
    </row>
    <row r="141" hidden="1" outlineLevel="1" ht="15" customHeight="1" s="15">
      <c r="B141" s="69" t="n"/>
      <c r="C141" s="69" t="n"/>
      <c r="D141" s="69" t="n"/>
      <c r="E141" s="70" t="n"/>
      <c r="F141" s="69" t="n"/>
      <c r="G141" s="69" t="n"/>
      <c r="H141" s="69" t="n"/>
      <c r="I141" s="69" t="n"/>
      <c r="J141" s="69" t="n"/>
      <c r="K141" s="69" t="n"/>
      <c r="L141" s="69" t="n"/>
      <c r="M141" s="69" t="n"/>
      <c r="N141" s="69" t="n"/>
      <c r="O141" s="69" t="n"/>
      <c r="P141" s="69" t="n"/>
    </row>
    <row r="142" hidden="1" outlineLevel="1" ht="15" customHeight="1" s="15">
      <c r="B142" s="69" t="n"/>
      <c r="C142" s="69" t="n"/>
      <c r="D142" s="69" t="n"/>
      <c r="E142" s="70" t="n"/>
      <c r="F142" s="69" t="n"/>
      <c r="G142" s="69" t="n"/>
      <c r="H142" s="69" t="n"/>
      <c r="I142" s="69" t="n"/>
      <c r="J142" s="69" t="n"/>
      <c r="K142" s="69" t="n"/>
      <c r="L142" s="69" t="n"/>
      <c r="M142" s="69" t="n"/>
      <c r="N142" s="69" t="n"/>
      <c r="O142" s="69" t="n"/>
      <c r="P142" s="69" t="n"/>
    </row>
    <row r="143" hidden="1" outlineLevel="1" ht="15" customHeight="1" s="15">
      <c r="B143" s="69" t="n"/>
      <c r="C143" s="69" t="n"/>
      <c r="D143" s="69" t="n"/>
      <c r="E143" s="70" t="n"/>
      <c r="F143" s="69" t="n"/>
      <c r="G143" s="69" t="n"/>
      <c r="H143" s="69" t="n"/>
      <c r="I143" s="69" t="n"/>
      <c r="J143" s="69" t="n"/>
      <c r="K143" s="69" t="n"/>
      <c r="L143" s="69" t="n"/>
      <c r="M143" s="69" t="n"/>
      <c r="N143" s="69" t="n"/>
      <c r="O143" s="69" t="n"/>
      <c r="P143" s="69" t="n"/>
    </row>
    <row r="144" hidden="1" outlineLevel="1" ht="15" customHeight="1" s="15">
      <c r="B144" s="69" t="n"/>
      <c r="C144" s="69" t="n"/>
      <c r="D144" s="69" t="n"/>
      <c r="E144" s="70" t="n"/>
      <c r="F144" s="69" t="n"/>
      <c r="G144" s="69" t="n"/>
      <c r="H144" s="69" t="n"/>
      <c r="I144" s="69" t="n"/>
      <c r="J144" s="69" t="n"/>
      <c r="K144" s="69" t="n"/>
      <c r="L144" s="69" t="n"/>
      <c r="M144" s="69" t="n"/>
      <c r="N144" s="69" t="n"/>
      <c r="O144" s="69" t="n"/>
      <c r="P144" s="69" t="n"/>
    </row>
    <row r="145" hidden="1" outlineLevel="1" ht="15" customHeight="1" s="15">
      <c r="B145" s="69" t="n"/>
      <c r="C145" s="69" t="n"/>
      <c r="D145" s="69" t="n"/>
      <c r="E145" s="70" t="n"/>
      <c r="F145" s="69" t="n"/>
      <c r="G145" s="69" t="n"/>
      <c r="H145" s="69" t="n"/>
      <c r="I145" s="69" t="n"/>
      <c r="J145" s="69" t="n"/>
      <c r="K145" s="69" t="n"/>
      <c r="L145" s="69" t="n"/>
      <c r="M145" s="69" t="n"/>
      <c r="N145" s="69" t="n"/>
      <c r="O145" s="69" t="n"/>
      <c r="P145" s="69" t="n"/>
    </row>
    <row r="146" hidden="1" outlineLevel="1" ht="15" customHeight="1" s="15">
      <c r="B146" s="69" t="n"/>
      <c r="C146" s="69" t="n"/>
      <c r="D146" s="69" t="n"/>
      <c r="E146" s="70" t="n"/>
      <c r="F146" s="69" t="n"/>
      <c r="G146" s="69" t="n"/>
      <c r="H146" s="69" t="n"/>
      <c r="I146" s="69" t="n"/>
      <c r="J146" s="69" t="n"/>
      <c r="K146" s="69" t="n"/>
      <c r="L146" s="69" t="n"/>
      <c r="M146" s="69" t="n"/>
      <c r="N146" s="69" t="n"/>
      <c r="O146" s="69" t="n"/>
      <c r="P146" s="69" t="n"/>
    </row>
    <row r="147" hidden="1" outlineLevel="1" ht="15" customHeight="1" s="15">
      <c r="B147" s="69" t="n"/>
      <c r="C147" s="69" t="n"/>
      <c r="D147" s="69" t="n"/>
      <c r="E147" s="70" t="n"/>
      <c r="F147" s="69" t="n"/>
      <c r="G147" s="69" t="n"/>
      <c r="H147" s="69" t="n"/>
      <c r="I147" s="69" t="n"/>
      <c r="J147" s="69" t="n"/>
      <c r="K147" s="69" t="n"/>
      <c r="L147" s="69" t="n"/>
      <c r="M147" s="69" t="n"/>
      <c r="N147" s="69" t="n"/>
      <c r="O147" s="69" t="n"/>
      <c r="P147" s="69" t="n"/>
    </row>
    <row r="148" hidden="1" outlineLevel="1" ht="15" customHeight="1" s="15">
      <c r="B148" s="69" t="n"/>
      <c r="C148" s="69" t="n"/>
      <c r="D148" s="69" t="n"/>
      <c r="E148" s="70" t="n"/>
      <c r="F148" s="69" t="n"/>
      <c r="G148" s="69" t="n"/>
      <c r="H148" s="69" t="n"/>
      <c r="I148" s="69" t="n"/>
      <c r="J148" s="69" t="n"/>
      <c r="K148" s="69" t="n"/>
      <c r="L148" s="69" t="n"/>
      <c r="M148" s="69" t="n"/>
      <c r="N148" s="69" t="n"/>
      <c r="O148" s="69" t="n"/>
      <c r="P148" s="69" t="n"/>
    </row>
    <row r="149" hidden="1" outlineLevel="1" ht="15" customHeight="1" s="15">
      <c r="B149" s="69" t="n"/>
      <c r="C149" s="69" t="n"/>
      <c r="D149" s="69" t="n"/>
      <c r="E149" s="70" t="n"/>
      <c r="F149" s="69" t="n"/>
      <c r="G149" s="69" t="n"/>
      <c r="H149" s="69" t="n"/>
      <c r="I149" s="69" t="n"/>
      <c r="J149" s="69" t="n"/>
      <c r="K149" s="69" t="n"/>
      <c r="L149" s="69" t="n"/>
      <c r="M149" s="69" t="n"/>
      <c r="N149" s="69" t="n"/>
      <c r="O149" s="69" t="n"/>
      <c r="P149" s="69" t="n"/>
    </row>
    <row r="150" hidden="1" outlineLevel="1" ht="15" customHeight="1" s="15">
      <c r="B150" s="69" t="n"/>
      <c r="C150" s="69" t="n"/>
      <c r="D150" s="69" t="n"/>
      <c r="E150" s="70" t="n"/>
      <c r="F150" s="69" t="n"/>
      <c r="G150" s="69" t="n"/>
      <c r="H150" s="69" t="n"/>
      <c r="I150" s="69" t="n"/>
      <c r="J150" s="69" t="n"/>
      <c r="K150" s="69" t="n"/>
      <c r="L150" s="69" t="n"/>
      <c r="M150" s="69" t="n"/>
      <c r="N150" s="69" t="n"/>
      <c r="O150" s="69" t="n"/>
      <c r="P150" s="69" t="n"/>
    </row>
    <row r="151" hidden="1" outlineLevel="1" ht="15" customHeight="1" s="15">
      <c r="B151" s="69" t="n"/>
      <c r="C151" s="69" t="n"/>
      <c r="D151" s="69" t="n"/>
      <c r="E151" s="70" t="n"/>
      <c r="F151" s="69" t="n"/>
      <c r="G151" s="69" t="n"/>
      <c r="H151" s="69" t="n"/>
      <c r="I151" s="69" t="n"/>
      <c r="J151" s="69" t="n"/>
      <c r="K151" s="69" t="n"/>
      <c r="L151" s="69" t="n"/>
      <c r="M151" s="69" t="n"/>
      <c r="N151" s="69" t="n"/>
      <c r="O151" s="69" t="n"/>
      <c r="P151" s="69" t="n"/>
    </row>
    <row r="152" hidden="1" outlineLevel="1" ht="15" customHeight="1" s="15">
      <c r="B152" s="69" t="n"/>
      <c r="C152" s="69" t="n"/>
      <c r="D152" s="69" t="n"/>
      <c r="E152" s="70" t="n"/>
      <c r="F152" s="69" t="n"/>
      <c r="G152" s="69" t="n"/>
      <c r="H152" s="69" t="n"/>
      <c r="I152" s="69" t="n"/>
      <c r="J152" s="69" t="n"/>
      <c r="K152" s="69" t="n"/>
      <c r="L152" s="69" t="n"/>
      <c r="M152" s="69" t="n"/>
      <c r="N152" s="69" t="n"/>
      <c r="O152" s="69" t="n"/>
      <c r="P152" s="69" t="n"/>
    </row>
    <row r="153" hidden="1" outlineLevel="1" ht="15" customHeight="1" s="15">
      <c r="B153" s="69" t="n"/>
      <c r="C153" s="69" t="n"/>
      <c r="D153" s="69" t="n"/>
      <c r="E153" s="70" t="n"/>
      <c r="F153" s="69" t="n"/>
      <c r="G153" s="69" t="n"/>
      <c r="H153" s="69" t="n"/>
      <c r="I153" s="69" t="n"/>
      <c r="J153" s="69" t="n"/>
      <c r="K153" s="69" t="n"/>
      <c r="L153" s="69" t="n"/>
      <c r="M153" s="69" t="n"/>
      <c r="N153" s="69" t="n"/>
      <c r="O153" s="69" t="n"/>
      <c r="P153" s="69" t="n"/>
    </row>
    <row r="154" collapsed="1" ht="19.5" customHeight="1" s="15">
      <c r="B154" s="6" t="inlineStr">
        <is>
          <t>ℹ  Coller ici (Collage spécial &gt; Valeurs) les lignes agents de JOURNAL pour Février — fond bleu-gris = zone d'archive, pas de formule.</t>
        </is>
      </c>
    </row>
    <row r="156" ht="19.5" customHeight="1" s="15">
      <c r="B156" s="4" t="inlineStr">
        <is>
          <t xml:space="preserve">  MARS — bloc à remplir à la clôture</t>
        </is>
      </c>
    </row>
    <row r="157" ht="25.5" customHeight="1" s="15">
      <c r="B157" s="40" t="inlineStr">
        <is>
          <t>Année</t>
        </is>
      </c>
      <c r="C157" s="40" t="inlineStr">
        <is>
          <t>Mois</t>
        </is>
      </c>
      <c r="D157" s="40" t="inlineStr">
        <is>
          <t>Matricule</t>
        </is>
      </c>
      <c r="E157" s="40" t="inlineStr">
        <is>
          <t>Nom</t>
        </is>
      </c>
      <c r="F157" s="40" t="inlineStr">
        <is>
          <t>BRUT</t>
        </is>
      </c>
      <c r="G157" s="40" t="inlineStr">
        <is>
          <t>CNSS salariale</t>
        </is>
      </c>
      <c r="H157" s="40" t="inlineStr">
        <is>
          <t>IPR</t>
        </is>
      </c>
      <c r="I157" s="40" t="inlineStr">
        <is>
          <t>NET avant retenues</t>
        </is>
      </c>
      <c r="J157" s="40" t="inlineStr">
        <is>
          <t>Avance</t>
        </is>
      </c>
      <c r="K157" s="40" t="inlineStr">
        <is>
          <t>Retenues diverses</t>
        </is>
      </c>
      <c r="L157" s="40" t="inlineStr">
        <is>
          <t>NET À PAYER</t>
        </is>
      </c>
      <c r="M157" s="40" t="inlineStr">
        <is>
          <t>CNSS patronale</t>
        </is>
      </c>
      <c r="N157" s="40" t="inlineStr">
        <is>
          <t>INPP</t>
        </is>
      </c>
      <c r="O157" s="40" t="inlineStr">
        <is>
          <t>ONEM</t>
        </is>
      </c>
      <c r="P157" s="40" t="inlineStr">
        <is>
          <t>Coût total employeur</t>
        </is>
      </c>
    </row>
    <row r="158" hidden="1" outlineLevel="1" ht="15" customHeight="1" s="15">
      <c r="B158" s="69" t="n"/>
      <c r="C158" s="69" t="n"/>
      <c r="D158" s="69" t="n"/>
      <c r="E158" s="70" t="n"/>
      <c r="F158" s="69" t="n"/>
      <c r="G158" s="69" t="n"/>
      <c r="H158" s="69" t="n"/>
      <c r="I158" s="69" t="n"/>
      <c r="J158" s="69" t="n"/>
      <c r="K158" s="69" t="n"/>
      <c r="L158" s="69" t="n"/>
      <c r="M158" s="69" t="n"/>
      <c r="N158" s="69" t="n"/>
      <c r="O158" s="69" t="n"/>
      <c r="P158" s="69" t="n"/>
    </row>
    <row r="159" hidden="1" outlineLevel="1" ht="15" customHeight="1" s="15">
      <c r="B159" s="69" t="n"/>
      <c r="C159" s="69" t="n"/>
      <c r="D159" s="69" t="n"/>
      <c r="E159" s="70" t="n"/>
      <c r="F159" s="69" t="n"/>
      <c r="G159" s="69" t="n"/>
      <c r="H159" s="69" t="n"/>
      <c r="I159" s="69" t="n"/>
      <c r="J159" s="69" t="n"/>
      <c r="K159" s="69" t="n"/>
      <c r="L159" s="69" t="n"/>
      <c r="M159" s="69" t="n"/>
      <c r="N159" s="69" t="n"/>
      <c r="O159" s="69" t="n"/>
      <c r="P159" s="69" t="n"/>
    </row>
    <row r="160" hidden="1" outlineLevel="1" ht="15" customHeight="1" s="15">
      <c r="B160" s="69" t="n"/>
      <c r="C160" s="69" t="n"/>
      <c r="D160" s="69" t="n"/>
      <c r="E160" s="70" t="n"/>
      <c r="F160" s="69" t="n"/>
      <c r="G160" s="69" t="n"/>
      <c r="H160" s="69" t="n"/>
      <c r="I160" s="69" t="n"/>
      <c r="J160" s="69" t="n"/>
      <c r="K160" s="69" t="n"/>
      <c r="L160" s="69" t="n"/>
      <c r="M160" s="69" t="n"/>
      <c r="N160" s="69" t="n"/>
      <c r="O160" s="69" t="n"/>
      <c r="P160" s="69" t="n"/>
    </row>
    <row r="161" hidden="1" outlineLevel="1" ht="15" customHeight="1" s="15">
      <c r="B161" s="69" t="n"/>
      <c r="C161" s="69" t="n"/>
      <c r="D161" s="69" t="n"/>
      <c r="E161" s="70" t="n"/>
      <c r="F161" s="69" t="n"/>
      <c r="G161" s="69" t="n"/>
      <c r="H161" s="69" t="n"/>
      <c r="I161" s="69" t="n"/>
      <c r="J161" s="69" t="n"/>
      <c r="K161" s="69" t="n"/>
      <c r="L161" s="69" t="n"/>
      <c r="M161" s="69" t="n"/>
      <c r="N161" s="69" t="n"/>
      <c r="O161" s="69" t="n"/>
      <c r="P161" s="69" t="n"/>
    </row>
    <row r="162" hidden="1" outlineLevel="1" ht="15" customHeight="1" s="15">
      <c r="B162" s="69" t="n"/>
      <c r="C162" s="69" t="n"/>
      <c r="D162" s="69" t="n"/>
      <c r="E162" s="70" t="n"/>
      <c r="F162" s="69" t="n"/>
      <c r="G162" s="69" t="n"/>
      <c r="H162" s="69" t="n"/>
      <c r="I162" s="69" t="n"/>
      <c r="J162" s="69" t="n"/>
      <c r="K162" s="69" t="n"/>
      <c r="L162" s="69" t="n"/>
      <c r="M162" s="69" t="n"/>
      <c r="N162" s="69" t="n"/>
      <c r="O162" s="69" t="n"/>
      <c r="P162" s="69" t="n"/>
    </row>
    <row r="163" hidden="1" outlineLevel="1" ht="15" customHeight="1" s="15">
      <c r="B163" s="69" t="n"/>
      <c r="C163" s="69" t="n"/>
      <c r="D163" s="69" t="n"/>
      <c r="E163" s="70" t="n"/>
      <c r="F163" s="69" t="n"/>
      <c r="G163" s="69" t="n"/>
      <c r="H163" s="69" t="n"/>
      <c r="I163" s="69" t="n"/>
      <c r="J163" s="69" t="n"/>
      <c r="K163" s="69" t="n"/>
      <c r="L163" s="69" t="n"/>
      <c r="M163" s="69" t="n"/>
      <c r="N163" s="69" t="n"/>
      <c r="O163" s="69" t="n"/>
      <c r="P163" s="69" t="n"/>
    </row>
    <row r="164" hidden="1" outlineLevel="1" ht="15" customHeight="1" s="15">
      <c r="B164" s="69" t="n"/>
      <c r="C164" s="69" t="n"/>
      <c r="D164" s="69" t="n"/>
      <c r="E164" s="70" t="n"/>
      <c r="F164" s="69" t="n"/>
      <c r="G164" s="69" t="n"/>
      <c r="H164" s="69" t="n"/>
      <c r="I164" s="69" t="n"/>
      <c r="J164" s="69" t="n"/>
      <c r="K164" s="69" t="n"/>
      <c r="L164" s="69" t="n"/>
      <c r="M164" s="69" t="n"/>
      <c r="N164" s="69" t="n"/>
      <c r="O164" s="69" t="n"/>
      <c r="P164" s="69" t="n"/>
    </row>
    <row r="165" hidden="1" outlineLevel="1" ht="15" customHeight="1" s="15">
      <c r="B165" s="69" t="n"/>
      <c r="C165" s="69" t="n"/>
      <c r="D165" s="69" t="n"/>
      <c r="E165" s="70" t="n"/>
      <c r="F165" s="69" t="n"/>
      <c r="G165" s="69" t="n"/>
      <c r="H165" s="69" t="n"/>
      <c r="I165" s="69" t="n"/>
      <c r="J165" s="69" t="n"/>
      <c r="K165" s="69" t="n"/>
      <c r="L165" s="69" t="n"/>
      <c r="M165" s="69" t="n"/>
      <c r="N165" s="69" t="n"/>
      <c r="O165" s="69" t="n"/>
      <c r="P165" s="69" t="n"/>
    </row>
    <row r="166" hidden="1" outlineLevel="1" ht="15" customHeight="1" s="15">
      <c r="B166" s="69" t="n"/>
      <c r="C166" s="69" t="n"/>
      <c r="D166" s="69" t="n"/>
      <c r="E166" s="70" t="n"/>
      <c r="F166" s="69" t="n"/>
      <c r="G166" s="69" t="n"/>
      <c r="H166" s="69" t="n"/>
      <c r="I166" s="69" t="n"/>
      <c r="J166" s="69" t="n"/>
      <c r="K166" s="69" t="n"/>
      <c r="L166" s="69" t="n"/>
      <c r="M166" s="69" t="n"/>
      <c r="N166" s="69" t="n"/>
      <c r="O166" s="69" t="n"/>
      <c r="P166" s="69" t="n"/>
    </row>
    <row r="167" hidden="1" outlineLevel="1" ht="15" customHeight="1" s="15">
      <c r="B167" s="69" t="n"/>
      <c r="C167" s="69" t="n"/>
      <c r="D167" s="69" t="n"/>
      <c r="E167" s="70" t="n"/>
      <c r="F167" s="69" t="n"/>
      <c r="G167" s="69" t="n"/>
      <c r="H167" s="69" t="n"/>
      <c r="I167" s="69" t="n"/>
      <c r="J167" s="69" t="n"/>
      <c r="K167" s="69" t="n"/>
      <c r="L167" s="69" t="n"/>
      <c r="M167" s="69" t="n"/>
      <c r="N167" s="69" t="n"/>
      <c r="O167" s="69" t="n"/>
      <c r="P167" s="69" t="n"/>
    </row>
    <row r="168" hidden="1" outlineLevel="1" ht="15" customHeight="1" s="15">
      <c r="B168" s="69" t="n"/>
      <c r="C168" s="69" t="n"/>
      <c r="D168" s="69" t="n"/>
      <c r="E168" s="70" t="n"/>
      <c r="F168" s="69" t="n"/>
      <c r="G168" s="69" t="n"/>
      <c r="H168" s="69" t="n"/>
      <c r="I168" s="69" t="n"/>
      <c r="J168" s="69" t="n"/>
      <c r="K168" s="69" t="n"/>
      <c r="L168" s="69" t="n"/>
      <c r="M168" s="69" t="n"/>
      <c r="N168" s="69" t="n"/>
      <c r="O168" s="69" t="n"/>
      <c r="P168" s="69" t="n"/>
    </row>
    <row r="169" hidden="1" outlineLevel="1" ht="15" customHeight="1" s="15">
      <c r="B169" s="69" t="n"/>
      <c r="C169" s="69" t="n"/>
      <c r="D169" s="69" t="n"/>
      <c r="E169" s="70" t="n"/>
      <c r="F169" s="69" t="n"/>
      <c r="G169" s="69" t="n"/>
      <c r="H169" s="69" t="n"/>
      <c r="I169" s="69" t="n"/>
      <c r="J169" s="69" t="n"/>
      <c r="K169" s="69" t="n"/>
      <c r="L169" s="69" t="n"/>
      <c r="M169" s="69" t="n"/>
      <c r="N169" s="69" t="n"/>
      <c r="O169" s="69" t="n"/>
      <c r="P169" s="69" t="n"/>
    </row>
    <row r="170" hidden="1" outlineLevel="1" ht="15" customHeight="1" s="15">
      <c r="B170" s="69" t="n"/>
      <c r="C170" s="69" t="n"/>
      <c r="D170" s="69" t="n"/>
      <c r="E170" s="70" t="n"/>
      <c r="F170" s="69" t="n"/>
      <c r="G170" s="69" t="n"/>
      <c r="H170" s="69" t="n"/>
      <c r="I170" s="69" t="n"/>
      <c r="J170" s="69" t="n"/>
      <c r="K170" s="69" t="n"/>
      <c r="L170" s="69" t="n"/>
      <c r="M170" s="69" t="n"/>
      <c r="N170" s="69" t="n"/>
      <c r="O170" s="69" t="n"/>
      <c r="P170" s="69" t="n"/>
    </row>
    <row r="171" hidden="1" outlineLevel="1" ht="15" customHeight="1" s="15">
      <c r="B171" s="69" t="n"/>
      <c r="C171" s="69" t="n"/>
      <c r="D171" s="69" t="n"/>
      <c r="E171" s="70" t="n"/>
      <c r="F171" s="69" t="n"/>
      <c r="G171" s="69" t="n"/>
      <c r="H171" s="69" t="n"/>
      <c r="I171" s="69" t="n"/>
      <c r="J171" s="69" t="n"/>
      <c r="K171" s="69" t="n"/>
      <c r="L171" s="69" t="n"/>
      <c r="M171" s="69" t="n"/>
      <c r="N171" s="69" t="n"/>
      <c r="O171" s="69" t="n"/>
      <c r="P171" s="69" t="n"/>
    </row>
    <row r="172" hidden="1" outlineLevel="1" ht="15" customHeight="1" s="15">
      <c r="B172" s="69" t="n"/>
      <c r="C172" s="69" t="n"/>
      <c r="D172" s="69" t="n"/>
      <c r="E172" s="70" t="n"/>
      <c r="F172" s="69" t="n"/>
      <c r="G172" s="69" t="n"/>
      <c r="H172" s="69" t="n"/>
      <c r="I172" s="69" t="n"/>
      <c r="J172" s="69" t="n"/>
      <c r="K172" s="69" t="n"/>
      <c r="L172" s="69" t="n"/>
      <c r="M172" s="69" t="n"/>
      <c r="N172" s="69" t="n"/>
      <c r="O172" s="69" t="n"/>
      <c r="P172" s="69" t="n"/>
    </row>
    <row r="173" hidden="1" outlineLevel="1" ht="15" customHeight="1" s="15">
      <c r="B173" s="69" t="n"/>
      <c r="C173" s="69" t="n"/>
      <c r="D173" s="69" t="n"/>
      <c r="E173" s="70" t="n"/>
      <c r="F173" s="69" t="n"/>
      <c r="G173" s="69" t="n"/>
      <c r="H173" s="69" t="n"/>
      <c r="I173" s="69" t="n"/>
      <c r="J173" s="69" t="n"/>
      <c r="K173" s="69" t="n"/>
      <c r="L173" s="69" t="n"/>
      <c r="M173" s="69" t="n"/>
      <c r="N173" s="69" t="n"/>
      <c r="O173" s="69" t="n"/>
      <c r="P173" s="69" t="n"/>
    </row>
    <row r="174" hidden="1" outlineLevel="1" ht="15" customHeight="1" s="15">
      <c r="B174" s="69" t="n"/>
      <c r="C174" s="69" t="n"/>
      <c r="D174" s="69" t="n"/>
      <c r="E174" s="70" t="n"/>
      <c r="F174" s="69" t="n"/>
      <c r="G174" s="69" t="n"/>
      <c r="H174" s="69" t="n"/>
      <c r="I174" s="69" t="n"/>
      <c r="J174" s="69" t="n"/>
      <c r="K174" s="69" t="n"/>
      <c r="L174" s="69" t="n"/>
      <c r="M174" s="69" t="n"/>
      <c r="N174" s="69" t="n"/>
      <c r="O174" s="69" t="n"/>
      <c r="P174" s="69" t="n"/>
    </row>
    <row r="175" hidden="1" outlineLevel="1" ht="15" customHeight="1" s="15">
      <c r="B175" s="69" t="n"/>
      <c r="C175" s="69" t="n"/>
      <c r="D175" s="69" t="n"/>
      <c r="E175" s="70" t="n"/>
      <c r="F175" s="69" t="n"/>
      <c r="G175" s="69" t="n"/>
      <c r="H175" s="69" t="n"/>
      <c r="I175" s="69" t="n"/>
      <c r="J175" s="69" t="n"/>
      <c r="K175" s="69" t="n"/>
      <c r="L175" s="69" t="n"/>
      <c r="M175" s="69" t="n"/>
      <c r="N175" s="69" t="n"/>
      <c r="O175" s="69" t="n"/>
      <c r="P175" s="69" t="n"/>
    </row>
    <row r="176" hidden="1" outlineLevel="1" ht="15" customHeight="1" s="15">
      <c r="B176" s="69" t="n"/>
      <c r="C176" s="69" t="n"/>
      <c r="D176" s="69" t="n"/>
      <c r="E176" s="70" t="n"/>
      <c r="F176" s="69" t="n"/>
      <c r="G176" s="69" t="n"/>
      <c r="H176" s="69" t="n"/>
      <c r="I176" s="69" t="n"/>
      <c r="J176" s="69" t="n"/>
      <c r="K176" s="69" t="n"/>
      <c r="L176" s="69" t="n"/>
      <c r="M176" s="69" t="n"/>
      <c r="N176" s="69" t="n"/>
      <c r="O176" s="69" t="n"/>
      <c r="P176" s="69" t="n"/>
    </row>
    <row r="177" hidden="1" outlineLevel="1" ht="15" customHeight="1" s="15">
      <c r="B177" s="69" t="n"/>
      <c r="C177" s="69" t="n"/>
      <c r="D177" s="69" t="n"/>
      <c r="E177" s="70" t="n"/>
      <c r="F177" s="69" t="n"/>
      <c r="G177" s="69" t="n"/>
      <c r="H177" s="69" t="n"/>
      <c r="I177" s="69" t="n"/>
      <c r="J177" s="69" t="n"/>
      <c r="K177" s="69" t="n"/>
      <c r="L177" s="69" t="n"/>
      <c r="M177" s="69" t="n"/>
      <c r="N177" s="69" t="n"/>
      <c r="O177" s="69" t="n"/>
      <c r="P177" s="69" t="n"/>
    </row>
    <row r="178" hidden="1" outlineLevel="1" ht="15" customHeight="1" s="15">
      <c r="B178" s="69" t="n"/>
      <c r="C178" s="69" t="n"/>
      <c r="D178" s="69" t="n"/>
      <c r="E178" s="70" t="n"/>
      <c r="F178" s="69" t="n"/>
      <c r="G178" s="69" t="n"/>
      <c r="H178" s="69" t="n"/>
      <c r="I178" s="69" t="n"/>
      <c r="J178" s="69" t="n"/>
      <c r="K178" s="69" t="n"/>
      <c r="L178" s="69" t="n"/>
      <c r="M178" s="69" t="n"/>
      <c r="N178" s="69" t="n"/>
      <c r="O178" s="69" t="n"/>
      <c r="P178" s="69" t="n"/>
    </row>
    <row r="179" hidden="1" outlineLevel="1" ht="15" customHeight="1" s="15">
      <c r="B179" s="69" t="n"/>
      <c r="C179" s="69" t="n"/>
      <c r="D179" s="69" t="n"/>
      <c r="E179" s="70" t="n"/>
      <c r="F179" s="69" t="n"/>
      <c r="G179" s="69" t="n"/>
      <c r="H179" s="69" t="n"/>
      <c r="I179" s="69" t="n"/>
      <c r="J179" s="69" t="n"/>
      <c r="K179" s="69" t="n"/>
      <c r="L179" s="69" t="n"/>
      <c r="M179" s="69" t="n"/>
      <c r="N179" s="69" t="n"/>
      <c r="O179" s="69" t="n"/>
      <c r="P179" s="69" t="n"/>
    </row>
    <row r="180" hidden="1" outlineLevel="1" ht="15" customHeight="1" s="15">
      <c r="B180" s="69" t="n"/>
      <c r="C180" s="69" t="n"/>
      <c r="D180" s="69" t="n"/>
      <c r="E180" s="70" t="n"/>
      <c r="F180" s="69" t="n"/>
      <c r="G180" s="69" t="n"/>
      <c r="H180" s="69" t="n"/>
      <c r="I180" s="69" t="n"/>
      <c r="J180" s="69" t="n"/>
      <c r="K180" s="69" t="n"/>
      <c r="L180" s="69" t="n"/>
      <c r="M180" s="69" t="n"/>
      <c r="N180" s="69" t="n"/>
      <c r="O180" s="69" t="n"/>
      <c r="P180" s="69" t="n"/>
    </row>
    <row r="181" hidden="1" outlineLevel="1" ht="15" customHeight="1" s="15">
      <c r="B181" s="69" t="n"/>
      <c r="C181" s="69" t="n"/>
      <c r="D181" s="69" t="n"/>
      <c r="E181" s="70" t="n"/>
      <c r="F181" s="69" t="n"/>
      <c r="G181" s="69" t="n"/>
      <c r="H181" s="69" t="n"/>
      <c r="I181" s="69" t="n"/>
      <c r="J181" s="69" t="n"/>
      <c r="K181" s="69" t="n"/>
      <c r="L181" s="69" t="n"/>
      <c r="M181" s="69" t="n"/>
      <c r="N181" s="69" t="n"/>
      <c r="O181" s="69" t="n"/>
      <c r="P181" s="69" t="n"/>
    </row>
    <row r="182" hidden="1" outlineLevel="1" ht="15" customHeight="1" s="15">
      <c r="B182" s="69" t="n"/>
      <c r="C182" s="69" t="n"/>
      <c r="D182" s="69" t="n"/>
      <c r="E182" s="70" t="n"/>
      <c r="F182" s="69" t="n"/>
      <c r="G182" s="69" t="n"/>
      <c r="H182" s="69" t="n"/>
      <c r="I182" s="69" t="n"/>
      <c r="J182" s="69" t="n"/>
      <c r="K182" s="69" t="n"/>
      <c r="L182" s="69" t="n"/>
      <c r="M182" s="69" t="n"/>
      <c r="N182" s="69" t="n"/>
      <c r="O182" s="69" t="n"/>
      <c r="P182" s="69" t="n"/>
    </row>
    <row r="183" hidden="1" outlineLevel="1" ht="15" customHeight="1" s="15">
      <c r="B183" s="69" t="n"/>
      <c r="C183" s="69" t="n"/>
      <c r="D183" s="69" t="n"/>
      <c r="E183" s="70" t="n"/>
      <c r="F183" s="69" t="n"/>
      <c r="G183" s="69" t="n"/>
      <c r="H183" s="69" t="n"/>
      <c r="I183" s="69" t="n"/>
      <c r="J183" s="69" t="n"/>
      <c r="K183" s="69" t="n"/>
      <c r="L183" s="69" t="n"/>
      <c r="M183" s="69" t="n"/>
      <c r="N183" s="69" t="n"/>
      <c r="O183" s="69" t="n"/>
      <c r="P183" s="69" t="n"/>
    </row>
    <row r="184" hidden="1" outlineLevel="1" ht="15" customHeight="1" s="15">
      <c r="B184" s="69" t="n"/>
      <c r="C184" s="69" t="n"/>
      <c r="D184" s="69" t="n"/>
      <c r="E184" s="70" t="n"/>
      <c r="F184" s="69" t="n"/>
      <c r="G184" s="69" t="n"/>
      <c r="H184" s="69" t="n"/>
      <c r="I184" s="69" t="n"/>
      <c r="J184" s="69" t="n"/>
      <c r="K184" s="69" t="n"/>
      <c r="L184" s="69" t="n"/>
      <c r="M184" s="69" t="n"/>
      <c r="N184" s="69" t="n"/>
      <c r="O184" s="69" t="n"/>
      <c r="P184" s="69" t="n"/>
    </row>
    <row r="185" hidden="1" outlineLevel="1" ht="15" customHeight="1" s="15">
      <c r="B185" s="69" t="n"/>
      <c r="C185" s="69" t="n"/>
      <c r="D185" s="69" t="n"/>
      <c r="E185" s="70" t="n"/>
      <c r="F185" s="69" t="n"/>
      <c r="G185" s="69" t="n"/>
      <c r="H185" s="69" t="n"/>
      <c r="I185" s="69" t="n"/>
      <c r="J185" s="69" t="n"/>
      <c r="K185" s="69" t="n"/>
      <c r="L185" s="69" t="n"/>
      <c r="M185" s="69" t="n"/>
      <c r="N185" s="69" t="n"/>
      <c r="O185" s="69" t="n"/>
      <c r="P185" s="69" t="n"/>
    </row>
    <row r="186" hidden="1" outlineLevel="1" ht="15" customHeight="1" s="15">
      <c r="B186" s="69" t="n"/>
      <c r="C186" s="69" t="n"/>
      <c r="D186" s="69" t="n"/>
      <c r="E186" s="70" t="n"/>
      <c r="F186" s="69" t="n"/>
      <c r="G186" s="69" t="n"/>
      <c r="H186" s="69" t="n"/>
      <c r="I186" s="69" t="n"/>
      <c r="J186" s="69" t="n"/>
      <c r="K186" s="69" t="n"/>
      <c r="L186" s="69" t="n"/>
      <c r="M186" s="69" t="n"/>
      <c r="N186" s="69" t="n"/>
      <c r="O186" s="69" t="n"/>
      <c r="P186" s="69" t="n"/>
    </row>
    <row r="187" hidden="1" outlineLevel="1" ht="15" customHeight="1" s="15">
      <c r="B187" s="69" t="n"/>
      <c r="C187" s="69" t="n"/>
      <c r="D187" s="69" t="n"/>
      <c r="E187" s="70" t="n"/>
      <c r="F187" s="69" t="n"/>
      <c r="G187" s="69" t="n"/>
      <c r="H187" s="69" t="n"/>
      <c r="I187" s="69" t="n"/>
      <c r="J187" s="69" t="n"/>
      <c r="K187" s="69" t="n"/>
      <c r="L187" s="69" t="n"/>
      <c r="M187" s="69" t="n"/>
      <c r="N187" s="69" t="n"/>
      <c r="O187" s="69" t="n"/>
      <c r="P187" s="69" t="n"/>
    </row>
    <row r="188" hidden="1" outlineLevel="1" ht="15" customHeight="1" s="15">
      <c r="B188" s="69" t="n"/>
      <c r="C188" s="69" t="n"/>
      <c r="D188" s="69" t="n"/>
      <c r="E188" s="70" t="n"/>
      <c r="F188" s="69" t="n"/>
      <c r="G188" s="69" t="n"/>
      <c r="H188" s="69" t="n"/>
      <c r="I188" s="69" t="n"/>
      <c r="J188" s="69" t="n"/>
      <c r="K188" s="69" t="n"/>
      <c r="L188" s="69" t="n"/>
      <c r="M188" s="69" t="n"/>
      <c r="N188" s="69" t="n"/>
      <c r="O188" s="69" t="n"/>
      <c r="P188" s="69" t="n"/>
    </row>
    <row r="189" hidden="1" outlineLevel="1" ht="15" customHeight="1" s="15">
      <c r="B189" s="69" t="n"/>
      <c r="C189" s="69" t="n"/>
      <c r="D189" s="69" t="n"/>
      <c r="E189" s="70" t="n"/>
      <c r="F189" s="69" t="n"/>
      <c r="G189" s="69" t="n"/>
      <c r="H189" s="69" t="n"/>
      <c r="I189" s="69" t="n"/>
      <c r="J189" s="69" t="n"/>
      <c r="K189" s="69" t="n"/>
      <c r="L189" s="69" t="n"/>
      <c r="M189" s="69" t="n"/>
      <c r="N189" s="69" t="n"/>
      <c r="O189" s="69" t="n"/>
      <c r="P189" s="69" t="n"/>
    </row>
    <row r="190" hidden="1" outlineLevel="1" ht="15" customHeight="1" s="15">
      <c r="B190" s="69" t="n"/>
      <c r="C190" s="69" t="n"/>
      <c r="D190" s="69" t="n"/>
      <c r="E190" s="70" t="n"/>
      <c r="F190" s="69" t="n"/>
      <c r="G190" s="69" t="n"/>
      <c r="H190" s="69" t="n"/>
      <c r="I190" s="69" t="n"/>
      <c r="J190" s="69" t="n"/>
      <c r="K190" s="69" t="n"/>
      <c r="L190" s="69" t="n"/>
      <c r="M190" s="69" t="n"/>
      <c r="N190" s="69" t="n"/>
      <c r="O190" s="69" t="n"/>
      <c r="P190" s="69" t="n"/>
    </row>
    <row r="191" hidden="1" outlineLevel="1" ht="15" customHeight="1" s="15">
      <c r="B191" s="69" t="n"/>
      <c r="C191" s="69" t="n"/>
      <c r="D191" s="69" t="n"/>
      <c r="E191" s="70" t="n"/>
      <c r="F191" s="69" t="n"/>
      <c r="G191" s="69" t="n"/>
      <c r="H191" s="69" t="n"/>
      <c r="I191" s="69" t="n"/>
      <c r="J191" s="69" t="n"/>
      <c r="K191" s="69" t="n"/>
      <c r="L191" s="69" t="n"/>
      <c r="M191" s="69" t="n"/>
      <c r="N191" s="69" t="n"/>
      <c r="O191" s="69" t="n"/>
      <c r="P191" s="69" t="n"/>
    </row>
    <row r="192" hidden="1" outlineLevel="1" ht="15" customHeight="1" s="15">
      <c r="B192" s="69" t="n"/>
      <c r="C192" s="69" t="n"/>
      <c r="D192" s="69" t="n"/>
      <c r="E192" s="70" t="n"/>
      <c r="F192" s="69" t="n"/>
      <c r="G192" s="69" t="n"/>
      <c r="H192" s="69" t="n"/>
      <c r="I192" s="69" t="n"/>
      <c r="J192" s="69" t="n"/>
      <c r="K192" s="69" t="n"/>
      <c r="L192" s="69" t="n"/>
      <c r="M192" s="69" t="n"/>
      <c r="N192" s="69" t="n"/>
      <c r="O192" s="69" t="n"/>
      <c r="P192" s="69" t="n"/>
    </row>
    <row r="193" hidden="1" outlineLevel="1" ht="15" customHeight="1" s="15">
      <c r="B193" s="69" t="n"/>
      <c r="C193" s="69" t="n"/>
      <c r="D193" s="69" t="n"/>
      <c r="E193" s="70" t="n"/>
      <c r="F193" s="69" t="n"/>
      <c r="G193" s="69" t="n"/>
      <c r="H193" s="69" t="n"/>
      <c r="I193" s="69" t="n"/>
      <c r="J193" s="69" t="n"/>
      <c r="K193" s="69" t="n"/>
      <c r="L193" s="69" t="n"/>
      <c r="M193" s="69" t="n"/>
      <c r="N193" s="69" t="n"/>
      <c r="O193" s="69" t="n"/>
      <c r="P193" s="69" t="n"/>
    </row>
    <row r="194" hidden="1" outlineLevel="1" ht="15" customHeight="1" s="15">
      <c r="B194" s="69" t="n"/>
      <c r="C194" s="69" t="n"/>
      <c r="D194" s="69" t="n"/>
      <c r="E194" s="70" t="n"/>
      <c r="F194" s="69" t="n"/>
      <c r="G194" s="69" t="n"/>
      <c r="H194" s="69" t="n"/>
      <c r="I194" s="69" t="n"/>
      <c r="J194" s="69" t="n"/>
      <c r="K194" s="69" t="n"/>
      <c r="L194" s="69" t="n"/>
      <c r="M194" s="69" t="n"/>
      <c r="N194" s="69" t="n"/>
      <c r="O194" s="69" t="n"/>
      <c r="P194" s="69" t="n"/>
    </row>
    <row r="195" hidden="1" outlineLevel="1" ht="15" customHeight="1" s="15">
      <c r="B195" s="69" t="n"/>
      <c r="C195" s="69" t="n"/>
      <c r="D195" s="69" t="n"/>
      <c r="E195" s="70" t="n"/>
      <c r="F195" s="69" t="n"/>
      <c r="G195" s="69" t="n"/>
      <c r="H195" s="69" t="n"/>
      <c r="I195" s="69" t="n"/>
      <c r="J195" s="69" t="n"/>
      <c r="K195" s="69" t="n"/>
      <c r="L195" s="69" t="n"/>
      <c r="M195" s="69" t="n"/>
      <c r="N195" s="69" t="n"/>
      <c r="O195" s="69" t="n"/>
      <c r="P195" s="69" t="n"/>
    </row>
    <row r="196" hidden="1" outlineLevel="1" ht="15" customHeight="1" s="15">
      <c r="B196" s="69" t="n"/>
      <c r="C196" s="69" t="n"/>
      <c r="D196" s="69" t="n"/>
      <c r="E196" s="70" t="n"/>
      <c r="F196" s="69" t="n"/>
      <c r="G196" s="69" t="n"/>
      <c r="H196" s="69" t="n"/>
      <c r="I196" s="69" t="n"/>
      <c r="J196" s="69" t="n"/>
      <c r="K196" s="69" t="n"/>
      <c r="L196" s="69" t="n"/>
      <c r="M196" s="69" t="n"/>
      <c r="N196" s="69" t="n"/>
      <c r="O196" s="69" t="n"/>
      <c r="P196" s="69" t="n"/>
    </row>
    <row r="197" hidden="1" outlineLevel="1" ht="15" customHeight="1" s="15">
      <c r="B197" s="69" t="n"/>
      <c r="C197" s="69" t="n"/>
      <c r="D197" s="69" t="n"/>
      <c r="E197" s="70" t="n"/>
      <c r="F197" s="69" t="n"/>
      <c r="G197" s="69" t="n"/>
      <c r="H197" s="69" t="n"/>
      <c r="I197" s="69" t="n"/>
      <c r="J197" s="69" t="n"/>
      <c r="K197" s="69" t="n"/>
      <c r="L197" s="69" t="n"/>
      <c r="M197" s="69" t="n"/>
      <c r="N197" s="69" t="n"/>
      <c r="O197" s="69" t="n"/>
      <c r="P197" s="69" t="n"/>
    </row>
    <row r="198" hidden="1" outlineLevel="1" ht="15" customHeight="1" s="15">
      <c r="B198" s="69" t="n"/>
      <c r="C198" s="69" t="n"/>
      <c r="D198" s="69" t="n"/>
      <c r="E198" s="70" t="n"/>
      <c r="F198" s="69" t="n"/>
      <c r="G198" s="69" t="n"/>
      <c r="H198" s="69" t="n"/>
      <c r="I198" s="69" t="n"/>
      <c r="J198" s="69" t="n"/>
      <c r="K198" s="69" t="n"/>
      <c r="L198" s="69" t="n"/>
      <c r="M198" s="69" t="n"/>
      <c r="N198" s="69" t="n"/>
      <c r="O198" s="69" t="n"/>
      <c r="P198" s="69" t="n"/>
    </row>
    <row r="199" hidden="1" outlineLevel="1" ht="15" customHeight="1" s="15">
      <c r="B199" s="69" t="n"/>
      <c r="C199" s="69" t="n"/>
      <c r="D199" s="69" t="n"/>
      <c r="E199" s="70" t="n"/>
      <c r="F199" s="69" t="n"/>
      <c r="G199" s="69" t="n"/>
      <c r="H199" s="69" t="n"/>
      <c r="I199" s="69" t="n"/>
      <c r="J199" s="69" t="n"/>
      <c r="K199" s="69" t="n"/>
      <c r="L199" s="69" t="n"/>
      <c r="M199" s="69" t="n"/>
      <c r="N199" s="69" t="n"/>
      <c r="O199" s="69" t="n"/>
      <c r="P199" s="69" t="n"/>
    </row>
    <row r="200" hidden="1" outlineLevel="1" ht="15" customHeight="1" s="15">
      <c r="B200" s="69" t="n"/>
      <c r="C200" s="69" t="n"/>
      <c r="D200" s="69" t="n"/>
      <c r="E200" s="70" t="n"/>
      <c r="F200" s="69" t="n"/>
      <c r="G200" s="69" t="n"/>
      <c r="H200" s="69" t="n"/>
      <c r="I200" s="69" t="n"/>
      <c r="J200" s="69" t="n"/>
      <c r="K200" s="69" t="n"/>
      <c r="L200" s="69" t="n"/>
      <c r="M200" s="69" t="n"/>
      <c r="N200" s="69" t="n"/>
      <c r="O200" s="69" t="n"/>
      <c r="P200" s="69" t="n"/>
    </row>
    <row r="201" hidden="1" outlineLevel="1" ht="15" customHeight="1" s="15">
      <c r="B201" s="69" t="n"/>
      <c r="C201" s="69" t="n"/>
      <c r="D201" s="69" t="n"/>
      <c r="E201" s="70" t="n"/>
      <c r="F201" s="69" t="n"/>
      <c r="G201" s="69" t="n"/>
      <c r="H201" s="69" t="n"/>
      <c r="I201" s="69" t="n"/>
      <c r="J201" s="69" t="n"/>
      <c r="K201" s="69" t="n"/>
      <c r="L201" s="69" t="n"/>
      <c r="M201" s="69" t="n"/>
      <c r="N201" s="69" t="n"/>
      <c r="O201" s="69" t="n"/>
      <c r="P201" s="69" t="n"/>
    </row>
    <row r="202" hidden="1" outlineLevel="1" ht="15" customHeight="1" s="15">
      <c r="B202" s="69" t="n"/>
      <c r="C202" s="69" t="n"/>
      <c r="D202" s="69" t="n"/>
      <c r="E202" s="70" t="n"/>
      <c r="F202" s="69" t="n"/>
      <c r="G202" s="69" t="n"/>
      <c r="H202" s="69" t="n"/>
      <c r="I202" s="69" t="n"/>
      <c r="J202" s="69" t="n"/>
      <c r="K202" s="69" t="n"/>
      <c r="L202" s="69" t="n"/>
      <c r="M202" s="69" t="n"/>
      <c r="N202" s="69" t="n"/>
      <c r="O202" s="69" t="n"/>
      <c r="P202" s="69" t="n"/>
    </row>
    <row r="203" hidden="1" outlineLevel="1" ht="15" customHeight="1" s="15">
      <c r="B203" s="69" t="n"/>
      <c r="C203" s="69" t="n"/>
      <c r="D203" s="69" t="n"/>
      <c r="E203" s="70" t="n"/>
      <c r="F203" s="69" t="n"/>
      <c r="G203" s="69" t="n"/>
      <c r="H203" s="69" t="n"/>
      <c r="I203" s="69" t="n"/>
      <c r="J203" s="69" t="n"/>
      <c r="K203" s="69" t="n"/>
      <c r="L203" s="69" t="n"/>
      <c r="M203" s="69" t="n"/>
      <c r="N203" s="69" t="n"/>
      <c r="O203" s="69" t="n"/>
      <c r="P203" s="69" t="n"/>
    </row>
    <row r="204" hidden="1" outlineLevel="1" ht="15" customHeight="1" s="15">
      <c r="B204" s="69" t="n"/>
      <c r="C204" s="69" t="n"/>
      <c r="D204" s="69" t="n"/>
      <c r="E204" s="70" t="n"/>
      <c r="F204" s="69" t="n"/>
      <c r="G204" s="69" t="n"/>
      <c r="H204" s="69" t="n"/>
      <c r="I204" s="69" t="n"/>
      <c r="J204" s="69" t="n"/>
      <c r="K204" s="69" t="n"/>
      <c r="L204" s="69" t="n"/>
      <c r="M204" s="69" t="n"/>
      <c r="N204" s="69" t="n"/>
      <c r="O204" s="69" t="n"/>
      <c r="P204" s="69" t="n"/>
    </row>
    <row r="205" hidden="1" outlineLevel="1" ht="15" customHeight="1" s="15">
      <c r="B205" s="69" t="n"/>
      <c r="C205" s="69" t="n"/>
      <c r="D205" s="69" t="n"/>
      <c r="E205" s="70" t="n"/>
      <c r="F205" s="69" t="n"/>
      <c r="G205" s="69" t="n"/>
      <c r="H205" s="69" t="n"/>
      <c r="I205" s="69" t="n"/>
      <c r="J205" s="69" t="n"/>
      <c r="K205" s="69" t="n"/>
      <c r="L205" s="69" t="n"/>
      <c r="M205" s="69" t="n"/>
      <c r="N205" s="69" t="n"/>
      <c r="O205" s="69" t="n"/>
      <c r="P205" s="69" t="n"/>
    </row>
    <row r="206" hidden="1" outlineLevel="1" ht="15" customHeight="1" s="15">
      <c r="B206" s="69" t="n"/>
      <c r="C206" s="69" t="n"/>
      <c r="D206" s="69" t="n"/>
      <c r="E206" s="70" t="n"/>
      <c r="F206" s="69" t="n"/>
      <c r="G206" s="69" t="n"/>
      <c r="H206" s="69" t="n"/>
      <c r="I206" s="69" t="n"/>
      <c r="J206" s="69" t="n"/>
      <c r="K206" s="69" t="n"/>
      <c r="L206" s="69" t="n"/>
      <c r="M206" s="69" t="n"/>
      <c r="N206" s="69" t="n"/>
      <c r="O206" s="69" t="n"/>
      <c r="P206" s="69" t="n"/>
    </row>
    <row r="207" hidden="1" outlineLevel="1" ht="15" customHeight="1" s="15">
      <c r="B207" s="69" t="n"/>
      <c r="C207" s="69" t="n"/>
      <c r="D207" s="69" t="n"/>
      <c r="E207" s="70" t="n"/>
      <c r="F207" s="69" t="n"/>
      <c r="G207" s="69" t="n"/>
      <c r="H207" s="69" t="n"/>
      <c r="I207" s="69" t="n"/>
      <c r="J207" s="69" t="n"/>
      <c r="K207" s="69" t="n"/>
      <c r="L207" s="69" t="n"/>
      <c r="M207" s="69" t="n"/>
      <c r="N207" s="69" t="n"/>
      <c r="O207" s="69" t="n"/>
      <c r="P207" s="69" t="n"/>
    </row>
    <row r="208" hidden="1" outlineLevel="1" ht="15" customHeight="1" s="15">
      <c r="B208" s="69" t="n"/>
      <c r="C208" s="69" t="n"/>
      <c r="D208" s="69" t="n"/>
      <c r="E208" s="70" t="n"/>
      <c r="F208" s="69" t="n"/>
      <c r="G208" s="69" t="n"/>
      <c r="H208" s="69" t="n"/>
      <c r="I208" s="69" t="n"/>
      <c r="J208" s="69" t="n"/>
      <c r="K208" s="69" t="n"/>
      <c r="L208" s="69" t="n"/>
      <c r="M208" s="69" t="n"/>
      <c r="N208" s="69" t="n"/>
      <c r="O208" s="69" t="n"/>
      <c r="P208" s="69" t="n"/>
    </row>
    <row r="209" hidden="1" outlineLevel="1" ht="15" customHeight="1" s="15">
      <c r="B209" s="69" t="n"/>
      <c r="C209" s="69" t="n"/>
      <c r="D209" s="69" t="n"/>
      <c r="E209" s="70" t="n"/>
      <c r="F209" s="69" t="n"/>
      <c r="G209" s="69" t="n"/>
      <c r="H209" s="69" t="n"/>
      <c r="I209" s="69" t="n"/>
      <c r="J209" s="69" t="n"/>
      <c r="K209" s="69" t="n"/>
      <c r="L209" s="69" t="n"/>
      <c r="M209" s="69" t="n"/>
      <c r="N209" s="69" t="n"/>
      <c r="O209" s="69" t="n"/>
      <c r="P209" s="69" t="n"/>
    </row>
    <row r="210" hidden="1" outlineLevel="1" ht="15" customHeight="1" s="15">
      <c r="B210" s="69" t="n"/>
      <c r="C210" s="69" t="n"/>
      <c r="D210" s="69" t="n"/>
      <c r="E210" s="70" t="n"/>
      <c r="F210" s="69" t="n"/>
      <c r="G210" s="69" t="n"/>
      <c r="H210" s="69" t="n"/>
      <c r="I210" s="69" t="n"/>
      <c r="J210" s="69" t="n"/>
      <c r="K210" s="69" t="n"/>
      <c r="L210" s="69" t="n"/>
      <c r="M210" s="69" t="n"/>
      <c r="N210" s="69" t="n"/>
      <c r="O210" s="69" t="n"/>
      <c r="P210" s="69" t="n"/>
    </row>
    <row r="211" hidden="1" outlineLevel="1" ht="15" customHeight="1" s="15">
      <c r="B211" s="69" t="n"/>
      <c r="C211" s="69" t="n"/>
      <c r="D211" s="69" t="n"/>
      <c r="E211" s="70" t="n"/>
      <c r="F211" s="69" t="n"/>
      <c r="G211" s="69" t="n"/>
      <c r="H211" s="69" t="n"/>
      <c r="I211" s="69" t="n"/>
      <c r="J211" s="69" t="n"/>
      <c r="K211" s="69" t="n"/>
      <c r="L211" s="69" t="n"/>
      <c r="M211" s="69" t="n"/>
      <c r="N211" s="69" t="n"/>
      <c r="O211" s="69" t="n"/>
      <c r="P211" s="69" t="n"/>
    </row>
    <row r="212" hidden="1" outlineLevel="1" ht="15" customHeight="1" s="15">
      <c r="B212" s="69" t="n"/>
      <c r="C212" s="69" t="n"/>
      <c r="D212" s="69" t="n"/>
      <c r="E212" s="70" t="n"/>
      <c r="F212" s="69" t="n"/>
      <c r="G212" s="69" t="n"/>
      <c r="H212" s="69" t="n"/>
      <c r="I212" s="69" t="n"/>
      <c r="J212" s="69" t="n"/>
      <c r="K212" s="69" t="n"/>
      <c r="L212" s="69" t="n"/>
      <c r="M212" s="69" t="n"/>
      <c r="N212" s="69" t="n"/>
      <c r="O212" s="69" t="n"/>
      <c r="P212" s="69" t="n"/>
    </row>
    <row r="213" hidden="1" outlineLevel="1" ht="15" customHeight="1" s="15">
      <c r="B213" s="69" t="n"/>
      <c r="C213" s="69" t="n"/>
      <c r="D213" s="69" t="n"/>
      <c r="E213" s="70" t="n"/>
      <c r="F213" s="69" t="n"/>
      <c r="G213" s="69" t="n"/>
      <c r="H213" s="69" t="n"/>
      <c r="I213" s="69" t="n"/>
      <c r="J213" s="69" t="n"/>
      <c r="K213" s="69" t="n"/>
      <c r="L213" s="69" t="n"/>
      <c r="M213" s="69" t="n"/>
      <c r="N213" s="69" t="n"/>
      <c r="O213" s="69" t="n"/>
      <c r="P213" s="69" t="n"/>
    </row>
    <row r="214" hidden="1" outlineLevel="1" ht="15" customHeight="1" s="15">
      <c r="B214" s="69" t="n"/>
      <c r="C214" s="69" t="n"/>
      <c r="D214" s="69" t="n"/>
      <c r="E214" s="70" t="n"/>
      <c r="F214" s="69" t="n"/>
      <c r="G214" s="69" t="n"/>
      <c r="H214" s="69" t="n"/>
      <c r="I214" s="69" t="n"/>
      <c r="J214" s="69" t="n"/>
      <c r="K214" s="69" t="n"/>
      <c r="L214" s="69" t="n"/>
      <c r="M214" s="69" t="n"/>
      <c r="N214" s="69" t="n"/>
      <c r="O214" s="69" t="n"/>
      <c r="P214" s="69" t="n"/>
    </row>
    <row r="215" hidden="1" outlineLevel="1" ht="15" customHeight="1" s="15">
      <c r="B215" s="69" t="n"/>
      <c r="C215" s="69" t="n"/>
      <c r="D215" s="69" t="n"/>
      <c r="E215" s="70" t="n"/>
      <c r="F215" s="69" t="n"/>
      <c r="G215" s="69" t="n"/>
      <c r="H215" s="69" t="n"/>
      <c r="I215" s="69" t="n"/>
      <c r="J215" s="69" t="n"/>
      <c r="K215" s="69" t="n"/>
      <c r="L215" s="69" t="n"/>
      <c r="M215" s="69" t="n"/>
      <c r="N215" s="69" t="n"/>
      <c r="O215" s="69" t="n"/>
      <c r="P215" s="69" t="n"/>
    </row>
    <row r="216" hidden="1" outlineLevel="1" ht="15" customHeight="1" s="15">
      <c r="B216" s="69" t="n"/>
      <c r="C216" s="69" t="n"/>
      <c r="D216" s="69" t="n"/>
      <c r="E216" s="70" t="n"/>
      <c r="F216" s="69" t="n"/>
      <c r="G216" s="69" t="n"/>
      <c r="H216" s="69" t="n"/>
      <c r="I216" s="69" t="n"/>
      <c r="J216" s="69" t="n"/>
      <c r="K216" s="69" t="n"/>
      <c r="L216" s="69" t="n"/>
      <c r="M216" s="69" t="n"/>
      <c r="N216" s="69" t="n"/>
      <c r="O216" s="69" t="n"/>
      <c r="P216" s="69" t="n"/>
    </row>
    <row r="217" hidden="1" outlineLevel="1" ht="15" customHeight="1" s="15">
      <c r="B217" s="69" t="n"/>
      <c r="C217" s="69" t="n"/>
      <c r="D217" s="69" t="n"/>
      <c r="E217" s="70" t="n"/>
      <c r="F217" s="69" t="n"/>
      <c r="G217" s="69" t="n"/>
      <c r="H217" s="69" t="n"/>
      <c r="I217" s="69" t="n"/>
      <c r="J217" s="69" t="n"/>
      <c r="K217" s="69" t="n"/>
      <c r="L217" s="69" t="n"/>
      <c r="M217" s="69" t="n"/>
      <c r="N217" s="69" t="n"/>
      <c r="O217" s="69" t="n"/>
      <c r="P217" s="69" t="n"/>
    </row>
    <row r="218" collapsed="1" ht="19.5" customHeight="1" s="15">
      <c r="B218" s="6" t="inlineStr">
        <is>
          <t>ℹ  Coller ici (Collage spécial &gt; Valeurs) les lignes agents de JOURNAL pour Mars — fond bleu-gris = zone d'archive, pas de formule.</t>
        </is>
      </c>
    </row>
    <row r="220" ht="19.5" customHeight="1" s="15">
      <c r="B220" s="4" t="inlineStr">
        <is>
          <t xml:space="preserve">  AVRIL — bloc à remplir à la clôture</t>
        </is>
      </c>
    </row>
    <row r="221" ht="25.5" customHeight="1" s="15">
      <c r="B221" s="40" t="inlineStr">
        <is>
          <t>Année</t>
        </is>
      </c>
      <c r="C221" s="40" t="inlineStr">
        <is>
          <t>Mois</t>
        </is>
      </c>
      <c r="D221" s="40" t="inlineStr">
        <is>
          <t>Matricule</t>
        </is>
      </c>
      <c r="E221" s="40" t="inlineStr">
        <is>
          <t>Nom</t>
        </is>
      </c>
      <c r="F221" s="40" t="inlineStr">
        <is>
          <t>BRUT</t>
        </is>
      </c>
      <c r="G221" s="40" t="inlineStr">
        <is>
          <t>CNSS salariale</t>
        </is>
      </c>
      <c r="H221" s="40" t="inlineStr">
        <is>
          <t>IPR</t>
        </is>
      </c>
      <c r="I221" s="40" t="inlineStr">
        <is>
          <t>NET avant retenues</t>
        </is>
      </c>
      <c r="J221" s="40" t="inlineStr">
        <is>
          <t>Avance</t>
        </is>
      </c>
      <c r="K221" s="40" t="inlineStr">
        <is>
          <t>Retenues diverses</t>
        </is>
      </c>
      <c r="L221" s="40" t="inlineStr">
        <is>
          <t>NET À PAYER</t>
        </is>
      </c>
      <c r="M221" s="40" t="inlineStr">
        <is>
          <t>CNSS patronale</t>
        </is>
      </c>
      <c r="N221" s="40" t="inlineStr">
        <is>
          <t>INPP</t>
        </is>
      </c>
      <c r="O221" s="40" t="inlineStr">
        <is>
          <t>ONEM</t>
        </is>
      </c>
      <c r="P221" s="40" t="inlineStr">
        <is>
          <t>Coût total employeur</t>
        </is>
      </c>
    </row>
    <row r="222" hidden="1" outlineLevel="1" ht="15" customHeight="1" s="15">
      <c r="B222" s="69" t="n"/>
      <c r="C222" s="69" t="n"/>
      <c r="D222" s="69" t="n"/>
      <c r="E222" s="70" t="n"/>
      <c r="F222" s="69" t="n"/>
      <c r="G222" s="69" t="n"/>
      <c r="H222" s="69" t="n"/>
      <c r="I222" s="69" t="n"/>
      <c r="J222" s="69" t="n"/>
      <c r="K222" s="69" t="n"/>
      <c r="L222" s="69" t="n"/>
      <c r="M222" s="69" t="n"/>
      <c r="N222" s="69" t="n"/>
      <c r="O222" s="69" t="n"/>
      <c r="P222" s="69" t="n"/>
    </row>
    <row r="223" hidden="1" outlineLevel="1" ht="15" customHeight="1" s="15">
      <c r="B223" s="69" t="n"/>
      <c r="C223" s="69" t="n"/>
      <c r="D223" s="69" t="n"/>
      <c r="E223" s="70" t="n"/>
      <c r="F223" s="69" t="n"/>
      <c r="G223" s="69" t="n"/>
      <c r="H223" s="69" t="n"/>
      <c r="I223" s="69" t="n"/>
      <c r="J223" s="69" t="n"/>
      <c r="K223" s="69" t="n"/>
      <c r="L223" s="69" t="n"/>
      <c r="M223" s="69" t="n"/>
      <c r="N223" s="69" t="n"/>
      <c r="O223" s="69" t="n"/>
      <c r="P223" s="69" t="n"/>
    </row>
    <row r="224" hidden="1" outlineLevel="1" ht="15" customHeight="1" s="15">
      <c r="B224" s="69" t="n"/>
      <c r="C224" s="69" t="n"/>
      <c r="D224" s="69" t="n"/>
      <c r="E224" s="70" t="n"/>
      <c r="F224" s="69" t="n"/>
      <c r="G224" s="69" t="n"/>
      <c r="H224" s="69" t="n"/>
      <c r="I224" s="69" t="n"/>
      <c r="J224" s="69" t="n"/>
      <c r="K224" s="69" t="n"/>
      <c r="L224" s="69" t="n"/>
      <c r="M224" s="69" t="n"/>
      <c r="N224" s="69" t="n"/>
      <c r="O224" s="69" t="n"/>
      <c r="P224" s="69" t="n"/>
    </row>
    <row r="225" hidden="1" outlineLevel="1" ht="15" customHeight="1" s="15">
      <c r="B225" s="69" t="n"/>
      <c r="C225" s="69" t="n"/>
      <c r="D225" s="69" t="n"/>
      <c r="E225" s="70" t="n"/>
      <c r="F225" s="69" t="n"/>
      <c r="G225" s="69" t="n"/>
      <c r="H225" s="69" t="n"/>
      <c r="I225" s="69" t="n"/>
      <c r="J225" s="69" t="n"/>
      <c r="K225" s="69" t="n"/>
      <c r="L225" s="69" t="n"/>
      <c r="M225" s="69" t="n"/>
      <c r="N225" s="69" t="n"/>
      <c r="O225" s="69" t="n"/>
      <c r="P225" s="69" t="n"/>
    </row>
    <row r="226" hidden="1" outlineLevel="1" ht="15" customHeight="1" s="15">
      <c r="B226" s="69" t="n"/>
      <c r="C226" s="69" t="n"/>
      <c r="D226" s="69" t="n"/>
      <c r="E226" s="70" t="n"/>
      <c r="F226" s="69" t="n"/>
      <c r="G226" s="69" t="n"/>
      <c r="H226" s="69" t="n"/>
      <c r="I226" s="69" t="n"/>
      <c r="J226" s="69" t="n"/>
      <c r="K226" s="69" t="n"/>
      <c r="L226" s="69" t="n"/>
      <c r="M226" s="69" t="n"/>
      <c r="N226" s="69" t="n"/>
      <c r="O226" s="69" t="n"/>
      <c r="P226" s="69" t="n"/>
    </row>
    <row r="227" hidden="1" outlineLevel="1" ht="15" customHeight="1" s="15">
      <c r="B227" s="69" t="n"/>
      <c r="C227" s="69" t="n"/>
      <c r="D227" s="69" t="n"/>
      <c r="E227" s="70" t="n"/>
      <c r="F227" s="69" t="n"/>
      <c r="G227" s="69" t="n"/>
      <c r="H227" s="69" t="n"/>
      <c r="I227" s="69" t="n"/>
      <c r="J227" s="69" t="n"/>
      <c r="K227" s="69" t="n"/>
      <c r="L227" s="69" t="n"/>
      <c r="M227" s="69" t="n"/>
      <c r="N227" s="69" t="n"/>
      <c r="O227" s="69" t="n"/>
      <c r="P227" s="69" t="n"/>
    </row>
    <row r="228" hidden="1" outlineLevel="1" ht="15" customHeight="1" s="15">
      <c r="B228" s="69" t="n"/>
      <c r="C228" s="69" t="n"/>
      <c r="D228" s="69" t="n"/>
      <c r="E228" s="70" t="n"/>
      <c r="F228" s="69" t="n"/>
      <c r="G228" s="69" t="n"/>
      <c r="H228" s="69" t="n"/>
      <c r="I228" s="69" t="n"/>
      <c r="J228" s="69" t="n"/>
      <c r="K228" s="69" t="n"/>
      <c r="L228" s="69" t="n"/>
      <c r="M228" s="69" t="n"/>
      <c r="N228" s="69" t="n"/>
      <c r="O228" s="69" t="n"/>
      <c r="P228" s="69" t="n"/>
    </row>
    <row r="229" hidden="1" outlineLevel="1" ht="15" customHeight="1" s="15">
      <c r="B229" s="69" t="n"/>
      <c r="C229" s="69" t="n"/>
      <c r="D229" s="69" t="n"/>
      <c r="E229" s="70" t="n"/>
      <c r="F229" s="69" t="n"/>
      <c r="G229" s="69" t="n"/>
      <c r="H229" s="69" t="n"/>
      <c r="I229" s="69" t="n"/>
      <c r="J229" s="69" t="n"/>
      <c r="K229" s="69" t="n"/>
      <c r="L229" s="69" t="n"/>
      <c r="M229" s="69" t="n"/>
      <c r="N229" s="69" t="n"/>
      <c r="O229" s="69" t="n"/>
      <c r="P229" s="69" t="n"/>
    </row>
    <row r="230" hidden="1" outlineLevel="1" ht="15" customHeight="1" s="15">
      <c r="B230" s="69" t="n"/>
      <c r="C230" s="69" t="n"/>
      <c r="D230" s="69" t="n"/>
      <c r="E230" s="70" t="n"/>
      <c r="F230" s="69" t="n"/>
      <c r="G230" s="69" t="n"/>
      <c r="H230" s="69" t="n"/>
      <c r="I230" s="69" t="n"/>
      <c r="J230" s="69" t="n"/>
      <c r="K230" s="69" t="n"/>
      <c r="L230" s="69" t="n"/>
      <c r="M230" s="69" t="n"/>
      <c r="N230" s="69" t="n"/>
      <c r="O230" s="69" t="n"/>
      <c r="P230" s="69" t="n"/>
    </row>
    <row r="231" hidden="1" outlineLevel="1" ht="15" customHeight="1" s="15">
      <c r="B231" s="69" t="n"/>
      <c r="C231" s="69" t="n"/>
      <c r="D231" s="69" t="n"/>
      <c r="E231" s="70" t="n"/>
      <c r="F231" s="69" t="n"/>
      <c r="G231" s="69" t="n"/>
      <c r="H231" s="69" t="n"/>
      <c r="I231" s="69" t="n"/>
      <c r="J231" s="69" t="n"/>
      <c r="K231" s="69" t="n"/>
      <c r="L231" s="69" t="n"/>
      <c r="M231" s="69" t="n"/>
      <c r="N231" s="69" t="n"/>
      <c r="O231" s="69" t="n"/>
      <c r="P231" s="69" t="n"/>
    </row>
    <row r="232" hidden="1" outlineLevel="1" ht="15" customHeight="1" s="15">
      <c r="B232" s="69" t="n"/>
      <c r="C232" s="69" t="n"/>
      <c r="D232" s="69" t="n"/>
      <c r="E232" s="70" t="n"/>
      <c r="F232" s="69" t="n"/>
      <c r="G232" s="69" t="n"/>
      <c r="H232" s="69" t="n"/>
      <c r="I232" s="69" t="n"/>
      <c r="J232" s="69" t="n"/>
      <c r="K232" s="69" t="n"/>
      <c r="L232" s="69" t="n"/>
      <c r="M232" s="69" t="n"/>
      <c r="N232" s="69" t="n"/>
      <c r="O232" s="69" t="n"/>
      <c r="P232" s="69" t="n"/>
    </row>
    <row r="233" hidden="1" outlineLevel="1" ht="15" customHeight="1" s="15">
      <c r="B233" s="69" t="n"/>
      <c r="C233" s="69" t="n"/>
      <c r="D233" s="69" t="n"/>
      <c r="E233" s="70" t="n"/>
      <c r="F233" s="69" t="n"/>
      <c r="G233" s="69" t="n"/>
      <c r="H233" s="69" t="n"/>
      <c r="I233" s="69" t="n"/>
      <c r="J233" s="69" t="n"/>
      <c r="K233" s="69" t="n"/>
      <c r="L233" s="69" t="n"/>
      <c r="M233" s="69" t="n"/>
      <c r="N233" s="69" t="n"/>
      <c r="O233" s="69" t="n"/>
      <c r="P233" s="69" t="n"/>
    </row>
    <row r="234" hidden="1" outlineLevel="1" ht="15" customHeight="1" s="15">
      <c r="B234" s="69" t="n"/>
      <c r="C234" s="69" t="n"/>
      <c r="D234" s="69" t="n"/>
      <c r="E234" s="70" t="n"/>
      <c r="F234" s="69" t="n"/>
      <c r="G234" s="69" t="n"/>
      <c r="H234" s="69" t="n"/>
      <c r="I234" s="69" t="n"/>
      <c r="J234" s="69" t="n"/>
      <c r="K234" s="69" t="n"/>
      <c r="L234" s="69" t="n"/>
      <c r="M234" s="69" t="n"/>
      <c r="N234" s="69" t="n"/>
      <c r="O234" s="69" t="n"/>
      <c r="P234" s="69" t="n"/>
    </row>
    <row r="235" hidden="1" outlineLevel="1" ht="15" customHeight="1" s="15">
      <c r="B235" s="69" t="n"/>
      <c r="C235" s="69" t="n"/>
      <c r="D235" s="69" t="n"/>
      <c r="E235" s="70" t="n"/>
      <c r="F235" s="69" t="n"/>
      <c r="G235" s="69" t="n"/>
      <c r="H235" s="69" t="n"/>
      <c r="I235" s="69" t="n"/>
      <c r="J235" s="69" t="n"/>
      <c r="K235" s="69" t="n"/>
      <c r="L235" s="69" t="n"/>
      <c r="M235" s="69" t="n"/>
      <c r="N235" s="69" t="n"/>
      <c r="O235" s="69" t="n"/>
      <c r="P235" s="69" t="n"/>
    </row>
    <row r="236" hidden="1" outlineLevel="1" ht="15" customHeight="1" s="15">
      <c r="B236" s="69" t="n"/>
      <c r="C236" s="69" t="n"/>
      <c r="D236" s="69" t="n"/>
      <c r="E236" s="70" t="n"/>
      <c r="F236" s="69" t="n"/>
      <c r="G236" s="69" t="n"/>
      <c r="H236" s="69" t="n"/>
      <c r="I236" s="69" t="n"/>
      <c r="J236" s="69" t="n"/>
      <c r="K236" s="69" t="n"/>
      <c r="L236" s="69" t="n"/>
      <c r="M236" s="69" t="n"/>
      <c r="N236" s="69" t="n"/>
      <c r="O236" s="69" t="n"/>
      <c r="P236" s="69" t="n"/>
    </row>
    <row r="237" hidden="1" outlineLevel="1" ht="15" customHeight="1" s="15">
      <c r="B237" s="69" t="n"/>
      <c r="C237" s="69" t="n"/>
      <c r="D237" s="69" t="n"/>
      <c r="E237" s="70" t="n"/>
      <c r="F237" s="69" t="n"/>
      <c r="G237" s="69" t="n"/>
      <c r="H237" s="69" t="n"/>
      <c r="I237" s="69" t="n"/>
      <c r="J237" s="69" t="n"/>
      <c r="K237" s="69" t="n"/>
      <c r="L237" s="69" t="n"/>
      <c r="M237" s="69" t="n"/>
      <c r="N237" s="69" t="n"/>
      <c r="O237" s="69" t="n"/>
      <c r="P237" s="69" t="n"/>
    </row>
    <row r="238" hidden="1" outlineLevel="1" ht="15" customHeight="1" s="15">
      <c r="B238" s="69" t="n"/>
      <c r="C238" s="69" t="n"/>
      <c r="D238" s="69" t="n"/>
      <c r="E238" s="70" t="n"/>
      <c r="F238" s="69" t="n"/>
      <c r="G238" s="69" t="n"/>
      <c r="H238" s="69" t="n"/>
      <c r="I238" s="69" t="n"/>
      <c r="J238" s="69" t="n"/>
      <c r="K238" s="69" t="n"/>
      <c r="L238" s="69" t="n"/>
      <c r="M238" s="69" t="n"/>
      <c r="N238" s="69" t="n"/>
      <c r="O238" s="69" t="n"/>
      <c r="P238" s="69" t="n"/>
    </row>
    <row r="239" hidden="1" outlineLevel="1" ht="15" customHeight="1" s="15">
      <c r="B239" s="69" t="n"/>
      <c r="C239" s="69" t="n"/>
      <c r="D239" s="69" t="n"/>
      <c r="E239" s="70" t="n"/>
      <c r="F239" s="69" t="n"/>
      <c r="G239" s="69" t="n"/>
      <c r="H239" s="69" t="n"/>
      <c r="I239" s="69" t="n"/>
      <c r="J239" s="69" t="n"/>
      <c r="K239" s="69" t="n"/>
      <c r="L239" s="69" t="n"/>
      <c r="M239" s="69" t="n"/>
      <c r="N239" s="69" t="n"/>
      <c r="O239" s="69" t="n"/>
      <c r="P239" s="69" t="n"/>
    </row>
    <row r="240" hidden="1" outlineLevel="1" ht="15" customHeight="1" s="15">
      <c r="B240" s="69" t="n"/>
      <c r="C240" s="69" t="n"/>
      <c r="D240" s="69" t="n"/>
      <c r="E240" s="70" t="n"/>
      <c r="F240" s="69" t="n"/>
      <c r="G240" s="69" t="n"/>
      <c r="H240" s="69" t="n"/>
      <c r="I240" s="69" t="n"/>
      <c r="J240" s="69" t="n"/>
      <c r="K240" s="69" t="n"/>
      <c r="L240" s="69" t="n"/>
      <c r="M240" s="69" t="n"/>
      <c r="N240" s="69" t="n"/>
      <c r="O240" s="69" t="n"/>
      <c r="P240" s="69" t="n"/>
    </row>
    <row r="241" hidden="1" outlineLevel="1" ht="15" customHeight="1" s="15">
      <c r="B241" s="69" t="n"/>
      <c r="C241" s="69" t="n"/>
      <c r="D241" s="69" t="n"/>
      <c r="E241" s="70" t="n"/>
      <c r="F241" s="69" t="n"/>
      <c r="G241" s="69" t="n"/>
      <c r="H241" s="69" t="n"/>
      <c r="I241" s="69" t="n"/>
      <c r="J241" s="69" t="n"/>
      <c r="K241" s="69" t="n"/>
      <c r="L241" s="69" t="n"/>
      <c r="M241" s="69" t="n"/>
      <c r="N241" s="69" t="n"/>
      <c r="O241" s="69" t="n"/>
      <c r="P241" s="69" t="n"/>
    </row>
    <row r="242" hidden="1" outlineLevel="1" ht="15" customHeight="1" s="15">
      <c r="B242" s="69" t="n"/>
      <c r="C242" s="69" t="n"/>
      <c r="D242" s="69" t="n"/>
      <c r="E242" s="70" t="n"/>
      <c r="F242" s="69" t="n"/>
      <c r="G242" s="69" t="n"/>
      <c r="H242" s="69" t="n"/>
      <c r="I242" s="69" t="n"/>
      <c r="J242" s="69" t="n"/>
      <c r="K242" s="69" t="n"/>
      <c r="L242" s="69" t="n"/>
      <c r="M242" s="69" t="n"/>
      <c r="N242" s="69" t="n"/>
      <c r="O242" s="69" t="n"/>
      <c r="P242" s="69" t="n"/>
    </row>
    <row r="243" hidden="1" outlineLevel="1" ht="15" customHeight="1" s="15">
      <c r="B243" s="69" t="n"/>
      <c r="C243" s="69" t="n"/>
      <c r="D243" s="69" t="n"/>
      <c r="E243" s="70" t="n"/>
      <c r="F243" s="69" t="n"/>
      <c r="G243" s="69" t="n"/>
      <c r="H243" s="69" t="n"/>
      <c r="I243" s="69" t="n"/>
      <c r="J243" s="69" t="n"/>
      <c r="K243" s="69" t="n"/>
      <c r="L243" s="69" t="n"/>
      <c r="M243" s="69" t="n"/>
      <c r="N243" s="69" t="n"/>
      <c r="O243" s="69" t="n"/>
      <c r="P243" s="69" t="n"/>
    </row>
    <row r="244" hidden="1" outlineLevel="1" ht="15" customHeight="1" s="15">
      <c r="B244" s="69" t="n"/>
      <c r="C244" s="69" t="n"/>
      <c r="D244" s="69" t="n"/>
      <c r="E244" s="70" t="n"/>
      <c r="F244" s="69" t="n"/>
      <c r="G244" s="69" t="n"/>
      <c r="H244" s="69" t="n"/>
      <c r="I244" s="69" t="n"/>
      <c r="J244" s="69" t="n"/>
      <c r="K244" s="69" t="n"/>
      <c r="L244" s="69" t="n"/>
      <c r="M244" s="69" t="n"/>
      <c r="N244" s="69" t="n"/>
      <c r="O244" s="69" t="n"/>
      <c r="P244" s="69" t="n"/>
    </row>
    <row r="245" hidden="1" outlineLevel="1" ht="15" customHeight="1" s="15">
      <c r="B245" s="69" t="n"/>
      <c r="C245" s="69" t="n"/>
      <c r="D245" s="69" t="n"/>
      <c r="E245" s="70" t="n"/>
      <c r="F245" s="69" t="n"/>
      <c r="G245" s="69" t="n"/>
      <c r="H245" s="69" t="n"/>
      <c r="I245" s="69" t="n"/>
      <c r="J245" s="69" t="n"/>
      <c r="K245" s="69" t="n"/>
      <c r="L245" s="69" t="n"/>
      <c r="M245" s="69" t="n"/>
      <c r="N245" s="69" t="n"/>
      <c r="O245" s="69" t="n"/>
      <c r="P245" s="69" t="n"/>
    </row>
    <row r="246" hidden="1" outlineLevel="1" ht="15" customHeight="1" s="15">
      <c r="B246" s="69" t="n"/>
      <c r="C246" s="69" t="n"/>
      <c r="D246" s="69" t="n"/>
      <c r="E246" s="70" t="n"/>
      <c r="F246" s="69" t="n"/>
      <c r="G246" s="69" t="n"/>
      <c r="H246" s="69" t="n"/>
      <c r="I246" s="69" t="n"/>
      <c r="J246" s="69" t="n"/>
      <c r="K246" s="69" t="n"/>
      <c r="L246" s="69" t="n"/>
      <c r="M246" s="69" t="n"/>
      <c r="N246" s="69" t="n"/>
      <c r="O246" s="69" t="n"/>
      <c r="P246" s="69" t="n"/>
    </row>
    <row r="247" hidden="1" outlineLevel="1" ht="15" customHeight="1" s="15">
      <c r="B247" s="69" t="n"/>
      <c r="C247" s="69" t="n"/>
      <c r="D247" s="69" t="n"/>
      <c r="E247" s="70" t="n"/>
      <c r="F247" s="69" t="n"/>
      <c r="G247" s="69" t="n"/>
      <c r="H247" s="69" t="n"/>
      <c r="I247" s="69" t="n"/>
      <c r="J247" s="69" t="n"/>
      <c r="K247" s="69" t="n"/>
      <c r="L247" s="69" t="n"/>
      <c r="M247" s="69" t="n"/>
      <c r="N247" s="69" t="n"/>
      <c r="O247" s="69" t="n"/>
      <c r="P247" s="69" t="n"/>
    </row>
    <row r="248" hidden="1" outlineLevel="1" ht="15" customHeight="1" s="15">
      <c r="B248" s="69" t="n"/>
      <c r="C248" s="69" t="n"/>
      <c r="D248" s="69" t="n"/>
      <c r="E248" s="70" t="n"/>
      <c r="F248" s="69" t="n"/>
      <c r="G248" s="69" t="n"/>
      <c r="H248" s="69" t="n"/>
      <c r="I248" s="69" t="n"/>
      <c r="J248" s="69" t="n"/>
      <c r="K248" s="69" t="n"/>
      <c r="L248" s="69" t="n"/>
      <c r="M248" s="69" t="n"/>
      <c r="N248" s="69" t="n"/>
      <c r="O248" s="69" t="n"/>
      <c r="P248" s="69" t="n"/>
    </row>
    <row r="249" hidden="1" outlineLevel="1" ht="15" customHeight="1" s="15">
      <c r="B249" s="69" t="n"/>
      <c r="C249" s="69" t="n"/>
      <c r="D249" s="69" t="n"/>
      <c r="E249" s="70" t="n"/>
      <c r="F249" s="69" t="n"/>
      <c r="G249" s="69" t="n"/>
      <c r="H249" s="69" t="n"/>
      <c r="I249" s="69" t="n"/>
      <c r="J249" s="69" t="n"/>
      <c r="K249" s="69" t="n"/>
      <c r="L249" s="69" t="n"/>
      <c r="M249" s="69" t="n"/>
      <c r="N249" s="69" t="n"/>
      <c r="O249" s="69" t="n"/>
      <c r="P249" s="69" t="n"/>
    </row>
    <row r="250" hidden="1" outlineLevel="1" ht="15" customHeight="1" s="15">
      <c r="B250" s="69" t="n"/>
      <c r="C250" s="69" t="n"/>
      <c r="D250" s="69" t="n"/>
      <c r="E250" s="70" t="n"/>
      <c r="F250" s="69" t="n"/>
      <c r="G250" s="69" t="n"/>
      <c r="H250" s="69" t="n"/>
      <c r="I250" s="69" t="n"/>
      <c r="J250" s="69" t="n"/>
      <c r="K250" s="69" t="n"/>
      <c r="L250" s="69" t="n"/>
      <c r="M250" s="69" t="n"/>
      <c r="N250" s="69" t="n"/>
      <c r="O250" s="69" t="n"/>
      <c r="P250" s="69" t="n"/>
    </row>
    <row r="251" hidden="1" outlineLevel="1" ht="15" customHeight="1" s="15">
      <c r="B251" s="69" t="n"/>
      <c r="C251" s="69" t="n"/>
      <c r="D251" s="69" t="n"/>
      <c r="E251" s="70" t="n"/>
      <c r="F251" s="69" t="n"/>
      <c r="G251" s="69" t="n"/>
      <c r="H251" s="69" t="n"/>
      <c r="I251" s="69" t="n"/>
      <c r="J251" s="69" t="n"/>
      <c r="K251" s="69" t="n"/>
      <c r="L251" s="69" t="n"/>
      <c r="M251" s="69" t="n"/>
      <c r="N251" s="69" t="n"/>
      <c r="O251" s="69" t="n"/>
      <c r="P251" s="69" t="n"/>
    </row>
    <row r="252" hidden="1" outlineLevel="1" ht="15" customHeight="1" s="15">
      <c r="B252" s="69" t="n"/>
      <c r="C252" s="69" t="n"/>
      <c r="D252" s="69" t="n"/>
      <c r="E252" s="70" t="n"/>
      <c r="F252" s="69" t="n"/>
      <c r="G252" s="69" t="n"/>
      <c r="H252" s="69" t="n"/>
      <c r="I252" s="69" t="n"/>
      <c r="J252" s="69" t="n"/>
      <c r="K252" s="69" t="n"/>
      <c r="L252" s="69" t="n"/>
      <c r="M252" s="69" t="n"/>
      <c r="N252" s="69" t="n"/>
      <c r="O252" s="69" t="n"/>
      <c r="P252" s="69" t="n"/>
    </row>
    <row r="253" hidden="1" outlineLevel="1" ht="15" customHeight="1" s="15">
      <c r="B253" s="69" t="n"/>
      <c r="C253" s="69" t="n"/>
      <c r="D253" s="69" t="n"/>
      <c r="E253" s="70" t="n"/>
      <c r="F253" s="69" t="n"/>
      <c r="G253" s="69" t="n"/>
      <c r="H253" s="69" t="n"/>
      <c r="I253" s="69" t="n"/>
      <c r="J253" s="69" t="n"/>
      <c r="K253" s="69" t="n"/>
      <c r="L253" s="69" t="n"/>
      <c r="M253" s="69" t="n"/>
      <c r="N253" s="69" t="n"/>
      <c r="O253" s="69" t="n"/>
      <c r="P253" s="69" t="n"/>
    </row>
    <row r="254" hidden="1" outlineLevel="1" ht="15" customHeight="1" s="15">
      <c r="B254" s="69" t="n"/>
      <c r="C254" s="69" t="n"/>
      <c r="D254" s="69" t="n"/>
      <c r="E254" s="70" t="n"/>
      <c r="F254" s="69" t="n"/>
      <c r="G254" s="69" t="n"/>
      <c r="H254" s="69" t="n"/>
      <c r="I254" s="69" t="n"/>
      <c r="J254" s="69" t="n"/>
      <c r="K254" s="69" t="n"/>
      <c r="L254" s="69" t="n"/>
      <c r="M254" s="69" t="n"/>
      <c r="N254" s="69" t="n"/>
      <c r="O254" s="69" t="n"/>
      <c r="P254" s="69" t="n"/>
    </row>
    <row r="255" hidden="1" outlineLevel="1" ht="15" customHeight="1" s="15">
      <c r="B255" s="69" t="n"/>
      <c r="C255" s="69" t="n"/>
      <c r="D255" s="69" t="n"/>
      <c r="E255" s="70" t="n"/>
      <c r="F255" s="69" t="n"/>
      <c r="G255" s="69" t="n"/>
      <c r="H255" s="69" t="n"/>
      <c r="I255" s="69" t="n"/>
      <c r="J255" s="69" t="n"/>
      <c r="K255" s="69" t="n"/>
      <c r="L255" s="69" t="n"/>
      <c r="M255" s="69" t="n"/>
      <c r="N255" s="69" t="n"/>
      <c r="O255" s="69" t="n"/>
      <c r="P255" s="69" t="n"/>
    </row>
    <row r="256" hidden="1" outlineLevel="1" ht="15" customHeight="1" s="15">
      <c r="B256" s="69" t="n"/>
      <c r="C256" s="69" t="n"/>
      <c r="D256" s="69" t="n"/>
      <c r="E256" s="70" t="n"/>
      <c r="F256" s="69" t="n"/>
      <c r="G256" s="69" t="n"/>
      <c r="H256" s="69" t="n"/>
      <c r="I256" s="69" t="n"/>
      <c r="J256" s="69" t="n"/>
      <c r="K256" s="69" t="n"/>
      <c r="L256" s="69" t="n"/>
      <c r="M256" s="69" t="n"/>
      <c r="N256" s="69" t="n"/>
      <c r="O256" s="69" t="n"/>
      <c r="P256" s="69" t="n"/>
    </row>
    <row r="257" hidden="1" outlineLevel="1" ht="15" customHeight="1" s="15">
      <c r="B257" s="69" t="n"/>
      <c r="C257" s="69" t="n"/>
      <c r="D257" s="69" t="n"/>
      <c r="E257" s="70" t="n"/>
      <c r="F257" s="69" t="n"/>
      <c r="G257" s="69" t="n"/>
      <c r="H257" s="69" t="n"/>
      <c r="I257" s="69" t="n"/>
      <c r="J257" s="69" t="n"/>
      <c r="K257" s="69" t="n"/>
      <c r="L257" s="69" t="n"/>
      <c r="M257" s="69" t="n"/>
      <c r="N257" s="69" t="n"/>
      <c r="O257" s="69" t="n"/>
      <c r="P257" s="69" t="n"/>
    </row>
    <row r="258" hidden="1" outlineLevel="1" ht="15" customHeight="1" s="15">
      <c r="B258" s="69" t="n"/>
      <c r="C258" s="69" t="n"/>
      <c r="D258" s="69" t="n"/>
      <c r="E258" s="70" t="n"/>
      <c r="F258" s="69" t="n"/>
      <c r="G258" s="69" t="n"/>
      <c r="H258" s="69" t="n"/>
      <c r="I258" s="69" t="n"/>
      <c r="J258" s="69" t="n"/>
      <c r="K258" s="69" t="n"/>
      <c r="L258" s="69" t="n"/>
      <c r="M258" s="69" t="n"/>
      <c r="N258" s="69" t="n"/>
      <c r="O258" s="69" t="n"/>
      <c r="P258" s="69" t="n"/>
    </row>
    <row r="259" hidden="1" outlineLevel="1" ht="15" customHeight="1" s="15">
      <c r="B259" s="69" t="n"/>
      <c r="C259" s="69" t="n"/>
      <c r="D259" s="69" t="n"/>
      <c r="E259" s="70" t="n"/>
      <c r="F259" s="69" t="n"/>
      <c r="G259" s="69" t="n"/>
      <c r="H259" s="69" t="n"/>
      <c r="I259" s="69" t="n"/>
      <c r="J259" s="69" t="n"/>
      <c r="K259" s="69" t="n"/>
      <c r="L259" s="69" t="n"/>
      <c r="M259" s="69" t="n"/>
      <c r="N259" s="69" t="n"/>
      <c r="O259" s="69" t="n"/>
      <c r="P259" s="69" t="n"/>
    </row>
    <row r="260" hidden="1" outlineLevel="1" ht="15" customHeight="1" s="15">
      <c r="B260" s="69" t="n"/>
      <c r="C260" s="69" t="n"/>
      <c r="D260" s="69" t="n"/>
      <c r="E260" s="70" t="n"/>
      <c r="F260" s="69" t="n"/>
      <c r="G260" s="69" t="n"/>
      <c r="H260" s="69" t="n"/>
      <c r="I260" s="69" t="n"/>
      <c r="J260" s="69" t="n"/>
      <c r="K260" s="69" t="n"/>
      <c r="L260" s="69" t="n"/>
      <c r="M260" s="69" t="n"/>
      <c r="N260" s="69" t="n"/>
      <c r="O260" s="69" t="n"/>
      <c r="P260" s="69" t="n"/>
    </row>
    <row r="261" hidden="1" outlineLevel="1" ht="15" customHeight="1" s="15">
      <c r="B261" s="69" t="n"/>
      <c r="C261" s="69" t="n"/>
      <c r="D261" s="69" t="n"/>
      <c r="E261" s="70" t="n"/>
      <c r="F261" s="69" t="n"/>
      <c r="G261" s="69" t="n"/>
      <c r="H261" s="69" t="n"/>
      <c r="I261" s="69" t="n"/>
      <c r="J261" s="69" t="n"/>
      <c r="K261" s="69" t="n"/>
      <c r="L261" s="69" t="n"/>
      <c r="M261" s="69" t="n"/>
      <c r="N261" s="69" t="n"/>
      <c r="O261" s="69" t="n"/>
      <c r="P261" s="69" t="n"/>
    </row>
    <row r="262" hidden="1" outlineLevel="1" ht="15" customHeight="1" s="15">
      <c r="B262" s="69" t="n"/>
      <c r="C262" s="69" t="n"/>
      <c r="D262" s="69" t="n"/>
      <c r="E262" s="70" t="n"/>
      <c r="F262" s="69" t="n"/>
      <c r="G262" s="69" t="n"/>
      <c r="H262" s="69" t="n"/>
      <c r="I262" s="69" t="n"/>
      <c r="J262" s="69" t="n"/>
      <c r="K262" s="69" t="n"/>
      <c r="L262" s="69" t="n"/>
      <c r="M262" s="69" t="n"/>
      <c r="N262" s="69" t="n"/>
      <c r="O262" s="69" t="n"/>
      <c r="P262" s="69" t="n"/>
    </row>
    <row r="263" hidden="1" outlineLevel="1" ht="15" customHeight="1" s="15">
      <c r="B263" s="69" t="n"/>
      <c r="C263" s="69" t="n"/>
      <c r="D263" s="69" t="n"/>
      <c r="E263" s="70" t="n"/>
      <c r="F263" s="69" t="n"/>
      <c r="G263" s="69" t="n"/>
      <c r="H263" s="69" t="n"/>
      <c r="I263" s="69" t="n"/>
      <c r="J263" s="69" t="n"/>
      <c r="K263" s="69" t="n"/>
      <c r="L263" s="69" t="n"/>
      <c r="M263" s="69" t="n"/>
      <c r="N263" s="69" t="n"/>
      <c r="O263" s="69" t="n"/>
      <c r="P263" s="69" t="n"/>
    </row>
    <row r="264" hidden="1" outlineLevel="1" ht="15" customHeight="1" s="15">
      <c r="B264" s="69" t="n"/>
      <c r="C264" s="69" t="n"/>
      <c r="D264" s="69" t="n"/>
      <c r="E264" s="70" t="n"/>
      <c r="F264" s="69" t="n"/>
      <c r="G264" s="69" t="n"/>
      <c r="H264" s="69" t="n"/>
      <c r="I264" s="69" t="n"/>
      <c r="J264" s="69" t="n"/>
      <c r="K264" s="69" t="n"/>
      <c r="L264" s="69" t="n"/>
      <c r="M264" s="69" t="n"/>
      <c r="N264" s="69" t="n"/>
      <c r="O264" s="69" t="n"/>
      <c r="P264" s="69" t="n"/>
    </row>
    <row r="265" hidden="1" outlineLevel="1" ht="15" customHeight="1" s="15">
      <c r="B265" s="69" t="n"/>
      <c r="C265" s="69" t="n"/>
      <c r="D265" s="69" t="n"/>
      <c r="E265" s="70" t="n"/>
      <c r="F265" s="69" t="n"/>
      <c r="G265" s="69" t="n"/>
      <c r="H265" s="69" t="n"/>
      <c r="I265" s="69" t="n"/>
      <c r="J265" s="69" t="n"/>
      <c r="K265" s="69" t="n"/>
      <c r="L265" s="69" t="n"/>
      <c r="M265" s="69" t="n"/>
      <c r="N265" s="69" t="n"/>
      <c r="O265" s="69" t="n"/>
      <c r="P265" s="69" t="n"/>
    </row>
    <row r="266" hidden="1" outlineLevel="1" ht="15" customHeight="1" s="15">
      <c r="B266" s="69" t="n"/>
      <c r="C266" s="69" t="n"/>
      <c r="D266" s="69" t="n"/>
      <c r="E266" s="70" t="n"/>
      <c r="F266" s="69" t="n"/>
      <c r="G266" s="69" t="n"/>
      <c r="H266" s="69" t="n"/>
      <c r="I266" s="69" t="n"/>
      <c r="J266" s="69" t="n"/>
      <c r="K266" s="69" t="n"/>
      <c r="L266" s="69" t="n"/>
      <c r="M266" s="69" t="n"/>
      <c r="N266" s="69" t="n"/>
      <c r="O266" s="69" t="n"/>
      <c r="P266" s="69" t="n"/>
    </row>
    <row r="267" hidden="1" outlineLevel="1" ht="15" customHeight="1" s="15">
      <c r="B267" s="69" t="n"/>
      <c r="C267" s="69" t="n"/>
      <c r="D267" s="69" t="n"/>
      <c r="E267" s="70" t="n"/>
      <c r="F267" s="69" t="n"/>
      <c r="G267" s="69" t="n"/>
      <c r="H267" s="69" t="n"/>
      <c r="I267" s="69" t="n"/>
      <c r="J267" s="69" t="n"/>
      <c r="K267" s="69" t="n"/>
      <c r="L267" s="69" t="n"/>
      <c r="M267" s="69" t="n"/>
      <c r="N267" s="69" t="n"/>
      <c r="O267" s="69" t="n"/>
      <c r="P267" s="69" t="n"/>
    </row>
    <row r="268" hidden="1" outlineLevel="1" ht="15" customHeight="1" s="15">
      <c r="B268" s="69" t="n"/>
      <c r="C268" s="69" t="n"/>
      <c r="D268" s="69" t="n"/>
      <c r="E268" s="70" t="n"/>
      <c r="F268" s="69" t="n"/>
      <c r="G268" s="69" t="n"/>
      <c r="H268" s="69" t="n"/>
      <c r="I268" s="69" t="n"/>
      <c r="J268" s="69" t="n"/>
      <c r="K268" s="69" t="n"/>
      <c r="L268" s="69" t="n"/>
      <c r="M268" s="69" t="n"/>
      <c r="N268" s="69" t="n"/>
      <c r="O268" s="69" t="n"/>
      <c r="P268" s="69" t="n"/>
    </row>
    <row r="269" hidden="1" outlineLevel="1" ht="15" customHeight="1" s="15">
      <c r="B269" s="69" t="n"/>
      <c r="C269" s="69" t="n"/>
      <c r="D269" s="69" t="n"/>
      <c r="E269" s="70" t="n"/>
      <c r="F269" s="69" t="n"/>
      <c r="G269" s="69" t="n"/>
      <c r="H269" s="69" t="n"/>
      <c r="I269" s="69" t="n"/>
      <c r="J269" s="69" t="n"/>
      <c r="K269" s="69" t="n"/>
      <c r="L269" s="69" t="n"/>
      <c r="M269" s="69" t="n"/>
      <c r="N269" s="69" t="n"/>
      <c r="O269" s="69" t="n"/>
      <c r="P269" s="69" t="n"/>
    </row>
    <row r="270" hidden="1" outlineLevel="1" ht="15" customHeight="1" s="15">
      <c r="B270" s="69" t="n"/>
      <c r="C270" s="69" t="n"/>
      <c r="D270" s="69" t="n"/>
      <c r="E270" s="70" t="n"/>
      <c r="F270" s="69" t="n"/>
      <c r="G270" s="69" t="n"/>
      <c r="H270" s="69" t="n"/>
      <c r="I270" s="69" t="n"/>
      <c r="J270" s="69" t="n"/>
      <c r="K270" s="69" t="n"/>
      <c r="L270" s="69" t="n"/>
      <c r="M270" s="69" t="n"/>
      <c r="N270" s="69" t="n"/>
      <c r="O270" s="69" t="n"/>
      <c r="P270" s="69" t="n"/>
    </row>
    <row r="271" hidden="1" outlineLevel="1" ht="15" customHeight="1" s="15">
      <c r="B271" s="69" t="n"/>
      <c r="C271" s="69" t="n"/>
      <c r="D271" s="69" t="n"/>
      <c r="E271" s="70" t="n"/>
      <c r="F271" s="69" t="n"/>
      <c r="G271" s="69" t="n"/>
      <c r="H271" s="69" t="n"/>
      <c r="I271" s="69" t="n"/>
      <c r="J271" s="69" t="n"/>
      <c r="K271" s="69" t="n"/>
      <c r="L271" s="69" t="n"/>
      <c r="M271" s="69" t="n"/>
      <c r="N271" s="69" t="n"/>
      <c r="O271" s="69" t="n"/>
      <c r="P271" s="69" t="n"/>
    </row>
    <row r="272" hidden="1" outlineLevel="1" ht="15" customHeight="1" s="15">
      <c r="B272" s="69" t="n"/>
      <c r="C272" s="69" t="n"/>
      <c r="D272" s="69" t="n"/>
      <c r="E272" s="70" t="n"/>
      <c r="F272" s="69" t="n"/>
      <c r="G272" s="69" t="n"/>
      <c r="H272" s="69" t="n"/>
      <c r="I272" s="69" t="n"/>
      <c r="J272" s="69" t="n"/>
      <c r="K272" s="69" t="n"/>
      <c r="L272" s="69" t="n"/>
      <c r="M272" s="69" t="n"/>
      <c r="N272" s="69" t="n"/>
      <c r="O272" s="69" t="n"/>
      <c r="P272" s="69" t="n"/>
    </row>
    <row r="273" hidden="1" outlineLevel="1" ht="15" customHeight="1" s="15">
      <c r="B273" s="69" t="n"/>
      <c r="C273" s="69" t="n"/>
      <c r="D273" s="69" t="n"/>
      <c r="E273" s="70" t="n"/>
      <c r="F273" s="69" t="n"/>
      <c r="G273" s="69" t="n"/>
      <c r="H273" s="69" t="n"/>
      <c r="I273" s="69" t="n"/>
      <c r="J273" s="69" t="n"/>
      <c r="K273" s="69" t="n"/>
      <c r="L273" s="69" t="n"/>
      <c r="M273" s="69" t="n"/>
      <c r="N273" s="69" t="n"/>
      <c r="O273" s="69" t="n"/>
      <c r="P273" s="69" t="n"/>
    </row>
    <row r="274" hidden="1" outlineLevel="1" ht="15" customHeight="1" s="15">
      <c r="B274" s="69" t="n"/>
      <c r="C274" s="69" t="n"/>
      <c r="D274" s="69" t="n"/>
      <c r="E274" s="70" t="n"/>
      <c r="F274" s="69" t="n"/>
      <c r="G274" s="69" t="n"/>
      <c r="H274" s="69" t="n"/>
      <c r="I274" s="69" t="n"/>
      <c r="J274" s="69" t="n"/>
      <c r="K274" s="69" t="n"/>
      <c r="L274" s="69" t="n"/>
      <c r="M274" s="69" t="n"/>
      <c r="N274" s="69" t="n"/>
      <c r="O274" s="69" t="n"/>
      <c r="P274" s="69" t="n"/>
    </row>
    <row r="275" hidden="1" outlineLevel="1" ht="15" customHeight="1" s="15">
      <c r="B275" s="69" t="n"/>
      <c r="C275" s="69" t="n"/>
      <c r="D275" s="69" t="n"/>
      <c r="E275" s="70" t="n"/>
      <c r="F275" s="69" t="n"/>
      <c r="G275" s="69" t="n"/>
      <c r="H275" s="69" t="n"/>
      <c r="I275" s="69" t="n"/>
      <c r="J275" s="69" t="n"/>
      <c r="K275" s="69" t="n"/>
      <c r="L275" s="69" t="n"/>
      <c r="M275" s="69" t="n"/>
      <c r="N275" s="69" t="n"/>
      <c r="O275" s="69" t="n"/>
      <c r="P275" s="69" t="n"/>
    </row>
    <row r="276" hidden="1" outlineLevel="1" ht="15" customHeight="1" s="15">
      <c r="B276" s="69" t="n"/>
      <c r="C276" s="69" t="n"/>
      <c r="D276" s="69" t="n"/>
      <c r="E276" s="70" t="n"/>
      <c r="F276" s="69" t="n"/>
      <c r="G276" s="69" t="n"/>
      <c r="H276" s="69" t="n"/>
      <c r="I276" s="69" t="n"/>
      <c r="J276" s="69" t="n"/>
      <c r="K276" s="69" t="n"/>
      <c r="L276" s="69" t="n"/>
      <c r="M276" s="69" t="n"/>
      <c r="N276" s="69" t="n"/>
      <c r="O276" s="69" t="n"/>
      <c r="P276" s="69" t="n"/>
    </row>
    <row r="277" hidden="1" outlineLevel="1" ht="15" customHeight="1" s="15">
      <c r="B277" s="69" t="n"/>
      <c r="C277" s="69" t="n"/>
      <c r="D277" s="69" t="n"/>
      <c r="E277" s="70" t="n"/>
      <c r="F277" s="69" t="n"/>
      <c r="G277" s="69" t="n"/>
      <c r="H277" s="69" t="n"/>
      <c r="I277" s="69" t="n"/>
      <c r="J277" s="69" t="n"/>
      <c r="K277" s="69" t="n"/>
      <c r="L277" s="69" t="n"/>
      <c r="M277" s="69" t="n"/>
      <c r="N277" s="69" t="n"/>
      <c r="O277" s="69" t="n"/>
      <c r="P277" s="69" t="n"/>
    </row>
    <row r="278" hidden="1" outlineLevel="1" ht="15" customHeight="1" s="15">
      <c r="B278" s="69" t="n"/>
      <c r="C278" s="69" t="n"/>
      <c r="D278" s="69" t="n"/>
      <c r="E278" s="70" t="n"/>
      <c r="F278" s="69" t="n"/>
      <c r="G278" s="69" t="n"/>
      <c r="H278" s="69" t="n"/>
      <c r="I278" s="69" t="n"/>
      <c r="J278" s="69" t="n"/>
      <c r="K278" s="69" t="n"/>
      <c r="L278" s="69" t="n"/>
      <c r="M278" s="69" t="n"/>
      <c r="N278" s="69" t="n"/>
      <c r="O278" s="69" t="n"/>
      <c r="P278" s="69" t="n"/>
    </row>
    <row r="279" hidden="1" outlineLevel="1" ht="15" customHeight="1" s="15">
      <c r="B279" s="69" t="n"/>
      <c r="C279" s="69" t="n"/>
      <c r="D279" s="69" t="n"/>
      <c r="E279" s="70" t="n"/>
      <c r="F279" s="69" t="n"/>
      <c r="G279" s="69" t="n"/>
      <c r="H279" s="69" t="n"/>
      <c r="I279" s="69" t="n"/>
      <c r="J279" s="69" t="n"/>
      <c r="K279" s="69" t="n"/>
      <c r="L279" s="69" t="n"/>
      <c r="M279" s="69" t="n"/>
      <c r="N279" s="69" t="n"/>
      <c r="O279" s="69" t="n"/>
      <c r="P279" s="69" t="n"/>
    </row>
    <row r="280" hidden="1" outlineLevel="1" ht="15" customHeight="1" s="15">
      <c r="B280" s="69" t="n"/>
      <c r="C280" s="69" t="n"/>
      <c r="D280" s="69" t="n"/>
      <c r="E280" s="70" t="n"/>
      <c r="F280" s="69" t="n"/>
      <c r="G280" s="69" t="n"/>
      <c r="H280" s="69" t="n"/>
      <c r="I280" s="69" t="n"/>
      <c r="J280" s="69" t="n"/>
      <c r="K280" s="69" t="n"/>
      <c r="L280" s="69" t="n"/>
      <c r="M280" s="69" t="n"/>
      <c r="N280" s="69" t="n"/>
      <c r="O280" s="69" t="n"/>
      <c r="P280" s="69" t="n"/>
    </row>
    <row r="281" hidden="1" outlineLevel="1" ht="15" customHeight="1" s="15">
      <c r="B281" s="69" t="n"/>
      <c r="C281" s="69" t="n"/>
      <c r="D281" s="69" t="n"/>
      <c r="E281" s="70" t="n"/>
      <c r="F281" s="69" t="n"/>
      <c r="G281" s="69" t="n"/>
      <c r="H281" s="69" t="n"/>
      <c r="I281" s="69" t="n"/>
      <c r="J281" s="69" t="n"/>
      <c r="K281" s="69" t="n"/>
      <c r="L281" s="69" t="n"/>
      <c r="M281" s="69" t="n"/>
      <c r="N281" s="69" t="n"/>
      <c r="O281" s="69" t="n"/>
      <c r="P281" s="69" t="n"/>
    </row>
    <row r="282" collapsed="1" ht="19.5" customHeight="1" s="15">
      <c r="B282" s="6" t="inlineStr">
        <is>
          <t>ℹ  Coller ici (Collage spécial &gt; Valeurs) les lignes agents de JOURNAL pour Avril — fond bleu-gris = zone d'archive, pas de formule.</t>
        </is>
      </c>
    </row>
    <row r="284" ht="19.5" customHeight="1" s="15">
      <c r="B284" s="4" t="inlineStr">
        <is>
          <t xml:space="preserve">  MAI — bloc à remplir à la clôture</t>
        </is>
      </c>
    </row>
    <row r="285" ht="25.5" customHeight="1" s="15">
      <c r="B285" s="40" t="inlineStr">
        <is>
          <t>Année</t>
        </is>
      </c>
      <c r="C285" s="40" t="inlineStr">
        <is>
          <t>Mois</t>
        </is>
      </c>
      <c r="D285" s="40" t="inlineStr">
        <is>
          <t>Matricule</t>
        </is>
      </c>
      <c r="E285" s="40" t="inlineStr">
        <is>
          <t>Nom</t>
        </is>
      </c>
      <c r="F285" s="40" t="inlineStr">
        <is>
          <t>BRUT</t>
        </is>
      </c>
      <c r="G285" s="40" t="inlineStr">
        <is>
          <t>CNSS salariale</t>
        </is>
      </c>
      <c r="H285" s="40" t="inlineStr">
        <is>
          <t>IPR</t>
        </is>
      </c>
      <c r="I285" s="40" t="inlineStr">
        <is>
          <t>NET avant retenues</t>
        </is>
      </c>
      <c r="J285" s="40" t="inlineStr">
        <is>
          <t>Avance</t>
        </is>
      </c>
      <c r="K285" s="40" t="inlineStr">
        <is>
          <t>Retenues diverses</t>
        </is>
      </c>
      <c r="L285" s="40" t="inlineStr">
        <is>
          <t>NET À PAYER</t>
        </is>
      </c>
      <c r="M285" s="40" t="inlineStr">
        <is>
          <t>CNSS patronale</t>
        </is>
      </c>
      <c r="N285" s="40" t="inlineStr">
        <is>
          <t>INPP</t>
        </is>
      </c>
      <c r="O285" s="40" t="inlineStr">
        <is>
          <t>ONEM</t>
        </is>
      </c>
      <c r="P285" s="40" t="inlineStr">
        <is>
          <t>Coût total employeur</t>
        </is>
      </c>
    </row>
    <row r="286" hidden="1" outlineLevel="1" ht="15" customHeight="1" s="15">
      <c r="B286" s="69" t="n"/>
      <c r="C286" s="69" t="n"/>
      <c r="D286" s="69" t="n"/>
      <c r="E286" s="70" t="n"/>
      <c r="F286" s="69" t="n"/>
      <c r="G286" s="69" t="n"/>
      <c r="H286" s="69" t="n"/>
      <c r="I286" s="69" t="n"/>
      <c r="J286" s="69" t="n"/>
      <c r="K286" s="69" t="n"/>
      <c r="L286" s="69" t="n"/>
      <c r="M286" s="69" t="n"/>
      <c r="N286" s="69" t="n"/>
      <c r="O286" s="69" t="n"/>
      <c r="P286" s="69" t="n"/>
    </row>
    <row r="287" hidden="1" outlineLevel="1" ht="15" customHeight="1" s="15">
      <c r="B287" s="69" t="n"/>
      <c r="C287" s="69" t="n"/>
      <c r="D287" s="69" t="n"/>
      <c r="E287" s="70" t="n"/>
      <c r="F287" s="69" t="n"/>
      <c r="G287" s="69" t="n"/>
      <c r="H287" s="69" t="n"/>
      <c r="I287" s="69" t="n"/>
      <c r="J287" s="69" t="n"/>
      <c r="K287" s="69" t="n"/>
      <c r="L287" s="69" t="n"/>
      <c r="M287" s="69" t="n"/>
      <c r="N287" s="69" t="n"/>
      <c r="O287" s="69" t="n"/>
      <c r="P287" s="69" t="n"/>
    </row>
    <row r="288" hidden="1" outlineLevel="1" ht="15" customHeight="1" s="15">
      <c r="B288" s="69" t="n"/>
      <c r="C288" s="69" t="n"/>
      <c r="D288" s="69" t="n"/>
      <c r="E288" s="70" t="n"/>
      <c r="F288" s="69" t="n"/>
      <c r="G288" s="69" t="n"/>
      <c r="H288" s="69" t="n"/>
      <c r="I288" s="69" t="n"/>
      <c r="J288" s="69" t="n"/>
      <c r="K288" s="69" t="n"/>
      <c r="L288" s="69" t="n"/>
      <c r="M288" s="69" t="n"/>
      <c r="N288" s="69" t="n"/>
      <c r="O288" s="69" t="n"/>
      <c r="P288" s="69" t="n"/>
    </row>
    <row r="289" hidden="1" outlineLevel="1" ht="15" customHeight="1" s="15">
      <c r="B289" s="69" t="n"/>
      <c r="C289" s="69" t="n"/>
      <c r="D289" s="69" t="n"/>
      <c r="E289" s="70" t="n"/>
      <c r="F289" s="69" t="n"/>
      <c r="G289" s="69" t="n"/>
      <c r="H289" s="69" t="n"/>
      <c r="I289" s="69" t="n"/>
      <c r="J289" s="69" t="n"/>
      <c r="K289" s="69" t="n"/>
      <c r="L289" s="69" t="n"/>
      <c r="M289" s="69" t="n"/>
      <c r="N289" s="69" t="n"/>
      <c r="O289" s="69" t="n"/>
      <c r="P289" s="69" t="n"/>
    </row>
    <row r="290" hidden="1" outlineLevel="1" ht="15" customHeight="1" s="15">
      <c r="B290" s="69" t="n"/>
      <c r="C290" s="69" t="n"/>
      <c r="D290" s="69" t="n"/>
      <c r="E290" s="70" t="n"/>
      <c r="F290" s="69" t="n"/>
      <c r="G290" s="69" t="n"/>
      <c r="H290" s="69" t="n"/>
      <c r="I290" s="69" t="n"/>
      <c r="J290" s="69" t="n"/>
      <c r="K290" s="69" t="n"/>
      <c r="L290" s="69" t="n"/>
      <c r="M290" s="69" t="n"/>
      <c r="N290" s="69" t="n"/>
      <c r="O290" s="69" t="n"/>
      <c r="P290" s="69" t="n"/>
    </row>
    <row r="291" hidden="1" outlineLevel="1" ht="15" customHeight="1" s="15">
      <c r="B291" s="69" t="n"/>
      <c r="C291" s="69" t="n"/>
      <c r="D291" s="69" t="n"/>
      <c r="E291" s="70" t="n"/>
      <c r="F291" s="69" t="n"/>
      <c r="G291" s="69" t="n"/>
      <c r="H291" s="69" t="n"/>
      <c r="I291" s="69" t="n"/>
      <c r="J291" s="69" t="n"/>
      <c r="K291" s="69" t="n"/>
      <c r="L291" s="69" t="n"/>
      <c r="M291" s="69" t="n"/>
      <c r="N291" s="69" t="n"/>
      <c r="O291" s="69" t="n"/>
      <c r="P291" s="69" t="n"/>
    </row>
    <row r="292" hidden="1" outlineLevel="1" ht="15" customHeight="1" s="15">
      <c r="B292" s="69" t="n"/>
      <c r="C292" s="69" t="n"/>
      <c r="D292" s="69" t="n"/>
      <c r="E292" s="70" t="n"/>
      <c r="F292" s="69" t="n"/>
      <c r="G292" s="69" t="n"/>
      <c r="H292" s="69" t="n"/>
      <c r="I292" s="69" t="n"/>
      <c r="J292" s="69" t="n"/>
      <c r="K292" s="69" t="n"/>
      <c r="L292" s="69" t="n"/>
      <c r="M292" s="69" t="n"/>
      <c r="N292" s="69" t="n"/>
      <c r="O292" s="69" t="n"/>
      <c r="P292" s="69" t="n"/>
    </row>
    <row r="293" hidden="1" outlineLevel="1" ht="15" customHeight="1" s="15">
      <c r="B293" s="69" t="n"/>
      <c r="C293" s="69" t="n"/>
      <c r="D293" s="69" t="n"/>
      <c r="E293" s="70" t="n"/>
      <c r="F293" s="69" t="n"/>
      <c r="G293" s="69" t="n"/>
      <c r="H293" s="69" t="n"/>
      <c r="I293" s="69" t="n"/>
      <c r="J293" s="69" t="n"/>
      <c r="K293" s="69" t="n"/>
      <c r="L293" s="69" t="n"/>
      <c r="M293" s="69" t="n"/>
      <c r="N293" s="69" t="n"/>
      <c r="O293" s="69" t="n"/>
      <c r="P293" s="69" t="n"/>
    </row>
    <row r="294" hidden="1" outlineLevel="1" ht="15" customHeight="1" s="15">
      <c r="B294" s="69" t="n"/>
      <c r="C294" s="69" t="n"/>
      <c r="D294" s="69" t="n"/>
      <c r="E294" s="70" t="n"/>
      <c r="F294" s="69" t="n"/>
      <c r="G294" s="69" t="n"/>
      <c r="H294" s="69" t="n"/>
      <c r="I294" s="69" t="n"/>
      <c r="J294" s="69" t="n"/>
      <c r="K294" s="69" t="n"/>
      <c r="L294" s="69" t="n"/>
      <c r="M294" s="69" t="n"/>
      <c r="N294" s="69" t="n"/>
      <c r="O294" s="69" t="n"/>
      <c r="P294" s="69" t="n"/>
    </row>
    <row r="295" hidden="1" outlineLevel="1" ht="15" customHeight="1" s="15">
      <c r="B295" s="69" t="n"/>
      <c r="C295" s="69" t="n"/>
      <c r="D295" s="69" t="n"/>
      <c r="E295" s="70" t="n"/>
      <c r="F295" s="69" t="n"/>
      <c r="G295" s="69" t="n"/>
      <c r="H295" s="69" t="n"/>
      <c r="I295" s="69" t="n"/>
      <c r="J295" s="69" t="n"/>
      <c r="K295" s="69" t="n"/>
      <c r="L295" s="69" t="n"/>
      <c r="M295" s="69" t="n"/>
      <c r="N295" s="69" t="n"/>
      <c r="O295" s="69" t="n"/>
      <c r="P295" s="69" t="n"/>
    </row>
    <row r="296" hidden="1" outlineLevel="1" ht="15" customHeight="1" s="15">
      <c r="B296" s="69" t="n"/>
      <c r="C296" s="69" t="n"/>
      <c r="D296" s="69" t="n"/>
      <c r="E296" s="70" t="n"/>
      <c r="F296" s="69" t="n"/>
      <c r="G296" s="69" t="n"/>
      <c r="H296" s="69" t="n"/>
      <c r="I296" s="69" t="n"/>
      <c r="J296" s="69" t="n"/>
      <c r="K296" s="69" t="n"/>
      <c r="L296" s="69" t="n"/>
      <c r="M296" s="69" t="n"/>
      <c r="N296" s="69" t="n"/>
      <c r="O296" s="69" t="n"/>
      <c r="P296" s="69" t="n"/>
    </row>
    <row r="297" hidden="1" outlineLevel="1" ht="15" customHeight="1" s="15">
      <c r="B297" s="69" t="n"/>
      <c r="C297" s="69" t="n"/>
      <c r="D297" s="69" t="n"/>
      <c r="E297" s="70" t="n"/>
      <c r="F297" s="69" t="n"/>
      <c r="G297" s="69" t="n"/>
      <c r="H297" s="69" t="n"/>
      <c r="I297" s="69" t="n"/>
      <c r="J297" s="69" t="n"/>
      <c r="K297" s="69" t="n"/>
      <c r="L297" s="69" t="n"/>
      <c r="M297" s="69" t="n"/>
      <c r="N297" s="69" t="n"/>
      <c r="O297" s="69" t="n"/>
      <c r="P297" s="69" t="n"/>
    </row>
    <row r="298" hidden="1" outlineLevel="1" ht="15" customHeight="1" s="15">
      <c r="B298" s="69" t="n"/>
      <c r="C298" s="69" t="n"/>
      <c r="D298" s="69" t="n"/>
      <c r="E298" s="70" t="n"/>
      <c r="F298" s="69" t="n"/>
      <c r="G298" s="69" t="n"/>
      <c r="H298" s="69" t="n"/>
      <c r="I298" s="69" t="n"/>
      <c r="J298" s="69" t="n"/>
      <c r="K298" s="69" t="n"/>
      <c r="L298" s="69" t="n"/>
      <c r="M298" s="69" t="n"/>
      <c r="N298" s="69" t="n"/>
      <c r="O298" s="69" t="n"/>
      <c r="P298" s="69" t="n"/>
    </row>
    <row r="299" hidden="1" outlineLevel="1" ht="15" customHeight="1" s="15">
      <c r="B299" s="69" t="n"/>
      <c r="C299" s="69" t="n"/>
      <c r="D299" s="69" t="n"/>
      <c r="E299" s="70" t="n"/>
      <c r="F299" s="69" t="n"/>
      <c r="G299" s="69" t="n"/>
      <c r="H299" s="69" t="n"/>
      <c r="I299" s="69" t="n"/>
      <c r="J299" s="69" t="n"/>
      <c r="K299" s="69" t="n"/>
      <c r="L299" s="69" t="n"/>
      <c r="M299" s="69" t="n"/>
      <c r="N299" s="69" t="n"/>
      <c r="O299" s="69" t="n"/>
      <c r="P299" s="69" t="n"/>
    </row>
    <row r="300" hidden="1" outlineLevel="1" ht="15" customHeight="1" s="15">
      <c r="B300" s="69" t="n"/>
      <c r="C300" s="69" t="n"/>
      <c r="D300" s="69" t="n"/>
      <c r="E300" s="70" t="n"/>
      <c r="F300" s="69" t="n"/>
      <c r="G300" s="69" t="n"/>
      <c r="H300" s="69" t="n"/>
      <c r="I300" s="69" t="n"/>
      <c r="J300" s="69" t="n"/>
      <c r="K300" s="69" t="n"/>
      <c r="L300" s="69" t="n"/>
      <c r="M300" s="69" t="n"/>
      <c r="N300" s="69" t="n"/>
      <c r="O300" s="69" t="n"/>
      <c r="P300" s="69" t="n"/>
    </row>
    <row r="301" hidden="1" outlineLevel="1" ht="15" customHeight="1" s="15">
      <c r="B301" s="69" t="n"/>
      <c r="C301" s="69" t="n"/>
      <c r="D301" s="69" t="n"/>
      <c r="E301" s="70" t="n"/>
      <c r="F301" s="69" t="n"/>
      <c r="G301" s="69" t="n"/>
      <c r="H301" s="69" t="n"/>
      <c r="I301" s="69" t="n"/>
      <c r="J301" s="69" t="n"/>
      <c r="K301" s="69" t="n"/>
      <c r="L301" s="69" t="n"/>
      <c r="M301" s="69" t="n"/>
      <c r="N301" s="69" t="n"/>
      <c r="O301" s="69" t="n"/>
      <c r="P301" s="69" t="n"/>
    </row>
    <row r="302" hidden="1" outlineLevel="1" ht="15" customHeight="1" s="15">
      <c r="B302" s="69" t="n"/>
      <c r="C302" s="69" t="n"/>
      <c r="D302" s="69" t="n"/>
      <c r="E302" s="70" t="n"/>
      <c r="F302" s="69" t="n"/>
      <c r="G302" s="69" t="n"/>
      <c r="H302" s="69" t="n"/>
      <c r="I302" s="69" t="n"/>
      <c r="J302" s="69" t="n"/>
      <c r="K302" s="69" t="n"/>
      <c r="L302" s="69" t="n"/>
      <c r="M302" s="69" t="n"/>
      <c r="N302" s="69" t="n"/>
      <c r="O302" s="69" t="n"/>
      <c r="P302" s="69" t="n"/>
    </row>
    <row r="303" hidden="1" outlineLevel="1" ht="15" customHeight="1" s="15">
      <c r="B303" s="69" t="n"/>
      <c r="C303" s="69" t="n"/>
      <c r="D303" s="69" t="n"/>
      <c r="E303" s="70" t="n"/>
      <c r="F303" s="69" t="n"/>
      <c r="G303" s="69" t="n"/>
      <c r="H303" s="69" t="n"/>
      <c r="I303" s="69" t="n"/>
      <c r="J303" s="69" t="n"/>
      <c r="K303" s="69" t="n"/>
      <c r="L303" s="69" t="n"/>
      <c r="M303" s="69" t="n"/>
      <c r="N303" s="69" t="n"/>
      <c r="O303" s="69" t="n"/>
      <c r="P303" s="69" t="n"/>
    </row>
    <row r="304" hidden="1" outlineLevel="1" ht="15" customHeight="1" s="15">
      <c r="B304" s="69" t="n"/>
      <c r="C304" s="69" t="n"/>
      <c r="D304" s="69" t="n"/>
      <c r="E304" s="70" t="n"/>
      <c r="F304" s="69" t="n"/>
      <c r="G304" s="69" t="n"/>
      <c r="H304" s="69" t="n"/>
      <c r="I304" s="69" t="n"/>
      <c r="J304" s="69" t="n"/>
      <c r="K304" s="69" t="n"/>
      <c r="L304" s="69" t="n"/>
      <c r="M304" s="69" t="n"/>
      <c r="N304" s="69" t="n"/>
      <c r="O304" s="69" t="n"/>
      <c r="P304" s="69" t="n"/>
    </row>
    <row r="305" hidden="1" outlineLevel="1" ht="15" customHeight="1" s="15">
      <c r="B305" s="69" t="n"/>
      <c r="C305" s="69" t="n"/>
      <c r="D305" s="69" t="n"/>
      <c r="E305" s="70" t="n"/>
      <c r="F305" s="69" t="n"/>
      <c r="G305" s="69" t="n"/>
      <c r="H305" s="69" t="n"/>
      <c r="I305" s="69" t="n"/>
      <c r="J305" s="69" t="n"/>
      <c r="K305" s="69" t="n"/>
      <c r="L305" s="69" t="n"/>
      <c r="M305" s="69" t="n"/>
      <c r="N305" s="69" t="n"/>
      <c r="O305" s="69" t="n"/>
      <c r="P305" s="69" t="n"/>
    </row>
    <row r="306" hidden="1" outlineLevel="1" ht="15" customHeight="1" s="15">
      <c r="B306" s="69" t="n"/>
      <c r="C306" s="69" t="n"/>
      <c r="D306" s="69" t="n"/>
      <c r="E306" s="70" t="n"/>
      <c r="F306" s="69" t="n"/>
      <c r="G306" s="69" t="n"/>
      <c r="H306" s="69" t="n"/>
      <c r="I306" s="69" t="n"/>
      <c r="J306" s="69" t="n"/>
      <c r="K306" s="69" t="n"/>
      <c r="L306" s="69" t="n"/>
      <c r="M306" s="69" t="n"/>
      <c r="N306" s="69" t="n"/>
      <c r="O306" s="69" t="n"/>
      <c r="P306" s="69" t="n"/>
    </row>
    <row r="307" hidden="1" outlineLevel="1" ht="15" customHeight="1" s="15">
      <c r="B307" s="69" t="n"/>
      <c r="C307" s="69" t="n"/>
      <c r="D307" s="69" t="n"/>
      <c r="E307" s="70" t="n"/>
      <c r="F307" s="69" t="n"/>
      <c r="G307" s="69" t="n"/>
      <c r="H307" s="69" t="n"/>
      <c r="I307" s="69" t="n"/>
      <c r="J307" s="69" t="n"/>
      <c r="K307" s="69" t="n"/>
      <c r="L307" s="69" t="n"/>
      <c r="M307" s="69" t="n"/>
      <c r="N307" s="69" t="n"/>
      <c r="O307" s="69" t="n"/>
      <c r="P307" s="69" t="n"/>
    </row>
    <row r="308" hidden="1" outlineLevel="1" ht="15" customHeight="1" s="15">
      <c r="B308" s="69" t="n"/>
      <c r="C308" s="69" t="n"/>
      <c r="D308" s="69" t="n"/>
      <c r="E308" s="70" t="n"/>
      <c r="F308" s="69" t="n"/>
      <c r="G308" s="69" t="n"/>
      <c r="H308" s="69" t="n"/>
      <c r="I308" s="69" t="n"/>
      <c r="J308" s="69" t="n"/>
      <c r="K308" s="69" t="n"/>
      <c r="L308" s="69" t="n"/>
      <c r="M308" s="69" t="n"/>
      <c r="N308" s="69" t="n"/>
      <c r="O308" s="69" t="n"/>
      <c r="P308" s="69" t="n"/>
    </row>
    <row r="309" hidden="1" outlineLevel="1" ht="15" customHeight="1" s="15">
      <c r="B309" s="69" t="n"/>
      <c r="C309" s="69" t="n"/>
      <c r="D309" s="69" t="n"/>
      <c r="E309" s="70" t="n"/>
      <c r="F309" s="69" t="n"/>
      <c r="G309" s="69" t="n"/>
      <c r="H309" s="69" t="n"/>
      <c r="I309" s="69" t="n"/>
      <c r="J309" s="69" t="n"/>
      <c r="K309" s="69" t="n"/>
      <c r="L309" s="69" t="n"/>
      <c r="M309" s="69" t="n"/>
      <c r="N309" s="69" t="n"/>
      <c r="O309" s="69" t="n"/>
      <c r="P309" s="69" t="n"/>
    </row>
    <row r="310" hidden="1" outlineLevel="1" ht="15" customHeight="1" s="15">
      <c r="B310" s="69" t="n"/>
      <c r="C310" s="69" t="n"/>
      <c r="D310" s="69" t="n"/>
      <c r="E310" s="70" t="n"/>
      <c r="F310" s="69" t="n"/>
      <c r="G310" s="69" t="n"/>
      <c r="H310" s="69" t="n"/>
      <c r="I310" s="69" t="n"/>
      <c r="J310" s="69" t="n"/>
      <c r="K310" s="69" t="n"/>
      <c r="L310" s="69" t="n"/>
      <c r="M310" s="69" t="n"/>
      <c r="N310" s="69" t="n"/>
      <c r="O310" s="69" t="n"/>
      <c r="P310" s="69" t="n"/>
    </row>
    <row r="311" hidden="1" outlineLevel="1" ht="15" customHeight="1" s="15">
      <c r="B311" s="69" t="n"/>
      <c r="C311" s="69" t="n"/>
      <c r="D311" s="69" t="n"/>
      <c r="E311" s="70" t="n"/>
      <c r="F311" s="69" t="n"/>
      <c r="G311" s="69" t="n"/>
      <c r="H311" s="69" t="n"/>
      <c r="I311" s="69" t="n"/>
      <c r="J311" s="69" t="n"/>
      <c r="K311" s="69" t="n"/>
      <c r="L311" s="69" t="n"/>
      <c r="M311" s="69" t="n"/>
      <c r="N311" s="69" t="n"/>
      <c r="O311" s="69" t="n"/>
      <c r="P311" s="69" t="n"/>
    </row>
    <row r="312" hidden="1" outlineLevel="1" ht="15" customHeight="1" s="15">
      <c r="B312" s="69" t="n"/>
      <c r="C312" s="69" t="n"/>
      <c r="D312" s="69" t="n"/>
      <c r="E312" s="70" t="n"/>
      <c r="F312" s="69" t="n"/>
      <c r="G312" s="69" t="n"/>
      <c r="H312" s="69" t="n"/>
      <c r="I312" s="69" t="n"/>
      <c r="J312" s="69" t="n"/>
      <c r="K312" s="69" t="n"/>
      <c r="L312" s="69" t="n"/>
      <c r="M312" s="69" t="n"/>
      <c r="N312" s="69" t="n"/>
      <c r="O312" s="69" t="n"/>
      <c r="P312" s="69" t="n"/>
    </row>
    <row r="313" hidden="1" outlineLevel="1" ht="15" customHeight="1" s="15">
      <c r="B313" s="69" t="n"/>
      <c r="C313" s="69" t="n"/>
      <c r="D313" s="69" t="n"/>
      <c r="E313" s="70" t="n"/>
      <c r="F313" s="69" t="n"/>
      <c r="G313" s="69" t="n"/>
      <c r="H313" s="69" t="n"/>
      <c r="I313" s="69" t="n"/>
      <c r="J313" s="69" t="n"/>
      <c r="K313" s="69" t="n"/>
      <c r="L313" s="69" t="n"/>
      <c r="M313" s="69" t="n"/>
      <c r="N313" s="69" t="n"/>
      <c r="O313" s="69" t="n"/>
      <c r="P313" s="69" t="n"/>
    </row>
    <row r="314" hidden="1" outlineLevel="1" ht="15" customHeight="1" s="15">
      <c r="B314" s="69" t="n"/>
      <c r="C314" s="69" t="n"/>
      <c r="D314" s="69" t="n"/>
      <c r="E314" s="70" t="n"/>
      <c r="F314" s="69" t="n"/>
      <c r="G314" s="69" t="n"/>
      <c r="H314" s="69" t="n"/>
      <c r="I314" s="69" t="n"/>
      <c r="J314" s="69" t="n"/>
      <c r="K314" s="69" t="n"/>
      <c r="L314" s="69" t="n"/>
      <c r="M314" s="69" t="n"/>
      <c r="N314" s="69" t="n"/>
      <c r="O314" s="69" t="n"/>
      <c r="P314" s="69" t="n"/>
    </row>
    <row r="315" hidden="1" outlineLevel="1" ht="15" customHeight="1" s="15">
      <c r="B315" s="69" t="n"/>
      <c r="C315" s="69" t="n"/>
      <c r="D315" s="69" t="n"/>
      <c r="E315" s="70" t="n"/>
      <c r="F315" s="69" t="n"/>
      <c r="G315" s="69" t="n"/>
      <c r="H315" s="69" t="n"/>
      <c r="I315" s="69" t="n"/>
      <c r="J315" s="69" t="n"/>
      <c r="K315" s="69" t="n"/>
      <c r="L315" s="69" t="n"/>
      <c r="M315" s="69" t="n"/>
      <c r="N315" s="69" t="n"/>
      <c r="O315" s="69" t="n"/>
      <c r="P315" s="69" t="n"/>
    </row>
    <row r="316" hidden="1" outlineLevel="1" ht="15" customHeight="1" s="15">
      <c r="B316" s="69" t="n"/>
      <c r="C316" s="69" t="n"/>
      <c r="D316" s="69" t="n"/>
      <c r="E316" s="70" t="n"/>
      <c r="F316" s="69" t="n"/>
      <c r="G316" s="69" t="n"/>
      <c r="H316" s="69" t="n"/>
      <c r="I316" s="69" t="n"/>
      <c r="J316" s="69" t="n"/>
      <c r="K316" s="69" t="n"/>
      <c r="L316" s="69" t="n"/>
      <c r="M316" s="69" t="n"/>
      <c r="N316" s="69" t="n"/>
      <c r="O316" s="69" t="n"/>
      <c r="P316" s="69" t="n"/>
    </row>
    <row r="317" hidden="1" outlineLevel="1" ht="15" customHeight="1" s="15">
      <c r="B317" s="69" t="n"/>
      <c r="C317" s="69" t="n"/>
      <c r="D317" s="69" t="n"/>
      <c r="E317" s="70" t="n"/>
      <c r="F317" s="69" t="n"/>
      <c r="G317" s="69" t="n"/>
      <c r="H317" s="69" t="n"/>
      <c r="I317" s="69" t="n"/>
      <c r="J317" s="69" t="n"/>
      <c r="K317" s="69" t="n"/>
      <c r="L317" s="69" t="n"/>
      <c r="M317" s="69" t="n"/>
      <c r="N317" s="69" t="n"/>
      <c r="O317" s="69" t="n"/>
      <c r="P317" s="69" t="n"/>
    </row>
    <row r="318" hidden="1" outlineLevel="1" ht="15" customHeight="1" s="15">
      <c r="B318" s="69" t="n"/>
      <c r="C318" s="69" t="n"/>
      <c r="D318" s="69" t="n"/>
      <c r="E318" s="70" t="n"/>
      <c r="F318" s="69" t="n"/>
      <c r="G318" s="69" t="n"/>
      <c r="H318" s="69" t="n"/>
      <c r="I318" s="69" t="n"/>
      <c r="J318" s="69" t="n"/>
      <c r="K318" s="69" t="n"/>
      <c r="L318" s="69" t="n"/>
      <c r="M318" s="69" t="n"/>
      <c r="N318" s="69" t="n"/>
      <c r="O318" s="69" t="n"/>
      <c r="P318" s="69" t="n"/>
    </row>
    <row r="319" hidden="1" outlineLevel="1" ht="15" customHeight="1" s="15">
      <c r="B319" s="69" t="n"/>
      <c r="C319" s="69" t="n"/>
      <c r="D319" s="69" t="n"/>
      <c r="E319" s="70" t="n"/>
      <c r="F319" s="69" t="n"/>
      <c r="G319" s="69" t="n"/>
      <c r="H319" s="69" t="n"/>
      <c r="I319" s="69" t="n"/>
      <c r="J319" s="69" t="n"/>
      <c r="K319" s="69" t="n"/>
      <c r="L319" s="69" t="n"/>
      <c r="M319" s="69" t="n"/>
      <c r="N319" s="69" t="n"/>
      <c r="O319" s="69" t="n"/>
      <c r="P319" s="69" t="n"/>
    </row>
    <row r="320" hidden="1" outlineLevel="1" ht="15" customHeight="1" s="15">
      <c r="B320" s="69" t="n"/>
      <c r="C320" s="69" t="n"/>
      <c r="D320" s="69" t="n"/>
      <c r="E320" s="70" t="n"/>
      <c r="F320" s="69" t="n"/>
      <c r="G320" s="69" t="n"/>
      <c r="H320" s="69" t="n"/>
      <c r="I320" s="69" t="n"/>
      <c r="J320" s="69" t="n"/>
      <c r="K320" s="69" t="n"/>
      <c r="L320" s="69" t="n"/>
      <c r="M320" s="69" t="n"/>
      <c r="N320" s="69" t="n"/>
      <c r="O320" s="69" t="n"/>
      <c r="P320" s="69" t="n"/>
    </row>
    <row r="321" hidden="1" outlineLevel="1" ht="15" customHeight="1" s="15">
      <c r="B321" s="69" t="n"/>
      <c r="C321" s="69" t="n"/>
      <c r="D321" s="69" t="n"/>
      <c r="E321" s="70" t="n"/>
      <c r="F321" s="69" t="n"/>
      <c r="G321" s="69" t="n"/>
      <c r="H321" s="69" t="n"/>
      <c r="I321" s="69" t="n"/>
      <c r="J321" s="69" t="n"/>
      <c r="K321" s="69" t="n"/>
      <c r="L321" s="69" t="n"/>
      <c r="M321" s="69" t="n"/>
      <c r="N321" s="69" t="n"/>
      <c r="O321" s="69" t="n"/>
      <c r="P321" s="69" t="n"/>
    </row>
    <row r="322" hidden="1" outlineLevel="1" ht="15" customHeight="1" s="15">
      <c r="B322" s="69" t="n"/>
      <c r="C322" s="69" t="n"/>
      <c r="D322" s="69" t="n"/>
      <c r="E322" s="70" t="n"/>
      <c r="F322" s="69" t="n"/>
      <c r="G322" s="69" t="n"/>
      <c r="H322" s="69" t="n"/>
      <c r="I322" s="69" t="n"/>
      <c r="J322" s="69" t="n"/>
      <c r="K322" s="69" t="n"/>
      <c r="L322" s="69" t="n"/>
      <c r="M322" s="69" t="n"/>
      <c r="N322" s="69" t="n"/>
      <c r="O322" s="69" t="n"/>
      <c r="P322" s="69" t="n"/>
    </row>
    <row r="323" hidden="1" outlineLevel="1" ht="15" customHeight="1" s="15">
      <c r="B323" s="69" t="n"/>
      <c r="C323" s="69" t="n"/>
      <c r="D323" s="69" t="n"/>
      <c r="E323" s="70" t="n"/>
      <c r="F323" s="69" t="n"/>
      <c r="G323" s="69" t="n"/>
      <c r="H323" s="69" t="n"/>
      <c r="I323" s="69" t="n"/>
      <c r="J323" s="69" t="n"/>
      <c r="K323" s="69" t="n"/>
      <c r="L323" s="69" t="n"/>
      <c r="M323" s="69" t="n"/>
      <c r="N323" s="69" t="n"/>
      <c r="O323" s="69" t="n"/>
      <c r="P323" s="69" t="n"/>
    </row>
    <row r="324" hidden="1" outlineLevel="1" ht="15" customHeight="1" s="15">
      <c r="B324" s="69" t="n"/>
      <c r="C324" s="69" t="n"/>
      <c r="D324" s="69" t="n"/>
      <c r="E324" s="70" t="n"/>
      <c r="F324" s="69" t="n"/>
      <c r="G324" s="69" t="n"/>
      <c r="H324" s="69" t="n"/>
      <c r="I324" s="69" t="n"/>
      <c r="J324" s="69" t="n"/>
      <c r="K324" s="69" t="n"/>
      <c r="L324" s="69" t="n"/>
      <c r="M324" s="69" t="n"/>
      <c r="N324" s="69" t="n"/>
      <c r="O324" s="69" t="n"/>
      <c r="P324" s="69" t="n"/>
    </row>
    <row r="325" hidden="1" outlineLevel="1" ht="15" customHeight="1" s="15">
      <c r="B325" s="69" t="n"/>
      <c r="C325" s="69" t="n"/>
      <c r="D325" s="69" t="n"/>
      <c r="E325" s="70" t="n"/>
      <c r="F325" s="69" t="n"/>
      <c r="G325" s="69" t="n"/>
      <c r="H325" s="69" t="n"/>
      <c r="I325" s="69" t="n"/>
      <c r="J325" s="69" t="n"/>
      <c r="K325" s="69" t="n"/>
      <c r="L325" s="69" t="n"/>
      <c r="M325" s="69" t="n"/>
      <c r="N325" s="69" t="n"/>
      <c r="O325" s="69" t="n"/>
      <c r="P325" s="69" t="n"/>
    </row>
    <row r="326" hidden="1" outlineLevel="1" ht="15" customHeight="1" s="15">
      <c r="B326" s="69" t="n"/>
      <c r="C326" s="69" t="n"/>
      <c r="D326" s="69" t="n"/>
      <c r="E326" s="70" t="n"/>
      <c r="F326" s="69" t="n"/>
      <c r="G326" s="69" t="n"/>
      <c r="H326" s="69" t="n"/>
      <c r="I326" s="69" t="n"/>
      <c r="J326" s="69" t="n"/>
      <c r="K326" s="69" t="n"/>
      <c r="L326" s="69" t="n"/>
      <c r="M326" s="69" t="n"/>
      <c r="N326" s="69" t="n"/>
      <c r="O326" s="69" t="n"/>
      <c r="P326" s="69" t="n"/>
    </row>
    <row r="327" hidden="1" outlineLevel="1" ht="15" customHeight="1" s="15">
      <c r="B327" s="69" t="n"/>
      <c r="C327" s="69" t="n"/>
      <c r="D327" s="69" t="n"/>
      <c r="E327" s="70" t="n"/>
      <c r="F327" s="69" t="n"/>
      <c r="G327" s="69" t="n"/>
      <c r="H327" s="69" t="n"/>
      <c r="I327" s="69" t="n"/>
      <c r="J327" s="69" t="n"/>
      <c r="K327" s="69" t="n"/>
      <c r="L327" s="69" t="n"/>
      <c r="M327" s="69" t="n"/>
      <c r="N327" s="69" t="n"/>
      <c r="O327" s="69" t="n"/>
      <c r="P327" s="69" t="n"/>
    </row>
    <row r="328" hidden="1" outlineLevel="1" ht="15" customHeight="1" s="15">
      <c r="B328" s="69" t="n"/>
      <c r="C328" s="69" t="n"/>
      <c r="D328" s="69" t="n"/>
      <c r="E328" s="70" t="n"/>
      <c r="F328" s="69" t="n"/>
      <c r="G328" s="69" t="n"/>
      <c r="H328" s="69" t="n"/>
      <c r="I328" s="69" t="n"/>
      <c r="J328" s="69" t="n"/>
      <c r="K328" s="69" t="n"/>
      <c r="L328" s="69" t="n"/>
      <c r="M328" s="69" t="n"/>
      <c r="N328" s="69" t="n"/>
      <c r="O328" s="69" t="n"/>
      <c r="P328" s="69" t="n"/>
    </row>
    <row r="329" hidden="1" outlineLevel="1" ht="15" customHeight="1" s="15">
      <c r="B329" s="69" t="n"/>
      <c r="C329" s="69" t="n"/>
      <c r="D329" s="69" t="n"/>
      <c r="E329" s="70" t="n"/>
      <c r="F329" s="69" t="n"/>
      <c r="G329" s="69" t="n"/>
      <c r="H329" s="69" t="n"/>
      <c r="I329" s="69" t="n"/>
      <c r="J329" s="69" t="n"/>
      <c r="K329" s="69" t="n"/>
      <c r="L329" s="69" t="n"/>
      <c r="M329" s="69" t="n"/>
      <c r="N329" s="69" t="n"/>
      <c r="O329" s="69" t="n"/>
      <c r="P329" s="69" t="n"/>
    </row>
    <row r="330" hidden="1" outlineLevel="1" ht="15" customHeight="1" s="15">
      <c r="B330" s="69" t="n"/>
      <c r="C330" s="69" t="n"/>
      <c r="D330" s="69" t="n"/>
      <c r="E330" s="70" t="n"/>
      <c r="F330" s="69" t="n"/>
      <c r="G330" s="69" t="n"/>
      <c r="H330" s="69" t="n"/>
      <c r="I330" s="69" t="n"/>
      <c r="J330" s="69" t="n"/>
      <c r="K330" s="69" t="n"/>
      <c r="L330" s="69" t="n"/>
      <c r="M330" s="69" t="n"/>
      <c r="N330" s="69" t="n"/>
      <c r="O330" s="69" t="n"/>
      <c r="P330" s="69" t="n"/>
    </row>
    <row r="331" hidden="1" outlineLevel="1" ht="15" customHeight="1" s="15">
      <c r="B331" s="69" t="n"/>
      <c r="C331" s="69" t="n"/>
      <c r="D331" s="69" t="n"/>
      <c r="E331" s="70" t="n"/>
      <c r="F331" s="69" t="n"/>
      <c r="G331" s="69" t="n"/>
      <c r="H331" s="69" t="n"/>
      <c r="I331" s="69" t="n"/>
      <c r="J331" s="69" t="n"/>
      <c r="K331" s="69" t="n"/>
      <c r="L331" s="69" t="n"/>
      <c r="M331" s="69" t="n"/>
      <c r="N331" s="69" t="n"/>
      <c r="O331" s="69" t="n"/>
      <c r="P331" s="69" t="n"/>
    </row>
    <row r="332" hidden="1" outlineLevel="1" ht="15" customHeight="1" s="15">
      <c r="B332" s="69" t="n"/>
      <c r="C332" s="69" t="n"/>
      <c r="D332" s="69" t="n"/>
      <c r="E332" s="70" t="n"/>
      <c r="F332" s="69" t="n"/>
      <c r="G332" s="69" t="n"/>
      <c r="H332" s="69" t="n"/>
      <c r="I332" s="69" t="n"/>
      <c r="J332" s="69" t="n"/>
      <c r="K332" s="69" t="n"/>
      <c r="L332" s="69" t="n"/>
      <c r="M332" s="69" t="n"/>
      <c r="N332" s="69" t="n"/>
      <c r="O332" s="69" t="n"/>
      <c r="P332" s="69" t="n"/>
    </row>
    <row r="333" hidden="1" outlineLevel="1" ht="15" customHeight="1" s="15">
      <c r="B333" s="69" t="n"/>
      <c r="C333" s="69" t="n"/>
      <c r="D333" s="69" t="n"/>
      <c r="E333" s="70" t="n"/>
      <c r="F333" s="69" t="n"/>
      <c r="G333" s="69" t="n"/>
      <c r="H333" s="69" t="n"/>
      <c r="I333" s="69" t="n"/>
      <c r="J333" s="69" t="n"/>
      <c r="K333" s="69" t="n"/>
      <c r="L333" s="69" t="n"/>
      <c r="M333" s="69" t="n"/>
      <c r="N333" s="69" t="n"/>
      <c r="O333" s="69" t="n"/>
      <c r="P333" s="69" t="n"/>
    </row>
    <row r="334" hidden="1" outlineLevel="1" ht="15" customHeight="1" s="15">
      <c r="B334" s="69" t="n"/>
      <c r="C334" s="69" t="n"/>
      <c r="D334" s="69" t="n"/>
      <c r="E334" s="70" t="n"/>
      <c r="F334" s="69" t="n"/>
      <c r="G334" s="69" t="n"/>
      <c r="H334" s="69" t="n"/>
      <c r="I334" s="69" t="n"/>
      <c r="J334" s="69" t="n"/>
      <c r="K334" s="69" t="n"/>
      <c r="L334" s="69" t="n"/>
      <c r="M334" s="69" t="n"/>
      <c r="N334" s="69" t="n"/>
      <c r="O334" s="69" t="n"/>
      <c r="P334" s="69" t="n"/>
    </row>
    <row r="335" hidden="1" outlineLevel="1" ht="15" customHeight="1" s="15">
      <c r="B335" s="69" t="n"/>
      <c r="C335" s="69" t="n"/>
      <c r="D335" s="69" t="n"/>
      <c r="E335" s="70" t="n"/>
      <c r="F335" s="69" t="n"/>
      <c r="G335" s="69" t="n"/>
      <c r="H335" s="69" t="n"/>
      <c r="I335" s="69" t="n"/>
      <c r="J335" s="69" t="n"/>
      <c r="K335" s="69" t="n"/>
      <c r="L335" s="69" t="n"/>
      <c r="M335" s="69" t="n"/>
      <c r="N335" s="69" t="n"/>
      <c r="O335" s="69" t="n"/>
      <c r="P335" s="69" t="n"/>
    </row>
    <row r="336" hidden="1" outlineLevel="1" ht="15" customHeight="1" s="15">
      <c r="B336" s="69" t="n"/>
      <c r="C336" s="69" t="n"/>
      <c r="D336" s="69" t="n"/>
      <c r="E336" s="70" t="n"/>
      <c r="F336" s="69" t="n"/>
      <c r="G336" s="69" t="n"/>
      <c r="H336" s="69" t="n"/>
      <c r="I336" s="69" t="n"/>
      <c r="J336" s="69" t="n"/>
      <c r="K336" s="69" t="n"/>
      <c r="L336" s="69" t="n"/>
      <c r="M336" s="69" t="n"/>
      <c r="N336" s="69" t="n"/>
      <c r="O336" s="69" t="n"/>
      <c r="P336" s="69" t="n"/>
    </row>
    <row r="337" hidden="1" outlineLevel="1" ht="15" customHeight="1" s="15">
      <c r="B337" s="69" t="n"/>
      <c r="C337" s="69" t="n"/>
      <c r="D337" s="69" t="n"/>
      <c r="E337" s="70" t="n"/>
      <c r="F337" s="69" t="n"/>
      <c r="G337" s="69" t="n"/>
      <c r="H337" s="69" t="n"/>
      <c r="I337" s="69" t="n"/>
      <c r="J337" s="69" t="n"/>
      <c r="K337" s="69" t="n"/>
      <c r="L337" s="69" t="n"/>
      <c r="M337" s="69" t="n"/>
      <c r="N337" s="69" t="n"/>
      <c r="O337" s="69" t="n"/>
      <c r="P337" s="69" t="n"/>
    </row>
    <row r="338" hidden="1" outlineLevel="1" ht="15" customHeight="1" s="15">
      <c r="B338" s="69" t="n"/>
      <c r="C338" s="69" t="n"/>
      <c r="D338" s="69" t="n"/>
      <c r="E338" s="70" t="n"/>
      <c r="F338" s="69" t="n"/>
      <c r="G338" s="69" t="n"/>
      <c r="H338" s="69" t="n"/>
      <c r="I338" s="69" t="n"/>
      <c r="J338" s="69" t="n"/>
      <c r="K338" s="69" t="n"/>
      <c r="L338" s="69" t="n"/>
      <c r="M338" s="69" t="n"/>
      <c r="N338" s="69" t="n"/>
      <c r="O338" s="69" t="n"/>
      <c r="P338" s="69" t="n"/>
    </row>
    <row r="339" hidden="1" outlineLevel="1" ht="15" customHeight="1" s="15">
      <c r="B339" s="69" t="n"/>
      <c r="C339" s="69" t="n"/>
      <c r="D339" s="69" t="n"/>
      <c r="E339" s="70" t="n"/>
      <c r="F339" s="69" t="n"/>
      <c r="G339" s="69" t="n"/>
      <c r="H339" s="69" t="n"/>
      <c r="I339" s="69" t="n"/>
      <c r="J339" s="69" t="n"/>
      <c r="K339" s="69" t="n"/>
      <c r="L339" s="69" t="n"/>
      <c r="M339" s="69" t="n"/>
      <c r="N339" s="69" t="n"/>
      <c r="O339" s="69" t="n"/>
      <c r="P339" s="69" t="n"/>
    </row>
    <row r="340" hidden="1" outlineLevel="1" ht="15" customHeight="1" s="15">
      <c r="B340" s="69" t="n"/>
      <c r="C340" s="69" t="n"/>
      <c r="D340" s="69" t="n"/>
      <c r="E340" s="70" t="n"/>
      <c r="F340" s="69" t="n"/>
      <c r="G340" s="69" t="n"/>
      <c r="H340" s="69" t="n"/>
      <c r="I340" s="69" t="n"/>
      <c r="J340" s="69" t="n"/>
      <c r="K340" s="69" t="n"/>
      <c r="L340" s="69" t="n"/>
      <c r="M340" s="69" t="n"/>
      <c r="N340" s="69" t="n"/>
      <c r="O340" s="69" t="n"/>
      <c r="P340" s="69" t="n"/>
    </row>
    <row r="341" hidden="1" outlineLevel="1" ht="15" customHeight="1" s="15">
      <c r="B341" s="69" t="n"/>
      <c r="C341" s="69" t="n"/>
      <c r="D341" s="69" t="n"/>
      <c r="E341" s="70" t="n"/>
      <c r="F341" s="69" t="n"/>
      <c r="G341" s="69" t="n"/>
      <c r="H341" s="69" t="n"/>
      <c r="I341" s="69" t="n"/>
      <c r="J341" s="69" t="n"/>
      <c r="K341" s="69" t="n"/>
      <c r="L341" s="69" t="n"/>
      <c r="M341" s="69" t="n"/>
      <c r="N341" s="69" t="n"/>
      <c r="O341" s="69" t="n"/>
      <c r="P341" s="69" t="n"/>
    </row>
    <row r="342" hidden="1" outlineLevel="1" ht="15" customHeight="1" s="15">
      <c r="B342" s="69" t="n"/>
      <c r="C342" s="69" t="n"/>
      <c r="D342" s="69" t="n"/>
      <c r="E342" s="70" t="n"/>
      <c r="F342" s="69" t="n"/>
      <c r="G342" s="69" t="n"/>
      <c r="H342" s="69" t="n"/>
      <c r="I342" s="69" t="n"/>
      <c r="J342" s="69" t="n"/>
      <c r="K342" s="69" t="n"/>
      <c r="L342" s="69" t="n"/>
      <c r="M342" s="69" t="n"/>
      <c r="N342" s="69" t="n"/>
      <c r="O342" s="69" t="n"/>
      <c r="P342" s="69" t="n"/>
    </row>
    <row r="343" hidden="1" outlineLevel="1" ht="15" customHeight="1" s="15">
      <c r="B343" s="69" t="n"/>
      <c r="C343" s="69" t="n"/>
      <c r="D343" s="69" t="n"/>
      <c r="E343" s="70" t="n"/>
      <c r="F343" s="69" t="n"/>
      <c r="G343" s="69" t="n"/>
      <c r="H343" s="69" t="n"/>
      <c r="I343" s="69" t="n"/>
      <c r="J343" s="69" t="n"/>
      <c r="K343" s="69" t="n"/>
      <c r="L343" s="69" t="n"/>
      <c r="M343" s="69" t="n"/>
      <c r="N343" s="69" t="n"/>
      <c r="O343" s="69" t="n"/>
      <c r="P343" s="69" t="n"/>
    </row>
    <row r="344" hidden="1" outlineLevel="1" ht="15" customHeight="1" s="15">
      <c r="B344" s="69" t="n"/>
      <c r="C344" s="69" t="n"/>
      <c r="D344" s="69" t="n"/>
      <c r="E344" s="70" t="n"/>
      <c r="F344" s="69" t="n"/>
      <c r="G344" s="69" t="n"/>
      <c r="H344" s="69" t="n"/>
      <c r="I344" s="69" t="n"/>
      <c r="J344" s="69" t="n"/>
      <c r="K344" s="69" t="n"/>
      <c r="L344" s="69" t="n"/>
      <c r="M344" s="69" t="n"/>
      <c r="N344" s="69" t="n"/>
      <c r="O344" s="69" t="n"/>
      <c r="P344" s="69" t="n"/>
    </row>
    <row r="345" hidden="1" outlineLevel="1" ht="15" customHeight="1" s="15">
      <c r="B345" s="69" t="n"/>
      <c r="C345" s="69" t="n"/>
      <c r="D345" s="69" t="n"/>
      <c r="E345" s="70" t="n"/>
      <c r="F345" s="69" t="n"/>
      <c r="G345" s="69" t="n"/>
      <c r="H345" s="69" t="n"/>
      <c r="I345" s="69" t="n"/>
      <c r="J345" s="69" t="n"/>
      <c r="K345" s="69" t="n"/>
      <c r="L345" s="69" t="n"/>
      <c r="M345" s="69" t="n"/>
      <c r="N345" s="69" t="n"/>
      <c r="O345" s="69" t="n"/>
      <c r="P345" s="69" t="n"/>
    </row>
    <row r="346" collapsed="1" ht="19.5" customHeight="1" s="15">
      <c r="B346" s="6" t="inlineStr">
        <is>
          <t>ℹ  Coller ici (Collage spécial &gt; Valeurs) les lignes agents de JOURNAL pour Mai — fond bleu-gris = zone d'archive, pas de formule.</t>
        </is>
      </c>
    </row>
    <row r="348" ht="19.5" customHeight="1" s="15">
      <c r="B348" s="4" t="inlineStr">
        <is>
          <t xml:space="preserve">  JUIN — bloc à remplir à la clôture</t>
        </is>
      </c>
    </row>
    <row r="349" ht="25.5" customHeight="1" s="15">
      <c r="B349" s="40" t="inlineStr">
        <is>
          <t>Année</t>
        </is>
      </c>
      <c r="C349" s="40" t="inlineStr">
        <is>
          <t>Mois</t>
        </is>
      </c>
      <c r="D349" s="40" t="inlineStr">
        <is>
          <t>Matricule</t>
        </is>
      </c>
      <c r="E349" s="40" t="inlineStr">
        <is>
          <t>Nom</t>
        </is>
      </c>
      <c r="F349" s="40" t="inlineStr">
        <is>
          <t>BRUT</t>
        </is>
      </c>
      <c r="G349" s="40" t="inlineStr">
        <is>
          <t>CNSS salariale</t>
        </is>
      </c>
      <c r="H349" s="40" t="inlineStr">
        <is>
          <t>IPR</t>
        </is>
      </c>
      <c r="I349" s="40" t="inlineStr">
        <is>
          <t>NET avant retenues</t>
        </is>
      </c>
      <c r="J349" s="40" t="inlineStr">
        <is>
          <t>Avance</t>
        </is>
      </c>
      <c r="K349" s="40" t="inlineStr">
        <is>
          <t>Retenues diverses</t>
        </is>
      </c>
      <c r="L349" s="40" t="inlineStr">
        <is>
          <t>NET À PAYER</t>
        </is>
      </c>
      <c r="M349" s="40" t="inlineStr">
        <is>
          <t>CNSS patronale</t>
        </is>
      </c>
      <c r="N349" s="40" t="inlineStr">
        <is>
          <t>INPP</t>
        </is>
      </c>
      <c r="O349" s="40" t="inlineStr">
        <is>
          <t>ONEM</t>
        </is>
      </c>
      <c r="P349" s="40" t="inlineStr">
        <is>
          <t>Coût total employeur</t>
        </is>
      </c>
    </row>
    <row r="350" hidden="1" outlineLevel="1" ht="15" customHeight="1" s="15">
      <c r="B350" s="69" t="n"/>
      <c r="C350" s="69" t="n"/>
      <c r="D350" s="69" t="n"/>
      <c r="E350" s="70" t="n"/>
      <c r="F350" s="69" t="n"/>
      <c r="G350" s="69" t="n"/>
      <c r="H350" s="69" t="n"/>
      <c r="I350" s="69" t="n"/>
      <c r="J350" s="69" t="n"/>
      <c r="K350" s="69" t="n"/>
      <c r="L350" s="69" t="n"/>
      <c r="M350" s="69" t="n"/>
      <c r="N350" s="69" t="n"/>
      <c r="O350" s="69" t="n"/>
      <c r="P350" s="69" t="n"/>
    </row>
    <row r="351" hidden="1" outlineLevel="1" ht="15" customHeight="1" s="15">
      <c r="B351" s="69" t="n"/>
      <c r="C351" s="69" t="n"/>
      <c r="D351" s="69" t="n"/>
      <c r="E351" s="70" t="n"/>
      <c r="F351" s="69" t="n"/>
      <c r="G351" s="69" t="n"/>
      <c r="H351" s="69" t="n"/>
      <c r="I351" s="69" t="n"/>
      <c r="J351" s="69" t="n"/>
      <c r="K351" s="69" t="n"/>
      <c r="L351" s="69" t="n"/>
      <c r="M351" s="69" t="n"/>
      <c r="N351" s="69" t="n"/>
      <c r="O351" s="69" t="n"/>
      <c r="P351" s="69" t="n"/>
    </row>
    <row r="352" hidden="1" outlineLevel="1" ht="15" customHeight="1" s="15">
      <c r="B352" s="69" t="n"/>
      <c r="C352" s="69" t="n"/>
      <c r="D352" s="69" t="n"/>
      <c r="E352" s="70" t="n"/>
      <c r="F352" s="69" t="n"/>
      <c r="G352" s="69" t="n"/>
      <c r="H352" s="69" t="n"/>
      <c r="I352" s="69" t="n"/>
      <c r="J352" s="69" t="n"/>
      <c r="K352" s="69" t="n"/>
      <c r="L352" s="69" t="n"/>
      <c r="M352" s="69" t="n"/>
      <c r="N352" s="69" t="n"/>
      <c r="O352" s="69" t="n"/>
      <c r="P352" s="69" t="n"/>
    </row>
    <row r="353" hidden="1" outlineLevel="1" ht="15" customHeight="1" s="15">
      <c r="B353" s="69" t="n"/>
      <c r="C353" s="69" t="n"/>
      <c r="D353" s="69" t="n"/>
      <c r="E353" s="70" t="n"/>
      <c r="F353" s="69" t="n"/>
      <c r="G353" s="69" t="n"/>
      <c r="H353" s="69" t="n"/>
      <c r="I353" s="69" t="n"/>
      <c r="J353" s="69" t="n"/>
      <c r="K353" s="69" t="n"/>
      <c r="L353" s="69" t="n"/>
      <c r="M353" s="69" t="n"/>
      <c r="N353" s="69" t="n"/>
      <c r="O353" s="69" t="n"/>
      <c r="P353" s="69" t="n"/>
    </row>
    <row r="354" hidden="1" outlineLevel="1" ht="15" customHeight="1" s="15">
      <c r="B354" s="69" t="n"/>
      <c r="C354" s="69" t="n"/>
      <c r="D354" s="69" t="n"/>
      <c r="E354" s="70" t="n"/>
      <c r="F354" s="69" t="n"/>
      <c r="G354" s="69" t="n"/>
      <c r="H354" s="69" t="n"/>
      <c r="I354" s="69" t="n"/>
      <c r="J354" s="69" t="n"/>
      <c r="K354" s="69" t="n"/>
      <c r="L354" s="69" t="n"/>
      <c r="M354" s="69" t="n"/>
      <c r="N354" s="69" t="n"/>
      <c r="O354" s="69" t="n"/>
      <c r="P354" s="69" t="n"/>
    </row>
    <row r="355" hidden="1" outlineLevel="1" ht="15" customHeight="1" s="15">
      <c r="B355" s="69" t="n"/>
      <c r="C355" s="69" t="n"/>
      <c r="D355" s="69" t="n"/>
      <c r="E355" s="70" t="n"/>
      <c r="F355" s="69" t="n"/>
      <c r="G355" s="69" t="n"/>
      <c r="H355" s="69" t="n"/>
      <c r="I355" s="69" t="n"/>
      <c r="J355" s="69" t="n"/>
      <c r="K355" s="69" t="n"/>
      <c r="L355" s="69" t="n"/>
      <c r="M355" s="69" t="n"/>
      <c r="N355" s="69" t="n"/>
      <c r="O355" s="69" t="n"/>
      <c r="P355" s="69" t="n"/>
    </row>
    <row r="356" hidden="1" outlineLevel="1" ht="15" customHeight="1" s="15">
      <c r="B356" s="69" t="n"/>
      <c r="C356" s="69" t="n"/>
      <c r="D356" s="69" t="n"/>
      <c r="E356" s="70" t="n"/>
      <c r="F356" s="69" t="n"/>
      <c r="G356" s="69" t="n"/>
      <c r="H356" s="69" t="n"/>
      <c r="I356" s="69" t="n"/>
      <c r="J356" s="69" t="n"/>
      <c r="K356" s="69" t="n"/>
      <c r="L356" s="69" t="n"/>
      <c r="M356" s="69" t="n"/>
      <c r="N356" s="69" t="n"/>
      <c r="O356" s="69" t="n"/>
      <c r="P356" s="69" t="n"/>
    </row>
    <row r="357" hidden="1" outlineLevel="1" ht="15" customHeight="1" s="15">
      <c r="B357" s="69" t="n"/>
      <c r="C357" s="69" t="n"/>
      <c r="D357" s="69" t="n"/>
      <c r="E357" s="70" t="n"/>
      <c r="F357" s="69" t="n"/>
      <c r="G357" s="69" t="n"/>
      <c r="H357" s="69" t="n"/>
      <c r="I357" s="69" t="n"/>
      <c r="J357" s="69" t="n"/>
      <c r="K357" s="69" t="n"/>
      <c r="L357" s="69" t="n"/>
      <c r="M357" s="69" t="n"/>
      <c r="N357" s="69" t="n"/>
      <c r="O357" s="69" t="n"/>
      <c r="P357" s="69" t="n"/>
    </row>
    <row r="358" hidden="1" outlineLevel="1" ht="15" customHeight="1" s="15">
      <c r="B358" s="69" t="n"/>
      <c r="C358" s="69" t="n"/>
      <c r="D358" s="69" t="n"/>
      <c r="E358" s="70" t="n"/>
      <c r="F358" s="69" t="n"/>
      <c r="G358" s="69" t="n"/>
      <c r="H358" s="69" t="n"/>
      <c r="I358" s="69" t="n"/>
      <c r="J358" s="69" t="n"/>
      <c r="K358" s="69" t="n"/>
      <c r="L358" s="69" t="n"/>
      <c r="M358" s="69" t="n"/>
      <c r="N358" s="69" t="n"/>
      <c r="O358" s="69" t="n"/>
      <c r="P358" s="69" t="n"/>
    </row>
    <row r="359" hidden="1" outlineLevel="1" ht="15" customHeight="1" s="15">
      <c r="B359" s="69" t="n"/>
      <c r="C359" s="69" t="n"/>
      <c r="D359" s="69" t="n"/>
      <c r="E359" s="70" t="n"/>
      <c r="F359" s="69" t="n"/>
      <c r="G359" s="69" t="n"/>
      <c r="H359" s="69" t="n"/>
      <c r="I359" s="69" t="n"/>
      <c r="J359" s="69" t="n"/>
      <c r="K359" s="69" t="n"/>
      <c r="L359" s="69" t="n"/>
      <c r="M359" s="69" t="n"/>
      <c r="N359" s="69" t="n"/>
      <c r="O359" s="69" t="n"/>
      <c r="P359" s="69" t="n"/>
    </row>
    <row r="360" hidden="1" outlineLevel="1" ht="15" customHeight="1" s="15">
      <c r="B360" s="69" t="n"/>
      <c r="C360" s="69" t="n"/>
      <c r="D360" s="69" t="n"/>
      <c r="E360" s="70" t="n"/>
      <c r="F360" s="69" t="n"/>
      <c r="G360" s="69" t="n"/>
      <c r="H360" s="69" t="n"/>
      <c r="I360" s="69" t="n"/>
      <c r="J360" s="69" t="n"/>
      <c r="K360" s="69" t="n"/>
      <c r="L360" s="69" t="n"/>
      <c r="M360" s="69" t="n"/>
      <c r="N360" s="69" t="n"/>
      <c r="O360" s="69" t="n"/>
      <c r="P360" s="69" t="n"/>
    </row>
    <row r="361" hidden="1" outlineLevel="1" ht="15" customHeight="1" s="15">
      <c r="B361" s="69" t="n"/>
      <c r="C361" s="69" t="n"/>
      <c r="D361" s="69" t="n"/>
      <c r="E361" s="70" t="n"/>
      <c r="F361" s="69" t="n"/>
      <c r="G361" s="69" t="n"/>
      <c r="H361" s="69" t="n"/>
      <c r="I361" s="69" t="n"/>
      <c r="J361" s="69" t="n"/>
      <c r="K361" s="69" t="n"/>
      <c r="L361" s="69" t="n"/>
      <c r="M361" s="69" t="n"/>
      <c r="N361" s="69" t="n"/>
      <c r="O361" s="69" t="n"/>
      <c r="P361" s="69" t="n"/>
    </row>
    <row r="362" hidden="1" outlineLevel="1" ht="15" customHeight="1" s="15">
      <c r="B362" s="69" t="n"/>
      <c r="C362" s="69" t="n"/>
      <c r="D362" s="69" t="n"/>
      <c r="E362" s="70" t="n"/>
      <c r="F362" s="69" t="n"/>
      <c r="G362" s="69" t="n"/>
      <c r="H362" s="69" t="n"/>
      <c r="I362" s="69" t="n"/>
      <c r="J362" s="69" t="n"/>
      <c r="K362" s="69" t="n"/>
      <c r="L362" s="69" t="n"/>
      <c r="M362" s="69" t="n"/>
      <c r="N362" s="69" t="n"/>
      <c r="O362" s="69" t="n"/>
      <c r="P362" s="69" t="n"/>
    </row>
    <row r="363" hidden="1" outlineLevel="1" ht="15" customHeight="1" s="15">
      <c r="B363" s="69" t="n"/>
      <c r="C363" s="69" t="n"/>
      <c r="D363" s="69" t="n"/>
      <c r="E363" s="70" t="n"/>
      <c r="F363" s="69" t="n"/>
      <c r="G363" s="69" t="n"/>
      <c r="H363" s="69" t="n"/>
      <c r="I363" s="69" t="n"/>
      <c r="J363" s="69" t="n"/>
      <c r="K363" s="69" t="n"/>
      <c r="L363" s="69" t="n"/>
      <c r="M363" s="69" t="n"/>
      <c r="N363" s="69" t="n"/>
      <c r="O363" s="69" t="n"/>
      <c r="P363" s="69" t="n"/>
    </row>
    <row r="364" hidden="1" outlineLevel="1" ht="15" customHeight="1" s="15">
      <c r="B364" s="69" t="n"/>
      <c r="C364" s="69" t="n"/>
      <c r="D364" s="69" t="n"/>
      <c r="E364" s="70" t="n"/>
      <c r="F364" s="69" t="n"/>
      <c r="G364" s="69" t="n"/>
      <c r="H364" s="69" t="n"/>
      <c r="I364" s="69" t="n"/>
      <c r="J364" s="69" t="n"/>
      <c r="K364" s="69" t="n"/>
      <c r="L364" s="69" t="n"/>
      <c r="M364" s="69" t="n"/>
      <c r="N364" s="69" t="n"/>
      <c r="O364" s="69" t="n"/>
      <c r="P364" s="69" t="n"/>
    </row>
    <row r="365" hidden="1" outlineLevel="1" ht="15" customHeight="1" s="15">
      <c r="B365" s="69" t="n"/>
      <c r="C365" s="69" t="n"/>
      <c r="D365" s="69" t="n"/>
      <c r="E365" s="70" t="n"/>
      <c r="F365" s="69" t="n"/>
      <c r="G365" s="69" t="n"/>
      <c r="H365" s="69" t="n"/>
      <c r="I365" s="69" t="n"/>
      <c r="J365" s="69" t="n"/>
      <c r="K365" s="69" t="n"/>
      <c r="L365" s="69" t="n"/>
      <c r="M365" s="69" t="n"/>
      <c r="N365" s="69" t="n"/>
      <c r="O365" s="69" t="n"/>
      <c r="P365" s="69" t="n"/>
    </row>
    <row r="366" hidden="1" outlineLevel="1" ht="15" customHeight="1" s="15">
      <c r="B366" s="69" t="n"/>
      <c r="C366" s="69" t="n"/>
      <c r="D366" s="69" t="n"/>
      <c r="E366" s="70" t="n"/>
      <c r="F366" s="69" t="n"/>
      <c r="G366" s="69" t="n"/>
      <c r="H366" s="69" t="n"/>
      <c r="I366" s="69" t="n"/>
      <c r="J366" s="69" t="n"/>
      <c r="K366" s="69" t="n"/>
      <c r="L366" s="69" t="n"/>
      <c r="M366" s="69" t="n"/>
      <c r="N366" s="69" t="n"/>
      <c r="O366" s="69" t="n"/>
      <c r="P366" s="69" t="n"/>
    </row>
    <row r="367" hidden="1" outlineLevel="1" ht="15" customHeight="1" s="15">
      <c r="B367" s="69" t="n"/>
      <c r="C367" s="69" t="n"/>
      <c r="D367" s="69" t="n"/>
      <c r="E367" s="70" t="n"/>
      <c r="F367" s="69" t="n"/>
      <c r="G367" s="69" t="n"/>
      <c r="H367" s="69" t="n"/>
      <c r="I367" s="69" t="n"/>
      <c r="J367" s="69" t="n"/>
      <c r="K367" s="69" t="n"/>
      <c r="L367" s="69" t="n"/>
      <c r="M367" s="69" t="n"/>
      <c r="N367" s="69" t="n"/>
      <c r="O367" s="69" t="n"/>
      <c r="P367" s="69" t="n"/>
    </row>
    <row r="368" hidden="1" outlineLevel="1" ht="15" customHeight="1" s="15">
      <c r="B368" s="69" t="n"/>
      <c r="C368" s="69" t="n"/>
      <c r="D368" s="69" t="n"/>
      <c r="E368" s="70" t="n"/>
      <c r="F368" s="69" t="n"/>
      <c r="G368" s="69" t="n"/>
      <c r="H368" s="69" t="n"/>
      <c r="I368" s="69" t="n"/>
      <c r="J368" s="69" t="n"/>
      <c r="K368" s="69" t="n"/>
      <c r="L368" s="69" t="n"/>
      <c r="M368" s="69" t="n"/>
      <c r="N368" s="69" t="n"/>
      <c r="O368" s="69" t="n"/>
      <c r="P368" s="69" t="n"/>
    </row>
    <row r="369" hidden="1" outlineLevel="1" ht="15" customHeight="1" s="15">
      <c r="B369" s="69" t="n"/>
      <c r="C369" s="69" t="n"/>
      <c r="D369" s="69" t="n"/>
      <c r="E369" s="70" t="n"/>
      <c r="F369" s="69" t="n"/>
      <c r="G369" s="69" t="n"/>
      <c r="H369" s="69" t="n"/>
      <c r="I369" s="69" t="n"/>
      <c r="J369" s="69" t="n"/>
      <c r="K369" s="69" t="n"/>
      <c r="L369" s="69" t="n"/>
      <c r="M369" s="69" t="n"/>
      <c r="N369" s="69" t="n"/>
      <c r="O369" s="69" t="n"/>
      <c r="P369" s="69" t="n"/>
    </row>
    <row r="370" hidden="1" outlineLevel="1" ht="15" customHeight="1" s="15">
      <c r="B370" s="69" t="n"/>
      <c r="C370" s="69" t="n"/>
      <c r="D370" s="69" t="n"/>
      <c r="E370" s="70" t="n"/>
      <c r="F370" s="69" t="n"/>
      <c r="G370" s="69" t="n"/>
      <c r="H370" s="69" t="n"/>
      <c r="I370" s="69" t="n"/>
      <c r="J370" s="69" t="n"/>
      <c r="K370" s="69" t="n"/>
      <c r="L370" s="69" t="n"/>
      <c r="M370" s="69" t="n"/>
      <c r="N370" s="69" t="n"/>
      <c r="O370" s="69" t="n"/>
      <c r="P370" s="69" t="n"/>
    </row>
    <row r="371" hidden="1" outlineLevel="1" ht="15" customHeight="1" s="15">
      <c r="B371" s="69" t="n"/>
      <c r="C371" s="69" t="n"/>
      <c r="D371" s="69" t="n"/>
      <c r="E371" s="70" t="n"/>
      <c r="F371" s="69" t="n"/>
      <c r="G371" s="69" t="n"/>
      <c r="H371" s="69" t="n"/>
      <c r="I371" s="69" t="n"/>
      <c r="J371" s="69" t="n"/>
      <c r="K371" s="69" t="n"/>
      <c r="L371" s="69" t="n"/>
      <c r="M371" s="69" t="n"/>
      <c r="N371" s="69" t="n"/>
      <c r="O371" s="69" t="n"/>
      <c r="P371" s="69" t="n"/>
    </row>
    <row r="372" hidden="1" outlineLevel="1" ht="15" customHeight="1" s="15">
      <c r="B372" s="69" t="n"/>
      <c r="C372" s="69" t="n"/>
      <c r="D372" s="69" t="n"/>
      <c r="E372" s="70" t="n"/>
      <c r="F372" s="69" t="n"/>
      <c r="G372" s="69" t="n"/>
      <c r="H372" s="69" t="n"/>
      <c r="I372" s="69" t="n"/>
      <c r="J372" s="69" t="n"/>
      <c r="K372" s="69" t="n"/>
      <c r="L372" s="69" t="n"/>
      <c r="M372" s="69" t="n"/>
      <c r="N372" s="69" t="n"/>
      <c r="O372" s="69" t="n"/>
      <c r="P372" s="69" t="n"/>
    </row>
    <row r="373" hidden="1" outlineLevel="1" ht="15" customHeight="1" s="15">
      <c r="B373" s="69" t="n"/>
      <c r="C373" s="69" t="n"/>
      <c r="D373" s="69" t="n"/>
      <c r="E373" s="70" t="n"/>
      <c r="F373" s="69" t="n"/>
      <c r="G373" s="69" t="n"/>
      <c r="H373" s="69" t="n"/>
      <c r="I373" s="69" t="n"/>
      <c r="J373" s="69" t="n"/>
      <c r="K373" s="69" t="n"/>
      <c r="L373" s="69" t="n"/>
      <c r="M373" s="69" t="n"/>
      <c r="N373" s="69" t="n"/>
      <c r="O373" s="69" t="n"/>
      <c r="P373" s="69" t="n"/>
    </row>
    <row r="374" hidden="1" outlineLevel="1" ht="15" customHeight="1" s="15">
      <c r="B374" s="69" t="n"/>
      <c r="C374" s="69" t="n"/>
      <c r="D374" s="69" t="n"/>
      <c r="E374" s="70" t="n"/>
      <c r="F374" s="69" t="n"/>
      <c r="G374" s="69" t="n"/>
      <c r="H374" s="69" t="n"/>
      <c r="I374" s="69" t="n"/>
      <c r="J374" s="69" t="n"/>
      <c r="K374" s="69" t="n"/>
      <c r="L374" s="69" t="n"/>
      <c r="M374" s="69" t="n"/>
      <c r="N374" s="69" t="n"/>
      <c r="O374" s="69" t="n"/>
      <c r="P374" s="69" t="n"/>
    </row>
    <row r="375" hidden="1" outlineLevel="1" ht="15" customHeight="1" s="15">
      <c r="B375" s="69" t="n"/>
      <c r="C375" s="69" t="n"/>
      <c r="D375" s="69" t="n"/>
      <c r="E375" s="70" t="n"/>
      <c r="F375" s="69" t="n"/>
      <c r="G375" s="69" t="n"/>
      <c r="H375" s="69" t="n"/>
      <c r="I375" s="69" t="n"/>
      <c r="J375" s="69" t="n"/>
      <c r="K375" s="69" t="n"/>
      <c r="L375" s="69" t="n"/>
      <c r="M375" s="69" t="n"/>
      <c r="N375" s="69" t="n"/>
      <c r="O375" s="69" t="n"/>
      <c r="P375" s="69" t="n"/>
    </row>
    <row r="376" hidden="1" outlineLevel="1" ht="15" customHeight="1" s="15">
      <c r="B376" s="69" t="n"/>
      <c r="C376" s="69" t="n"/>
      <c r="D376" s="69" t="n"/>
      <c r="E376" s="70" t="n"/>
      <c r="F376" s="69" t="n"/>
      <c r="G376" s="69" t="n"/>
      <c r="H376" s="69" t="n"/>
      <c r="I376" s="69" t="n"/>
      <c r="J376" s="69" t="n"/>
      <c r="K376" s="69" t="n"/>
      <c r="L376" s="69" t="n"/>
      <c r="M376" s="69" t="n"/>
      <c r="N376" s="69" t="n"/>
      <c r="O376" s="69" t="n"/>
      <c r="P376" s="69" t="n"/>
    </row>
    <row r="377" hidden="1" outlineLevel="1" ht="15" customHeight="1" s="15">
      <c r="B377" s="69" t="n"/>
      <c r="C377" s="69" t="n"/>
      <c r="D377" s="69" t="n"/>
      <c r="E377" s="70" t="n"/>
      <c r="F377" s="69" t="n"/>
      <c r="G377" s="69" t="n"/>
      <c r="H377" s="69" t="n"/>
      <c r="I377" s="69" t="n"/>
      <c r="J377" s="69" t="n"/>
      <c r="K377" s="69" t="n"/>
      <c r="L377" s="69" t="n"/>
      <c r="M377" s="69" t="n"/>
      <c r="N377" s="69" t="n"/>
      <c r="O377" s="69" t="n"/>
      <c r="P377" s="69" t="n"/>
    </row>
    <row r="378" hidden="1" outlineLevel="1" ht="15" customHeight="1" s="15">
      <c r="B378" s="69" t="n"/>
      <c r="C378" s="69" t="n"/>
      <c r="D378" s="69" t="n"/>
      <c r="E378" s="70" t="n"/>
      <c r="F378" s="69" t="n"/>
      <c r="G378" s="69" t="n"/>
      <c r="H378" s="69" t="n"/>
      <c r="I378" s="69" t="n"/>
      <c r="J378" s="69" t="n"/>
      <c r="K378" s="69" t="n"/>
      <c r="L378" s="69" t="n"/>
      <c r="M378" s="69" t="n"/>
      <c r="N378" s="69" t="n"/>
      <c r="O378" s="69" t="n"/>
      <c r="P378" s="69" t="n"/>
    </row>
    <row r="379" hidden="1" outlineLevel="1" ht="15" customHeight="1" s="15">
      <c r="B379" s="69" t="n"/>
      <c r="C379" s="69" t="n"/>
      <c r="D379" s="69" t="n"/>
      <c r="E379" s="70" t="n"/>
      <c r="F379" s="69" t="n"/>
      <c r="G379" s="69" t="n"/>
      <c r="H379" s="69" t="n"/>
      <c r="I379" s="69" t="n"/>
      <c r="J379" s="69" t="n"/>
      <c r="K379" s="69" t="n"/>
      <c r="L379" s="69" t="n"/>
      <c r="M379" s="69" t="n"/>
      <c r="N379" s="69" t="n"/>
      <c r="O379" s="69" t="n"/>
      <c r="P379" s="69" t="n"/>
    </row>
    <row r="380" hidden="1" outlineLevel="1" ht="15" customHeight="1" s="15">
      <c r="B380" s="69" t="n"/>
      <c r="C380" s="69" t="n"/>
      <c r="D380" s="69" t="n"/>
      <c r="E380" s="70" t="n"/>
      <c r="F380" s="69" t="n"/>
      <c r="G380" s="69" t="n"/>
      <c r="H380" s="69" t="n"/>
      <c r="I380" s="69" t="n"/>
      <c r="J380" s="69" t="n"/>
      <c r="K380" s="69" t="n"/>
      <c r="L380" s="69" t="n"/>
      <c r="M380" s="69" t="n"/>
      <c r="N380" s="69" t="n"/>
      <c r="O380" s="69" t="n"/>
      <c r="P380" s="69" t="n"/>
    </row>
    <row r="381" hidden="1" outlineLevel="1" ht="15" customHeight="1" s="15">
      <c r="B381" s="69" t="n"/>
      <c r="C381" s="69" t="n"/>
      <c r="D381" s="69" t="n"/>
      <c r="E381" s="70" t="n"/>
      <c r="F381" s="69" t="n"/>
      <c r="G381" s="69" t="n"/>
      <c r="H381" s="69" t="n"/>
      <c r="I381" s="69" t="n"/>
      <c r="J381" s="69" t="n"/>
      <c r="K381" s="69" t="n"/>
      <c r="L381" s="69" t="n"/>
      <c r="M381" s="69" t="n"/>
      <c r="N381" s="69" t="n"/>
      <c r="O381" s="69" t="n"/>
      <c r="P381" s="69" t="n"/>
    </row>
    <row r="382" hidden="1" outlineLevel="1" ht="15" customHeight="1" s="15">
      <c r="B382" s="69" t="n"/>
      <c r="C382" s="69" t="n"/>
      <c r="D382" s="69" t="n"/>
      <c r="E382" s="70" t="n"/>
      <c r="F382" s="69" t="n"/>
      <c r="G382" s="69" t="n"/>
      <c r="H382" s="69" t="n"/>
      <c r="I382" s="69" t="n"/>
      <c r="J382" s="69" t="n"/>
      <c r="K382" s="69" t="n"/>
      <c r="L382" s="69" t="n"/>
      <c r="M382" s="69" t="n"/>
      <c r="N382" s="69" t="n"/>
      <c r="O382" s="69" t="n"/>
      <c r="P382" s="69" t="n"/>
    </row>
    <row r="383" hidden="1" outlineLevel="1" ht="15" customHeight="1" s="15">
      <c r="B383" s="69" t="n"/>
      <c r="C383" s="69" t="n"/>
      <c r="D383" s="69" t="n"/>
      <c r="E383" s="70" t="n"/>
      <c r="F383" s="69" t="n"/>
      <c r="G383" s="69" t="n"/>
      <c r="H383" s="69" t="n"/>
      <c r="I383" s="69" t="n"/>
      <c r="J383" s="69" t="n"/>
      <c r="K383" s="69" t="n"/>
      <c r="L383" s="69" t="n"/>
      <c r="M383" s="69" t="n"/>
      <c r="N383" s="69" t="n"/>
      <c r="O383" s="69" t="n"/>
      <c r="P383" s="69" t="n"/>
    </row>
    <row r="384" hidden="1" outlineLevel="1" ht="15" customHeight="1" s="15">
      <c r="B384" s="69" t="n"/>
      <c r="C384" s="69" t="n"/>
      <c r="D384" s="69" t="n"/>
      <c r="E384" s="70" t="n"/>
      <c r="F384" s="69" t="n"/>
      <c r="G384" s="69" t="n"/>
      <c r="H384" s="69" t="n"/>
      <c r="I384" s="69" t="n"/>
      <c r="J384" s="69" t="n"/>
      <c r="K384" s="69" t="n"/>
      <c r="L384" s="69" t="n"/>
      <c r="M384" s="69" t="n"/>
      <c r="N384" s="69" t="n"/>
      <c r="O384" s="69" t="n"/>
      <c r="P384" s="69" t="n"/>
    </row>
    <row r="385" hidden="1" outlineLevel="1" ht="15" customHeight="1" s="15">
      <c r="B385" s="69" t="n"/>
      <c r="C385" s="69" t="n"/>
      <c r="D385" s="69" t="n"/>
      <c r="E385" s="70" t="n"/>
      <c r="F385" s="69" t="n"/>
      <c r="G385" s="69" t="n"/>
      <c r="H385" s="69" t="n"/>
      <c r="I385" s="69" t="n"/>
      <c r="J385" s="69" t="n"/>
      <c r="K385" s="69" t="n"/>
      <c r="L385" s="69" t="n"/>
      <c r="M385" s="69" t="n"/>
      <c r="N385" s="69" t="n"/>
      <c r="O385" s="69" t="n"/>
      <c r="P385" s="69" t="n"/>
    </row>
    <row r="386" hidden="1" outlineLevel="1" ht="15" customHeight="1" s="15">
      <c r="B386" s="69" t="n"/>
      <c r="C386" s="69" t="n"/>
      <c r="D386" s="69" t="n"/>
      <c r="E386" s="70" t="n"/>
      <c r="F386" s="69" t="n"/>
      <c r="G386" s="69" t="n"/>
      <c r="H386" s="69" t="n"/>
      <c r="I386" s="69" t="n"/>
      <c r="J386" s="69" t="n"/>
      <c r="K386" s="69" t="n"/>
      <c r="L386" s="69" t="n"/>
      <c r="M386" s="69" t="n"/>
      <c r="N386" s="69" t="n"/>
      <c r="O386" s="69" t="n"/>
      <c r="P386" s="69" t="n"/>
    </row>
    <row r="387" hidden="1" outlineLevel="1" ht="15" customHeight="1" s="15">
      <c r="B387" s="69" t="n"/>
      <c r="C387" s="69" t="n"/>
      <c r="D387" s="69" t="n"/>
      <c r="E387" s="70" t="n"/>
      <c r="F387" s="69" t="n"/>
      <c r="G387" s="69" t="n"/>
      <c r="H387" s="69" t="n"/>
      <c r="I387" s="69" t="n"/>
      <c r="J387" s="69" t="n"/>
      <c r="K387" s="69" t="n"/>
      <c r="L387" s="69" t="n"/>
      <c r="M387" s="69" t="n"/>
      <c r="N387" s="69" t="n"/>
      <c r="O387" s="69" t="n"/>
      <c r="P387" s="69" t="n"/>
    </row>
    <row r="388" hidden="1" outlineLevel="1" ht="15" customHeight="1" s="15">
      <c r="B388" s="69" t="n"/>
      <c r="C388" s="69" t="n"/>
      <c r="D388" s="69" t="n"/>
      <c r="E388" s="70" t="n"/>
      <c r="F388" s="69" t="n"/>
      <c r="G388" s="69" t="n"/>
      <c r="H388" s="69" t="n"/>
      <c r="I388" s="69" t="n"/>
      <c r="J388" s="69" t="n"/>
      <c r="K388" s="69" t="n"/>
      <c r="L388" s="69" t="n"/>
      <c r="M388" s="69" t="n"/>
      <c r="N388" s="69" t="n"/>
      <c r="O388" s="69" t="n"/>
      <c r="P388" s="69" t="n"/>
    </row>
    <row r="389" hidden="1" outlineLevel="1" ht="15" customHeight="1" s="15">
      <c r="B389" s="69" t="n"/>
      <c r="C389" s="69" t="n"/>
      <c r="D389" s="69" t="n"/>
      <c r="E389" s="70" t="n"/>
      <c r="F389" s="69" t="n"/>
      <c r="G389" s="69" t="n"/>
      <c r="H389" s="69" t="n"/>
      <c r="I389" s="69" t="n"/>
      <c r="J389" s="69" t="n"/>
      <c r="K389" s="69" t="n"/>
      <c r="L389" s="69" t="n"/>
      <c r="M389" s="69" t="n"/>
      <c r="N389" s="69" t="n"/>
      <c r="O389" s="69" t="n"/>
      <c r="P389" s="69" t="n"/>
    </row>
    <row r="390" hidden="1" outlineLevel="1" ht="15" customHeight="1" s="15">
      <c r="B390" s="69" t="n"/>
      <c r="C390" s="69" t="n"/>
      <c r="D390" s="69" t="n"/>
      <c r="E390" s="70" t="n"/>
      <c r="F390" s="69" t="n"/>
      <c r="G390" s="69" t="n"/>
      <c r="H390" s="69" t="n"/>
      <c r="I390" s="69" t="n"/>
      <c r="J390" s="69" t="n"/>
      <c r="K390" s="69" t="n"/>
      <c r="L390" s="69" t="n"/>
      <c r="M390" s="69" t="n"/>
      <c r="N390" s="69" t="n"/>
      <c r="O390" s="69" t="n"/>
      <c r="P390" s="69" t="n"/>
    </row>
    <row r="391" hidden="1" outlineLevel="1" ht="15" customHeight="1" s="15">
      <c r="B391" s="69" t="n"/>
      <c r="C391" s="69" t="n"/>
      <c r="D391" s="69" t="n"/>
      <c r="E391" s="70" t="n"/>
      <c r="F391" s="69" t="n"/>
      <c r="G391" s="69" t="n"/>
      <c r="H391" s="69" t="n"/>
      <c r="I391" s="69" t="n"/>
      <c r="J391" s="69" t="n"/>
      <c r="K391" s="69" t="n"/>
      <c r="L391" s="69" t="n"/>
      <c r="M391" s="69" t="n"/>
      <c r="N391" s="69" t="n"/>
      <c r="O391" s="69" t="n"/>
      <c r="P391" s="69" t="n"/>
    </row>
    <row r="392" hidden="1" outlineLevel="1" ht="15" customHeight="1" s="15">
      <c r="B392" s="69" t="n"/>
      <c r="C392" s="69" t="n"/>
      <c r="D392" s="69" t="n"/>
      <c r="E392" s="70" t="n"/>
      <c r="F392" s="69" t="n"/>
      <c r="G392" s="69" t="n"/>
      <c r="H392" s="69" t="n"/>
      <c r="I392" s="69" t="n"/>
      <c r="J392" s="69" t="n"/>
      <c r="K392" s="69" t="n"/>
      <c r="L392" s="69" t="n"/>
      <c r="M392" s="69" t="n"/>
      <c r="N392" s="69" t="n"/>
      <c r="O392" s="69" t="n"/>
      <c r="P392" s="69" t="n"/>
    </row>
    <row r="393" hidden="1" outlineLevel="1" ht="15" customHeight="1" s="15">
      <c r="B393" s="69" t="n"/>
      <c r="C393" s="69" t="n"/>
      <c r="D393" s="69" t="n"/>
      <c r="E393" s="70" t="n"/>
      <c r="F393" s="69" t="n"/>
      <c r="G393" s="69" t="n"/>
      <c r="H393" s="69" t="n"/>
      <c r="I393" s="69" t="n"/>
      <c r="J393" s="69" t="n"/>
      <c r="K393" s="69" t="n"/>
      <c r="L393" s="69" t="n"/>
      <c r="M393" s="69" t="n"/>
      <c r="N393" s="69" t="n"/>
      <c r="O393" s="69" t="n"/>
      <c r="P393" s="69" t="n"/>
    </row>
    <row r="394" hidden="1" outlineLevel="1" ht="15" customHeight="1" s="15">
      <c r="B394" s="69" t="n"/>
      <c r="C394" s="69" t="n"/>
      <c r="D394" s="69" t="n"/>
      <c r="E394" s="70" t="n"/>
      <c r="F394" s="69" t="n"/>
      <c r="G394" s="69" t="n"/>
      <c r="H394" s="69" t="n"/>
      <c r="I394" s="69" t="n"/>
      <c r="J394" s="69" t="n"/>
      <c r="K394" s="69" t="n"/>
      <c r="L394" s="69" t="n"/>
      <c r="M394" s="69" t="n"/>
      <c r="N394" s="69" t="n"/>
      <c r="O394" s="69" t="n"/>
      <c r="P394" s="69" t="n"/>
    </row>
    <row r="395" hidden="1" outlineLevel="1" ht="15" customHeight="1" s="15">
      <c r="B395" s="69" t="n"/>
      <c r="C395" s="69" t="n"/>
      <c r="D395" s="69" t="n"/>
      <c r="E395" s="70" t="n"/>
      <c r="F395" s="69" t="n"/>
      <c r="G395" s="69" t="n"/>
      <c r="H395" s="69" t="n"/>
      <c r="I395" s="69" t="n"/>
      <c r="J395" s="69" t="n"/>
      <c r="K395" s="69" t="n"/>
      <c r="L395" s="69" t="n"/>
      <c r="M395" s="69" t="n"/>
      <c r="N395" s="69" t="n"/>
      <c r="O395" s="69" t="n"/>
      <c r="P395" s="69" t="n"/>
    </row>
    <row r="396" hidden="1" outlineLevel="1" ht="15" customHeight="1" s="15">
      <c r="B396" s="69" t="n"/>
      <c r="C396" s="69" t="n"/>
      <c r="D396" s="69" t="n"/>
      <c r="E396" s="70" t="n"/>
      <c r="F396" s="69" t="n"/>
      <c r="G396" s="69" t="n"/>
      <c r="H396" s="69" t="n"/>
      <c r="I396" s="69" t="n"/>
      <c r="J396" s="69" t="n"/>
      <c r="K396" s="69" t="n"/>
      <c r="L396" s="69" t="n"/>
      <c r="M396" s="69" t="n"/>
      <c r="N396" s="69" t="n"/>
      <c r="O396" s="69" t="n"/>
      <c r="P396" s="69" t="n"/>
    </row>
    <row r="397" hidden="1" outlineLevel="1" ht="15" customHeight="1" s="15">
      <c r="B397" s="69" t="n"/>
      <c r="C397" s="69" t="n"/>
      <c r="D397" s="69" t="n"/>
      <c r="E397" s="70" t="n"/>
      <c r="F397" s="69" t="n"/>
      <c r="G397" s="69" t="n"/>
      <c r="H397" s="69" t="n"/>
      <c r="I397" s="69" t="n"/>
      <c r="J397" s="69" t="n"/>
      <c r="K397" s="69" t="n"/>
      <c r="L397" s="69" t="n"/>
      <c r="M397" s="69" t="n"/>
      <c r="N397" s="69" t="n"/>
      <c r="O397" s="69" t="n"/>
      <c r="P397" s="69" t="n"/>
    </row>
    <row r="398" hidden="1" outlineLevel="1" ht="15" customHeight="1" s="15">
      <c r="B398" s="69" t="n"/>
      <c r="C398" s="69" t="n"/>
      <c r="D398" s="69" t="n"/>
      <c r="E398" s="70" t="n"/>
      <c r="F398" s="69" t="n"/>
      <c r="G398" s="69" t="n"/>
      <c r="H398" s="69" t="n"/>
      <c r="I398" s="69" t="n"/>
      <c r="J398" s="69" t="n"/>
      <c r="K398" s="69" t="n"/>
      <c r="L398" s="69" t="n"/>
      <c r="M398" s="69" t="n"/>
      <c r="N398" s="69" t="n"/>
      <c r="O398" s="69" t="n"/>
      <c r="P398" s="69" t="n"/>
    </row>
    <row r="399" hidden="1" outlineLevel="1" ht="15" customHeight="1" s="15">
      <c r="B399" s="69" t="n"/>
      <c r="C399" s="69" t="n"/>
      <c r="D399" s="69" t="n"/>
      <c r="E399" s="70" t="n"/>
      <c r="F399" s="69" t="n"/>
      <c r="G399" s="69" t="n"/>
      <c r="H399" s="69" t="n"/>
      <c r="I399" s="69" t="n"/>
      <c r="J399" s="69" t="n"/>
      <c r="K399" s="69" t="n"/>
      <c r="L399" s="69" t="n"/>
      <c r="M399" s="69" t="n"/>
      <c r="N399" s="69" t="n"/>
      <c r="O399" s="69" t="n"/>
      <c r="P399" s="69" t="n"/>
    </row>
    <row r="400" hidden="1" outlineLevel="1" ht="15" customHeight="1" s="15">
      <c r="B400" s="69" t="n"/>
      <c r="C400" s="69" t="n"/>
      <c r="D400" s="69" t="n"/>
      <c r="E400" s="70" t="n"/>
      <c r="F400" s="69" t="n"/>
      <c r="G400" s="69" t="n"/>
      <c r="H400" s="69" t="n"/>
      <c r="I400" s="69" t="n"/>
      <c r="J400" s="69" t="n"/>
      <c r="K400" s="69" t="n"/>
      <c r="L400" s="69" t="n"/>
      <c r="M400" s="69" t="n"/>
      <c r="N400" s="69" t="n"/>
      <c r="O400" s="69" t="n"/>
      <c r="P400" s="69" t="n"/>
    </row>
    <row r="401" hidden="1" outlineLevel="1" ht="15" customHeight="1" s="15">
      <c r="B401" s="69" t="n"/>
      <c r="C401" s="69" t="n"/>
      <c r="D401" s="69" t="n"/>
      <c r="E401" s="70" t="n"/>
      <c r="F401" s="69" t="n"/>
      <c r="G401" s="69" t="n"/>
      <c r="H401" s="69" t="n"/>
      <c r="I401" s="69" t="n"/>
      <c r="J401" s="69" t="n"/>
      <c r="K401" s="69" t="n"/>
      <c r="L401" s="69" t="n"/>
      <c r="M401" s="69" t="n"/>
      <c r="N401" s="69" t="n"/>
      <c r="O401" s="69" t="n"/>
      <c r="P401" s="69" t="n"/>
    </row>
    <row r="402" hidden="1" outlineLevel="1" ht="15" customHeight="1" s="15">
      <c r="B402" s="69" t="n"/>
      <c r="C402" s="69" t="n"/>
      <c r="D402" s="69" t="n"/>
      <c r="E402" s="70" t="n"/>
      <c r="F402" s="69" t="n"/>
      <c r="G402" s="69" t="n"/>
      <c r="H402" s="69" t="n"/>
      <c r="I402" s="69" t="n"/>
      <c r="J402" s="69" t="n"/>
      <c r="K402" s="69" t="n"/>
      <c r="L402" s="69" t="n"/>
      <c r="M402" s="69" t="n"/>
      <c r="N402" s="69" t="n"/>
      <c r="O402" s="69" t="n"/>
      <c r="P402" s="69" t="n"/>
    </row>
    <row r="403" hidden="1" outlineLevel="1" ht="15" customHeight="1" s="15">
      <c r="B403" s="69" t="n"/>
      <c r="C403" s="69" t="n"/>
      <c r="D403" s="69" t="n"/>
      <c r="E403" s="70" t="n"/>
      <c r="F403" s="69" t="n"/>
      <c r="G403" s="69" t="n"/>
      <c r="H403" s="69" t="n"/>
      <c r="I403" s="69" t="n"/>
      <c r="J403" s="69" t="n"/>
      <c r="K403" s="69" t="n"/>
      <c r="L403" s="69" t="n"/>
      <c r="M403" s="69" t="n"/>
      <c r="N403" s="69" t="n"/>
      <c r="O403" s="69" t="n"/>
      <c r="P403" s="69" t="n"/>
    </row>
    <row r="404" hidden="1" outlineLevel="1" ht="15" customHeight="1" s="15">
      <c r="B404" s="69" t="n"/>
      <c r="C404" s="69" t="n"/>
      <c r="D404" s="69" t="n"/>
      <c r="E404" s="70" t="n"/>
      <c r="F404" s="69" t="n"/>
      <c r="G404" s="69" t="n"/>
      <c r="H404" s="69" t="n"/>
      <c r="I404" s="69" t="n"/>
      <c r="J404" s="69" t="n"/>
      <c r="K404" s="69" t="n"/>
      <c r="L404" s="69" t="n"/>
      <c r="M404" s="69" t="n"/>
      <c r="N404" s="69" t="n"/>
      <c r="O404" s="69" t="n"/>
      <c r="P404" s="69" t="n"/>
    </row>
    <row r="405" hidden="1" outlineLevel="1" ht="15" customHeight="1" s="15">
      <c r="B405" s="69" t="n"/>
      <c r="C405" s="69" t="n"/>
      <c r="D405" s="69" t="n"/>
      <c r="E405" s="70" t="n"/>
      <c r="F405" s="69" t="n"/>
      <c r="G405" s="69" t="n"/>
      <c r="H405" s="69" t="n"/>
      <c r="I405" s="69" t="n"/>
      <c r="J405" s="69" t="n"/>
      <c r="K405" s="69" t="n"/>
      <c r="L405" s="69" t="n"/>
      <c r="M405" s="69" t="n"/>
      <c r="N405" s="69" t="n"/>
      <c r="O405" s="69" t="n"/>
      <c r="P405" s="69" t="n"/>
    </row>
    <row r="406" hidden="1" outlineLevel="1" ht="15" customHeight="1" s="15">
      <c r="B406" s="69" t="n"/>
      <c r="C406" s="69" t="n"/>
      <c r="D406" s="69" t="n"/>
      <c r="E406" s="70" t="n"/>
      <c r="F406" s="69" t="n"/>
      <c r="G406" s="69" t="n"/>
      <c r="H406" s="69" t="n"/>
      <c r="I406" s="69" t="n"/>
      <c r="J406" s="69" t="n"/>
      <c r="K406" s="69" t="n"/>
      <c r="L406" s="69" t="n"/>
      <c r="M406" s="69" t="n"/>
      <c r="N406" s="69" t="n"/>
      <c r="O406" s="69" t="n"/>
      <c r="P406" s="69" t="n"/>
    </row>
    <row r="407" hidden="1" outlineLevel="1" ht="15" customHeight="1" s="15">
      <c r="B407" s="69" t="n"/>
      <c r="C407" s="69" t="n"/>
      <c r="D407" s="69" t="n"/>
      <c r="E407" s="70" t="n"/>
      <c r="F407" s="69" t="n"/>
      <c r="G407" s="69" t="n"/>
      <c r="H407" s="69" t="n"/>
      <c r="I407" s="69" t="n"/>
      <c r="J407" s="69" t="n"/>
      <c r="K407" s="69" t="n"/>
      <c r="L407" s="69" t="n"/>
      <c r="M407" s="69" t="n"/>
      <c r="N407" s="69" t="n"/>
      <c r="O407" s="69" t="n"/>
      <c r="P407" s="69" t="n"/>
    </row>
    <row r="408" hidden="1" outlineLevel="1" ht="15" customHeight="1" s="15">
      <c r="B408" s="69" t="n"/>
      <c r="C408" s="69" t="n"/>
      <c r="D408" s="69" t="n"/>
      <c r="E408" s="70" t="n"/>
      <c r="F408" s="69" t="n"/>
      <c r="G408" s="69" t="n"/>
      <c r="H408" s="69" t="n"/>
      <c r="I408" s="69" t="n"/>
      <c r="J408" s="69" t="n"/>
      <c r="K408" s="69" t="n"/>
      <c r="L408" s="69" t="n"/>
      <c r="M408" s="69" t="n"/>
      <c r="N408" s="69" t="n"/>
      <c r="O408" s="69" t="n"/>
      <c r="P408" s="69" t="n"/>
    </row>
    <row r="409" hidden="1" outlineLevel="1" ht="15" customHeight="1" s="15">
      <c r="B409" s="69" t="n"/>
      <c r="C409" s="69" t="n"/>
      <c r="D409" s="69" t="n"/>
      <c r="E409" s="70" t="n"/>
      <c r="F409" s="69" t="n"/>
      <c r="G409" s="69" t="n"/>
      <c r="H409" s="69" t="n"/>
      <c r="I409" s="69" t="n"/>
      <c r="J409" s="69" t="n"/>
      <c r="K409" s="69" t="n"/>
      <c r="L409" s="69" t="n"/>
      <c r="M409" s="69" t="n"/>
      <c r="N409" s="69" t="n"/>
      <c r="O409" s="69" t="n"/>
      <c r="P409" s="69" t="n"/>
    </row>
    <row r="410" collapsed="1" ht="19.5" customHeight="1" s="15">
      <c r="B410" s="6" t="inlineStr">
        <is>
          <t>ℹ  Coller ici (Collage spécial &gt; Valeurs) les lignes agents de JOURNAL pour Juin — fond bleu-gris = zone d'archive, pas de formule.</t>
        </is>
      </c>
    </row>
    <row r="412" ht="19.5" customHeight="1" s="15">
      <c r="B412" s="4" t="inlineStr">
        <is>
          <t xml:space="preserve">  JUILLET — bloc à remplir à la clôture</t>
        </is>
      </c>
    </row>
    <row r="413" ht="25.5" customHeight="1" s="15">
      <c r="B413" s="40" t="inlineStr">
        <is>
          <t>Année</t>
        </is>
      </c>
      <c r="C413" s="40" t="inlineStr">
        <is>
          <t>Mois</t>
        </is>
      </c>
      <c r="D413" s="40" t="inlineStr">
        <is>
          <t>Matricule</t>
        </is>
      </c>
      <c r="E413" s="40" t="inlineStr">
        <is>
          <t>Nom</t>
        </is>
      </c>
      <c r="F413" s="40" t="inlineStr">
        <is>
          <t>BRUT</t>
        </is>
      </c>
      <c r="G413" s="40" t="inlineStr">
        <is>
          <t>CNSS salariale</t>
        </is>
      </c>
      <c r="H413" s="40" t="inlineStr">
        <is>
          <t>IPR</t>
        </is>
      </c>
      <c r="I413" s="40" t="inlineStr">
        <is>
          <t>NET avant retenues</t>
        </is>
      </c>
      <c r="J413" s="40" t="inlineStr">
        <is>
          <t>Avance</t>
        </is>
      </c>
      <c r="K413" s="40" t="inlineStr">
        <is>
          <t>Retenues diverses</t>
        </is>
      </c>
      <c r="L413" s="40" t="inlineStr">
        <is>
          <t>NET À PAYER</t>
        </is>
      </c>
      <c r="M413" s="40" t="inlineStr">
        <is>
          <t>CNSS patronale</t>
        </is>
      </c>
      <c r="N413" s="40" t="inlineStr">
        <is>
          <t>INPP</t>
        </is>
      </c>
      <c r="O413" s="40" t="inlineStr">
        <is>
          <t>ONEM</t>
        </is>
      </c>
      <c r="P413" s="40" t="inlineStr">
        <is>
          <t>Coût total employeur</t>
        </is>
      </c>
    </row>
    <row r="414" hidden="1" outlineLevel="1" ht="15" customHeight="1" s="15">
      <c r="B414" s="69" t="n"/>
      <c r="C414" s="69" t="n"/>
      <c r="D414" s="69" t="n"/>
      <c r="E414" s="70" t="n"/>
      <c r="F414" s="69" t="n"/>
      <c r="G414" s="69" t="n"/>
      <c r="H414" s="69" t="n"/>
      <c r="I414" s="69" t="n"/>
      <c r="J414" s="69" t="n"/>
      <c r="K414" s="69" t="n"/>
      <c r="L414" s="69" t="n"/>
      <c r="M414" s="69" t="n"/>
      <c r="N414" s="69" t="n"/>
      <c r="O414" s="69" t="n"/>
      <c r="P414" s="69" t="n"/>
    </row>
    <row r="415" hidden="1" outlineLevel="1" ht="15" customHeight="1" s="15">
      <c r="B415" s="69" t="n"/>
      <c r="C415" s="69" t="n"/>
      <c r="D415" s="69" t="n"/>
      <c r="E415" s="70" t="n"/>
      <c r="F415" s="69" t="n"/>
      <c r="G415" s="69" t="n"/>
      <c r="H415" s="69" t="n"/>
      <c r="I415" s="69" t="n"/>
      <c r="J415" s="69" t="n"/>
      <c r="K415" s="69" t="n"/>
      <c r="L415" s="69" t="n"/>
      <c r="M415" s="69" t="n"/>
      <c r="N415" s="69" t="n"/>
      <c r="O415" s="69" t="n"/>
      <c r="P415" s="69" t="n"/>
    </row>
    <row r="416" hidden="1" outlineLevel="1" ht="15" customHeight="1" s="15">
      <c r="B416" s="69" t="n"/>
      <c r="C416" s="69" t="n"/>
      <c r="D416" s="69" t="n"/>
      <c r="E416" s="70" t="n"/>
      <c r="F416" s="69" t="n"/>
      <c r="G416" s="69" t="n"/>
      <c r="H416" s="69" t="n"/>
      <c r="I416" s="69" t="n"/>
      <c r="J416" s="69" t="n"/>
      <c r="K416" s="69" t="n"/>
      <c r="L416" s="69" t="n"/>
      <c r="M416" s="69" t="n"/>
      <c r="N416" s="69" t="n"/>
      <c r="O416" s="69" t="n"/>
      <c r="P416" s="69" t="n"/>
    </row>
    <row r="417" hidden="1" outlineLevel="1" ht="15" customHeight="1" s="15">
      <c r="B417" s="69" t="n"/>
      <c r="C417" s="69" t="n"/>
      <c r="D417" s="69" t="n"/>
      <c r="E417" s="70" t="n"/>
      <c r="F417" s="69" t="n"/>
      <c r="G417" s="69" t="n"/>
      <c r="H417" s="69" t="n"/>
      <c r="I417" s="69" t="n"/>
      <c r="J417" s="69" t="n"/>
      <c r="K417" s="69" t="n"/>
      <c r="L417" s="69" t="n"/>
      <c r="M417" s="69" t="n"/>
      <c r="N417" s="69" t="n"/>
      <c r="O417" s="69" t="n"/>
      <c r="P417" s="69" t="n"/>
    </row>
    <row r="418" hidden="1" outlineLevel="1" ht="15" customHeight="1" s="15">
      <c r="B418" s="69" t="n"/>
      <c r="C418" s="69" t="n"/>
      <c r="D418" s="69" t="n"/>
      <c r="E418" s="70" t="n"/>
      <c r="F418" s="69" t="n"/>
      <c r="G418" s="69" t="n"/>
      <c r="H418" s="69" t="n"/>
      <c r="I418" s="69" t="n"/>
      <c r="J418" s="69" t="n"/>
      <c r="K418" s="69" t="n"/>
      <c r="L418" s="69" t="n"/>
      <c r="M418" s="69" t="n"/>
      <c r="N418" s="69" t="n"/>
      <c r="O418" s="69" t="n"/>
      <c r="P418" s="69" t="n"/>
    </row>
    <row r="419" hidden="1" outlineLevel="1" ht="15" customHeight="1" s="15">
      <c r="B419" s="69" t="n"/>
      <c r="C419" s="69" t="n"/>
      <c r="D419" s="69" t="n"/>
      <c r="E419" s="70" t="n"/>
      <c r="F419" s="69" t="n"/>
      <c r="G419" s="69" t="n"/>
      <c r="H419" s="69" t="n"/>
      <c r="I419" s="69" t="n"/>
      <c r="J419" s="69" t="n"/>
      <c r="K419" s="69" t="n"/>
      <c r="L419" s="69" t="n"/>
      <c r="M419" s="69" t="n"/>
      <c r="N419" s="69" t="n"/>
      <c r="O419" s="69" t="n"/>
      <c r="P419" s="69" t="n"/>
    </row>
    <row r="420" hidden="1" outlineLevel="1" ht="15" customHeight="1" s="15">
      <c r="B420" s="69" t="n"/>
      <c r="C420" s="69" t="n"/>
      <c r="D420" s="69" t="n"/>
      <c r="E420" s="70" t="n"/>
      <c r="F420" s="69" t="n"/>
      <c r="G420" s="69" t="n"/>
      <c r="H420" s="69" t="n"/>
      <c r="I420" s="69" t="n"/>
      <c r="J420" s="69" t="n"/>
      <c r="K420" s="69" t="n"/>
      <c r="L420" s="69" t="n"/>
      <c r="M420" s="69" t="n"/>
      <c r="N420" s="69" t="n"/>
      <c r="O420" s="69" t="n"/>
      <c r="P420" s="69" t="n"/>
    </row>
    <row r="421" hidden="1" outlineLevel="1" ht="15" customHeight="1" s="15">
      <c r="B421" s="69" t="n"/>
      <c r="C421" s="69" t="n"/>
      <c r="D421" s="69" t="n"/>
      <c r="E421" s="70" t="n"/>
      <c r="F421" s="69" t="n"/>
      <c r="G421" s="69" t="n"/>
      <c r="H421" s="69" t="n"/>
      <c r="I421" s="69" t="n"/>
      <c r="J421" s="69" t="n"/>
      <c r="K421" s="69" t="n"/>
      <c r="L421" s="69" t="n"/>
      <c r="M421" s="69" t="n"/>
      <c r="N421" s="69" t="n"/>
      <c r="O421" s="69" t="n"/>
      <c r="P421" s="69" t="n"/>
    </row>
    <row r="422" hidden="1" outlineLevel="1" ht="15" customHeight="1" s="15">
      <c r="B422" s="69" t="n"/>
      <c r="C422" s="69" t="n"/>
      <c r="D422" s="69" t="n"/>
      <c r="E422" s="70" t="n"/>
      <c r="F422" s="69" t="n"/>
      <c r="G422" s="69" t="n"/>
      <c r="H422" s="69" t="n"/>
      <c r="I422" s="69" t="n"/>
      <c r="J422" s="69" t="n"/>
      <c r="K422" s="69" t="n"/>
      <c r="L422" s="69" t="n"/>
      <c r="M422" s="69" t="n"/>
      <c r="N422" s="69" t="n"/>
      <c r="O422" s="69" t="n"/>
      <c r="P422" s="69" t="n"/>
    </row>
    <row r="423" hidden="1" outlineLevel="1" ht="15" customHeight="1" s="15">
      <c r="B423" s="69" t="n"/>
      <c r="C423" s="69" t="n"/>
      <c r="D423" s="69" t="n"/>
      <c r="E423" s="70" t="n"/>
      <c r="F423" s="69" t="n"/>
      <c r="G423" s="69" t="n"/>
      <c r="H423" s="69" t="n"/>
      <c r="I423" s="69" t="n"/>
      <c r="J423" s="69" t="n"/>
      <c r="K423" s="69" t="n"/>
      <c r="L423" s="69" t="n"/>
      <c r="M423" s="69" t="n"/>
      <c r="N423" s="69" t="n"/>
      <c r="O423" s="69" t="n"/>
      <c r="P423" s="69" t="n"/>
    </row>
    <row r="424" hidden="1" outlineLevel="1" ht="15" customHeight="1" s="15">
      <c r="B424" s="69" t="n"/>
      <c r="C424" s="69" t="n"/>
      <c r="D424" s="69" t="n"/>
      <c r="E424" s="70" t="n"/>
      <c r="F424" s="69" t="n"/>
      <c r="G424" s="69" t="n"/>
      <c r="H424" s="69" t="n"/>
      <c r="I424" s="69" t="n"/>
      <c r="J424" s="69" t="n"/>
      <c r="K424" s="69" t="n"/>
      <c r="L424" s="69" t="n"/>
      <c r="M424" s="69" t="n"/>
      <c r="N424" s="69" t="n"/>
      <c r="O424" s="69" t="n"/>
      <c r="P424" s="69" t="n"/>
    </row>
    <row r="425" hidden="1" outlineLevel="1" ht="15" customHeight="1" s="15">
      <c r="B425" s="69" t="n"/>
      <c r="C425" s="69" t="n"/>
      <c r="D425" s="69" t="n"/>
      <c r="E425" s="70" t="n"/>
      <c r="F425" s="69" t="n"/>
      <c r="G425" s="69" t="n"/>
      <c r="H425" s="69" t="n"/>
      <c r="I425" s="69" t="n"/>
      <c r="J425" s="69" t="n"/>
      <c r="K425" s="69" t="n"/>
      <c r="L425" s="69" t="n"/>
      <c r="M425" s="69" t="n"/>
      <c r="N425" s="69" t="n"/>
      <c r="O425" s="69" t="n"/>
      <c r="P425" s="69" t="n"/>
    </row>
    <row r="426" hidden="1" outlineLevel="1" ht="15" customHeight="1" s="15">
      <c r="B426" s="69" t="n"/>
      <c r="C426" s="69" t="n"/>
      <c r="D426" s="69" t="n"/>
      <c r="E426" s="70" t="n"/>
      <c r="F426" s="69" t="n"/>
      <c r="G426" s="69" t="n"/>
      <c r="H426" s="69" t="n"/>
      <c r="I426" s="69" t="n"/>
      <c r="J426" s="69" t="n"/>
      <c r="K426" s="69" t="n"/>
      <c r="L426" s="69" t="n"/>
      <c r="M426" s="69" t="n"/>
      <c r="N426" s="69" t="n"/>
      <c r="O426" s="69" t="n"/>
      <c r="P426" s="69" t="n"/>
    </row>
    <row r="427" hidden="1" outlineLevel="1" ht="15" customHeight="1" s="15">
      <c r="B427" s="69" t="n"/>
      <c r="C427" s="69" t="n"/>
      <c r="D427" s="69" t="n"/>
      <c r="E427" s="70" t="n"/>
      <c r="F427" s="69" t="n"/>
      <c r="G427" s="69" t="n"/>
      <c r="H427" s="69" t="n"/>
      <c r="I427" s="69" t="n"/>
      <c r="J427" s="69" t="n"/>
      <c r="K427" s="69" t="n"/>
      <c r="L427" s="69" t="n"/>
      <c r="M427" s="69" t="n"/>
      <c r="N427" s="69" t="n"/>
      <c r="O427" s="69" t="n"/>
      <c r="P427" s="69" t="n"/>
    </row>
    <row r="428" hidden="1" outlineLevel="1" ht="15" customHeight="1" s="15">
      <c r="B428" s="69" t="n"/>
      <c r="C428" s="69" t="n"/>
      <c r="D428" s="69" t="n"/>
      <c r="E428" s="70" t="n"/>
      <c r="F428" s="69" t="n"/>
      <c r="G428" s="69" t="n"/>
      <c r="H428" s="69" t="n"/>
      <c r="I428" s="69" t="n"/>
      <c r="J428" s="69" t="n"/>
      <c r="K428" s="69" t="n"/>
      <c r="L428" s="69" t="n"/>
      <c r="M428" s="69" t="n"/>
      <c r="N428" s="69" t="n"/>
      <c r="O428" s="69" t="n"/>
      <c r="P428" s="69" t="n"/>
    </row>
    <row r="429" hidden="1" outlineLevel="1" ht="15" customHeight="1" s="15">
      <c r="B429" s="69" t="n"/>
      <c r="C429" s="69" t="n"/>
      <c r="D429" s="69" t="n"/>
      <c r="E429" s="70" t="n"/>
      <c r="F429" s="69" t="n"/>
      <c r="G429" s="69" t="n"/>
      <c r="H429" s="69" t="n"/>
      <c r="I429" s="69" t="n"/>
      <c r="J429" s="69" t="n"/>
      <c r="K429" s="69" t="n"/>
      <c r="L429" s="69" t="n"/>
      <c r="M429" s="69" t="n"/>
      <c r="N429" s="69" t="n"/>
      <c r="O429" s="69" t="n"/>
      <c r="P429" s="69" t="n"/>
    </row>
    <row r="430" hidden="1" outlineLevel="1" ht="15" customHeight="1" s="15">
      <c r="B430" s="69" t="n"/>
      <c r="C430" s="69" t="n"/>
      <c r="D430" s="69" t="n"/>
      <c r="E430" s="70" t="n"/>
      <c r="F430" s="69" t="n"/>
      <c r="G430" s="69" t="n"/>
      <c r="H430" s="69" t="n"/>
      <c r="I430" s="69" t="n"/>
      <c r="J430" s="69" t="n"/>
      <c r="K430" s="69" t="n"/>
      <c r="L430" s="69" t="n"/>
      <c r="M430" s="69" t="n"/>
      <c r="N430" s="69" t="n"/>
      <c r="O430" s="69" t="n"/>
      <c r="P430" s="69" t="n"/>
    </row>
    <row r="431" hidden="1" outlineLevel="1" ht="15" customHeight="1" s="15">
      <c r="B431" s="69" t="n"/>
      <c r="C431" s="69" t="n"/>
      <c r="D431" s="69" t="n"/>
      <c r="E431" s="70" t="n"/>
      <c r="F431" s="69" t="n"/>
      <c r="G431" s="69" t="n"/>
      <c r="H431" s="69" t="n"/>
      <c r="I431" s="69" t="n"/>
      <c r="J431" s="69" t="n"/>
      <c r="K431" s="69" t="n"/>
      <c r="L431" s="69" t="n"/>
      <c r="M431" s="69" t="n"/>
      <c r="N431" s="69" t="n"/>
      <c r="O431" s="69" t="n"/>
      <c r="P431" s="69" t="n"/>
    </row>
    <row r="432" hidden="1" outlineLevel="1" ht="15" customHeight="1" s="15">
      <c r="B432" s="69" t="n"/>
      <c r="C432" s="69" t="n"/>
      <c r="D432" s="69" t="n"/>
      <c r="E432" s="70" t="n"/>
      <c r="F432" s="69" t="n"/>
      <c r="G432" s="69" t="n"/>
      <c r="H432" s="69" t="n"/>
      <c r="I432" s="69" t="n"/>
      <c r="J432" s="69" t="n"/>
      <c r="K432" s="69" t="n"/>
      <c r="L432" s="69" t="n"/>
      <c r="M432" s="69" t="n"/>
      <c r="N432" s="69" t="n"/>
      <c r="O432" s="69" t="n"/>
      <c r="P432" s="69" t="n"/>
    </row>
    <row r="433" hidden="1" outlineLevel="1" ht="15" customHeight="1" s="15">
      <c r="B433" s="69" t="n"/>
      <c r="C433" s="69" t="n"/>
      <c r="D433" s="69" t="n"/>
      <c r="E433" s="70" t="n"/>
      <c r="F433" s="69" t="n"/>
      <c r="G433" s="69" t="n"/>
      <c r="H433" s="69" t="n"/>
      <c r="I433" s="69" t="n"/>
      <c r="J433" s="69" t="n"/>
      <c r="K433" s="69" t="n"/>
      <c r="L433" s="69" t="n"/>
      <c r="M433" s="69" t="n"/>
      <c r="N433" s="69" t="n"/>
      <c r="O433" s="69" t="n"/>
      <c r="P433" s="69" t="n"/>
    </row>
    <row r="434" hidden="1" outlineLevel="1" ht="15" customHeight="1" s="15">
      <c r="B434" s="69" t="n"/>
      <c r="C434" s="69" t="n"/>
      <c r="D434" s="69" t="n"/>
      <c r="E434" s="70" t="n"/>
      <c r="F434" s="69" t="n"/>
      <c r="G434" s="69" t="n"/>
      <c r="H434" s="69" t="n"/>
      <c r="I434" s="69" t="n"/>
      <c r="J434" s="69" t="n"/>
      <c r="K434" s="69" t="n"/>
      <c r="L434" s="69" t="n"/>
      <c r="M434" s="69" t="n"/>
      <c r="N434" s="69" t="n"/>
      <c r="O434" s="69" t="n"/>
      <c r="P434" s="69" t="n"/>
    </row>
    <row r="435" hidden="1" outlineLevel="1" ht="15" customHeight="1" s="15">
      <c r="B435" s="69" t="n"/>
      <c r="C435" s="69" t="n"/>
      <c r="D435" s="69" t="n"/>
      <c r="E435" s="70" t="n"/>
      <c r="F435" s="69" t="n"/>
      <c r="G435" s="69" t="n"/>
      <c r="H435" s="69" t="n"/>
      <c r="I435" s="69" t="n"/>
      <c r="J435" s="69" t="n"/>
      <c r="K435" s="69" t="n"/>
      <c r="L435" s="69" t="n"/>
      <c r="M435" s="69" t="n"/>
      <c r="N435" s="69" t="n"/>
      <c r="O435" s="69" t="n"/>
      <c r="P435" s="69" t="n"/>
    </row>
    <row r="436" hidden="1" outlineLevel="1" ht="15" customHeight="1" s="15">
      <c r="B436" s="69" t="n"/>
      <c r="C436" s="69" t="n"/>
      <c r="D436" s="69" t="n"/>
      <c r="E436" s="70" t="n"/>
      <c r="F436" s="69" t="n"/>
      <c r="G436" s="69" t="n"/>
      <c r="H436" s="69" t="n"/>
      <c r="I436" s="69" t="n"/>
      <c r="J436" s="69" t="n"/>
      <c r="K436" s="69" t="n"/>
      <c r="L436" s="69" t="n"/>
      <c r="M436" s="69" t="n"/>
      <c r="N436" s="69" t="n"/>
      <c r="O436" s="69" t="n"/>
      <c r="P436" s="69" t="n"/>
    </row>
    <row r="437" hidden="1" outlineLevel="1" ht="15" customHeight="1" s="15">
      <c r="B437" s="69" t="n"/>
      <c r="C437" s="69" t="n"/>
      <c r="D437" s="69" t="n"/>
      <c r="E437" s="70" t="n"/>
      <c r="F437" s="69" t="n"/>
      <c r="G437" s="69" t="n"/>
      <c r="H437" s="69" t="n"/>
      <c r="I437" s="69" t="n"/>
      <c r="J437" s="69" t="n"/>
      <c r="K437" s="69" t="n"/>
      <c r="L437" s="69" t="n"/>
      <c r="M437" s="69" t="n"/>
      <c r="N437" s="69" t="n"/>
      <c r="O437" s="69" t="n"/>
      <c r="P437" s="69" t="n"/>
    </row>
    <row r="438" hidden="1" outlineLevel="1" ht="15" customHeight="1" s="15">
      <c r="B438" s="69" t="n"/>
      <c r="C438" s="69" t="n"/>
      <c r="D438" s="69" t="n"/>
      <c r="E438" s="70" t="n"/>
      <c r="F438" s="69" t="n"/>
      <c r="G438" s="69" t="n"/>
      <c r="H438" s="69" t="n"/>
      <c r="I438" s="69" t="n"/>
      <c r="J438" s="69" t="n"/>
      <c r="K438" s="69" t="n"/>
      <c r="L438" s="69" t="n"/>
      <c r="M438" s="69" t="n"/>
      <c r="N438" s="69" t="n"/>
      <c r="O438" s="69" t="n"/>
      <c r="P438" s="69" t="n"/>
    </row>
    <row r="439" hidden="1" outlineLevel="1" ht="15" customHeight="1" s="15">
      <c r="B439" s="69" t="n"/>
      <c r="C439" s="69" t="n"/>
      <c r="D439" s="69" t="n"/>
      <c r="E439" s="70" t="n"/>
      <c r="F439" s="69" t="n"/>
      <c r="G439" s="69" t="n"/>
      <c r="H439" s="69" t="n"/>
      <c r="I439" s="69" t="n"/>
      <c r="J439" s="69" t="n"/>
      <c r="K439" s="69" t="n"/>
      <c r="L439" s="69" t="n"/>
      <c r="M439" s="69" t="n"/>
      <c r="N439" s="69" t="n"/>
      <c r="O439" s="69" t="n"/>
      <c r="P439" s="69" t="n"/>
    </row>
    <row r="440" hidden="1" outlineLevel="1" ht="15" customHeight="1" s="15">
      <c r="B440" s="69" t="n"/>
      <c r="C440" s="69" t="n"/>
      <c r="D440" s="69" t="n"/>
      <c r="E440" s="70" t="n"/>
      <c r="F440" s="69" t="n"/>
      <c r="G440" s="69" t="n"/>
      <c r="H440" s="69" t="n"/>
      <c r="I440" s="69" t="n"/>
      <c r="J440" s="69" t="n"/>
      <c r="K440" s="69" t="n"/>
      <c r="L440" s="69" t="n"/>
      <c r="M440" s="69" t="n"/>
      <c r="N440" s="69" t="n"/>
      <c r="O440" s="69" t="n"/>
      <c r="P440" s="69" t="n"/>
    </row>
    <row r="441" hidden="1" outlineLevel="1" ht="15" customHeight="1" s="15">
      <c r="B441" s="69" t="n"/>
      <c r="C441" s="69" t="n"/>
      <c r="D441" s="69" t="n"/>
      <c r="E441" s="70" t="n"/>
      <c r="F441" s="69" t="n"/>
      <c r="G441" s="69" t="n"/>
      <c r="H441" s="69" t="n"/>
      <c r="I441" s="69" t="n"/>
      <c r="J441" s="69" t="n"/>
      <c r="K441" s="69" t="n"/>
      <c r="L441" s="69" t="n"/>
      <c r="M441" s="69" t="n"/>
      <c r="N441" s="69" t="n"/>
      <c r="O441" s="69" t="n"/>
      <c r="P441" s="69" t="n"/>
    </row>
    <row r="442" hidden="1" outlineLevel="1" ht="15" customHeight="1" s="15">
      <c r="B442" s="69" t="n"/>
      <c r="C442" s="69" t="n"/>
      <c r="D442" s="69" t="n"/>
      <c r="E442" s="70" t="n"/>
      <c r="F442" s="69" t="n"/>
      <c r="G442" s="69" t="n"/>
      <c r="H442" s="69" t="n"/>
      <c r="I442" s="69" t="n"/>
      <c r="J442" s="69" t="n"/>
      <c r="K442" s="69" t="n"/>
      <c r="L442" s="69" t="n"/>
      <c r="M442" s="69" t="n"/>
      <c r="N442" s="69" t="n"/>
      <c r="O442" s="69" t="n"/>
      <c r="P442" s="69" t="n"/>
    </row>
    <row r="443" hidden="1" outlineLevel="1" ht="15" customHeight="1" s="15">
      <c r="B443" s="69" t="n"/>
      <c r="C443" s="69" t="n"/>
      <c r="D443" s="69" t="n"/>
      <c r="E443" s="70" t="n"/>
      <c r="F443" s="69" t="n"/>
      <c r="G443" s="69" t="n"/>
      <c r="H443" s="69" t="n"/>
      <c r="I443" s="69" t="n"/>
      <c r="J443" s="69" t="n"/>
      <c r="K443" s="69" t="n"/>
      <c r="L443" s="69" t="n"/>
      <c r="M443" s="69" t="n"/>
      <c r="N443" s="69" t="n"/>
      <c r="O443" s="69" t="n"/>
      <c r="P443" s="69" t="n"/>
    </row>
    <row r="444" hidden="1" outlineLevel="1" ht="15" customHeight="1" s="15">
      <c r="B444" s="69" t="n"/>
      <c r="C444" s="69" t="n"/>
      <c r="D444" s="69" t="n"/>
      <c r="E444" s="70" t="n"/>
      <c r="F444" s="69" t="n"/>
      <c r="G444" s="69" t="n"/>
      <c r="H444" s="69" t="n"/>
      <c r="I444" s="69" t="n"/>
      <c r="J444" s="69" t="n"/>
      <c r="K444" s="69" t="n"/>
      <c r="L444" s="69" t="n"/>
      <c r="M444" s="69" t="n"/>
      <c r="N444" s="69" t="n"/>
      <c r="O444" s="69" t="n"/>
      <c r="P444" s="69" t="n"/>
    </row>
    <row r="445" hidden="1" outlineLevel="1" ht="15" customHeight="1" s="15">
      <c r="B445" s="69" t="n"/>
      <c r="C445" s="69" t="n"/>
      <c r="D445" s="69" t="n"/>
      <c r="E445" s="70" t="n"/>
      <c r="F445" s="69" t="n"/>
      <c r="G445" s="69" t="n"/>
      <c r="H445" s="69" t="n"/>
      <c r="I445" s="69" t="n"/>
      <c r="J445" s="69" t="n"/>
      <c r="K445" s="69" t="n"/>
      <c r="L445" s="69" t="n"/>
      <c r="M445" s="69" t="n"/>
      <c r="N445" s="69" t="n"/>
      <c r="O445" s="69" t="n"/>
      <c r="P445" s="69" t="n"/>
    </row>
    <row r="446" hidden="1" outlineLevel="1" ht="15" customHeight="1" s="15">
      <c r="B446" s="69" t="n"/>
      <c r="C446" s="69" t="n"/>
      <c r="D446" s="69" t="n"/>
      <c r="E446" s="70" t="n"/>
      <c r="F446" s="69" t="n"/>
      <c r="G446" s="69" t="n"/>
      <c r="H446" s="69" t="n"/>
      <c r="I446" s="69" t="n"/>
      <c r="J446" s="69" t="n"/>
      <c r="K446" s="69" t="n"/>
      <c r="L446" s="69" t="n"/>
      <c r="M446" s="69" t="n"/>
      <c r="N446" s="69" t="n"/>
      <c r="O446" s="69" t="n"/>
      <c r="P446" s="69" t="n"/>
    </row>
    <row r="447" hidden="1" outlineLevel="1" ht="15" customHeight="1" s="15">
      <c r="B447" s="69" t="n"/>
      <c r="C447" s="69" t="n"/>
      <c r="D447" s="69" t="n"/>
      <c r="E447" s="70" t="n"/>
      <c r="F447" s="69" t="n"/>
      <c r="G447" s="69" t="n"/>
      <c r="H447" s="69" t="n"/>
      <c r="I447" s="69" t="n"/>
      <c r="J447" s="69" t="n"/>
      <c r="K447" s="69" t="n"/>
      <c r="L447" s="69" t="n"/>
      <c r="M447" s="69" t="n"/>
      <c r="N447" s="69" t="n"/>
      <c r="O447" s="69" t="n"/>
      <c r="P447" s="69" t="n"/>
    </row>
    <row r="448" hidden="1" outlineLevel="1" ht="15" customHeight="1" s="15">
      <c r="B448" s="69" t="n"/>
      <c r="C448" s="69" t="n"/>
      <c r="D448" s="69" t="n"/>
      <c r="E448" s="70" t="n"/>
      <c r="F448" s="69" t="n"/>
      <c r="G448" s="69" t="n"/>
      <c r="H448" s="69" t="n"/>
      <c r="I448" s="69" t="n"/>
      <c r="J448" s="69" t="n"/>
      <c r="K448" s="69" t="n"/>
      <c r="L448" s="69" t="n"/>
      <c r="M448" s="69" t="n"/>
      <c r="N448" s="69" t="n"/>
      <c r="O448" s="69" t="n"/>
      <c r="P448" s="69" t="n"/>
    </row>
    <row r="449" hidden="1" outlineLevel="1" ht="15" customHeight="1" s="15">
      <c r="B449" s="69" t="n"/>
      <c r="C449" s="69" t="n"/>
      <c r="D449" s="69" t="n"/>
      <c r="E449" s="70" t="n"/>
      <c r="F449" s="69" t="n"/>
      <c r="G449" s="69" t="n"/>
      <c r="H449" s="69" t="n"/>
      <c r="I449" s="69" t="n"/>
      <c r="J449" s="69" t="n"/>
      <c r="K449" s="69" t="n"/>
      <c r="L449" s="69" t="n"/>
      <c r="M449" s="69" t="n"/>
      <c r="N449" s="69" t="n"/>
      <c r="O449" s="69" t="n"/>
      <c r="P449" s="69" t="n"/>
    </row>
    <row r="450" hidden="1" outlineLevel="1" ht="15" customHeight="1" s="15">
      <c r="B450" s="69" t="n"/>
      <c r="C450" s="69" t="n"/>
      <c r="D450" s="69" t="n"/>
      <c r="E450" s="70" t="n"/>
      <c r="F450" s="69" t="n"/>
      <c r="G450" s="69" t="n"/>
      <c r="H450" s="69" t="n"/>
      <c r="I450" s="69" t="n"/>
      <c r="J450" s="69" t="n"/>
      <c r="K450" s="69" t="n"/>
      <c r="L450" s="69" t="n"/>
      <c r="M450" s="69" t="n"/>
      <c r="N450" s="69" t="n"/>
      <c r="O450" s="69" t="n"/>
      <c r="P450" s="69" t="n"/>
    </row>
    <row r="451" hidden="1" outlineLevel="1" ht="15" customHeight="1" s="15">
      <c r="B451" s="69" t="n"/>
      <c r="C451" s="69" t="n"/>
      <c r="D451" s="69" t="n"/>
      <c r="E451" s="70" t="n"/>
      <c r="F451" s="69" t="n"/>
      <c r="G451" s="69" t="n"/>
      <c r="H451" s="69" t="n"/>
      <c r="I451" s="69" t="n"/>
      <c r="J451" s="69" t="n"/>
      <c r="K451" s="69" t="n"/>
      <c r="L451" s="69" t="n"/>
      <c r="M451" s="69" t="n"/>
      <c r="N451" s="69" t="n"/>
      <c r="O451" s="69" t="n"/>
      <c r="P451" s="69" t="n"/>
    </row>
    <row r="452" hidden="1" outlineLevel="1" ht="15" customHeight="1" s="15">
      <c r="B452" s="69" t="n"/>
      <c r="C452" s="69" t="n"/>
      <c r="D452" s="69" t="n"/>
      <c r="E452" s="70" t="n"/>
      <c r="F452" s="69" t="n"/>
      <c r="G452" s="69" t="n"/>
      <c r="H452" s="69" t="n"/>
      <c r="I452" s="69" t="n"/>
      <c r="J452" s="69" t="n"/>
      <c r="K452" s="69" t="n"/>
      <c r="L452" s="69" t="n"/>
      <c r="M452" s="69" t="n"/>
      <c r="N452" s="69" t="n"/>
      <c r="O452" s="69" t="n"/>
      <c r="P452" s="69" t="n"/>
    </row>
    <row r="453" hidden="1" outlineLevel="1" ht="15" customHeight="1" s="15">
      <c r="B453" s="69" t="n"/>
      <c r="C453" s="69" t="n"/>
      <c r="D453" s="69" t="n"/>
      <c r="E453" s="70" t="n"/>
      <c r="F453" s="69" t="n"/>
      <c r="G453" s="69" t="n"/>
      <c r="H453" s="69" t="n"/>
      <c r="I453" s="69" t="n"/>
      <c r="J453" s="69" t="n"/>
      <c r="K453" s="69" t="n"/>
      <c r="L453" s="69" t="n"/>
      <c r="M453" s="69" t="n"/>
      <c r="N453" s="69" t="n"/>
      <c r="O453" s="69" t="n"/>
      <c r="P453" s="69" t="n"/>
    </row>
    <row r="454" hidden="1" outlineLevel="1" ht="15" customHeight="1" s="15">
      <c r="B454" s="69" t="n"/>
      <c r="C454" s="69" t="n"/>
      <c r="D454" s="69" t="n"/>
      <c r="E454" s="70" t="n"/>
      <c r="F454" s="69" t="n"/>
      <c r="G454" s="69" t="n"/>
      <c r="H454" s="69" t="n"/>
      <c r="I454" s="69" t="n"/>
      <c r="J454" s="69" t="n"/>
      <c r="K454" s="69" t="n"/>
      <c r="L454" s="69" t="n"/>
      <c r="M454" s="69" t="n"/>
      <c r="N454" s="69" t="n"/>
      <c r="O454" s="69" t="n"/>
      <c r="P454" s="69" t="n"/>
    </row>
    <row r="455" hidden="1" outlineLevel="1" ht="15" customHeight="1" s="15">
      <c r="B455" s="69" t="n"/>
      <c r="C455" s="69" t="n"/>
      <c r="D455" s="69" t="n"/>
      <c r="E455" s="70" t="n"/>
      <c r="F455" s="69" t="n"/>
      <c r="G455" s="69" t="n"/>
      <c r="H455" s="69" t="n"/>
      <c r="I455" s="69" t="n"/>
      <c r="J455" s="69" t="n"/>
      <c r="K455" s="69" t="n"/>
      <c r="L455" s="69" t="n"/>
      <c r="M455" s="69" t="n"/>
      <c r="N455" s="69" t="n"/>
      <c r="O455" s="69" t="n"/>
      <c r="P455" s="69" t="n"/>
    </row>
    <row r="456" hidden="1" outlineLevel="1" ht="15" customHeight="1" s="15">
      <c r="B456" s="69" t="n"/>
      <c r="C456" s="69" t="n"/>
      <c r="D456" s="69" t="n"/>
      <c r="E456" s="70" t="n"/>
      <c r="F456" s="69" t="n"/>
      <c r="G456" s="69" t="n"/>
      <c r="H456" s="69" t="n"/>
      <c r="I456" s="69" t="n"/>
      <c r="J456" s="69" t="n"/>
      <c r="K456" s="69" t="n"/>
      <c r="L456" s="69" t="n"/>
      <c r="M456" s="69" t="n"/>
      <c r="N456" s="69" t="n"/>
      <c r="O456" s="69" t="n"/>
      <c r="P456" s="69" t="n"/>
    </row>
    <row r="457" hidden="1" outlineLevel="1" ht="15" customHeight="1" s="15">
      <c r="B457" s="69" t="n"/>
      <c r="C457" s="69" t="n"/>
      <c r="D457" s="69" t="n"/>
      <c r="E457" s="70" t="n"/>
      <c r="F457" s="69" t="n"/>
      <c r="G457" s="69" t="n"/>
      <c r="H457" s="69" t="n"/>
      <c r="I457" s="69" t="n"/>
      <c r="J457" s="69" t="n"/>
      <c r="K457" s="69" t="n"/>
      <c r="L457" s="69" t="n"/>
      <c r="M457" s="69" t="n"/>
      <c r="N457" s="69" t="n"/>
      <c r="O457" s="69" t="n"/>
      <c r="P457" s="69" t="n"/>
    </row>
    <row r="458" hidden="1" outlineLevel="1" ht="15" customHeight="1" s="15">
      <c r="B458" s="69" t="n"/>
      <c r="C458" s="69" t="n"/>
      <c r="D458" s="69" t="n"/>
      <c r="E458" s="70" t="n"/>
      <c r="F458" s="69" t="n"/>
      <c r="G458" s="69" t="n"/>
      <c r="H458" s="69" t="n"/>
      <c r="I458" s="69" t="n"/>
      <c r="J458" s="69" t="n"/>
      <c r="K458" s="69" t="n"/>
      <c r="L458" s="69" t="n"/>
      <c r="M458" s="69" t="n"/>
      <c r="N458" s="69" t="n"/>
      <c r="O458" s="69" t="n"/>
      <c r="P458" s="69" t="n"/>
    </row>
    <row r="459" hidden="1" outlineLevel="1" ht="15" customHeight="1" s="15">
      <c r="B459" s="69" t="n"/>
      <c r="C459" s="69" t="n"/>
      <c r="D459" s="69" t="n"/>
      <c r="E459" s="70" t="n"/>
      <c r="F459" s="69" t="n"/>
      <c r="G459" s="69" t="n"/>
      <c r="H459" s="69" t="n"/>
      <c r="I459" s="69" t="n"/>
      <c r="J459" s="69" t="n"/>
      <c r="K459" s="69" t="n"/>
      <c r="L459" s="69" t="n"/>
      <c r="M459" s="69" t="n"/>
      <c r="N459" s="69" t="n"/>
      <c r="O459" s="69" t="n"/>
      <c r="P459" s="69" t="n"/>
    </row>
    <row r="460" hidden="1" outlineLevel="1" ht="15" customHeight="1" s="15">
      <c r="B460" s="69" t="n"/>
      <c r="C460" s="69" t="n"/>
      <c r="D460" s="69" t="n"/>
      <c r="E460" s="70" t="n"/>
      <c r="F460" s="69" t="n"/>
      <c r="G460" s="69" t="n"/>
      <c r="H460" s="69" t="n"/>
      <c r="I460" s="69" t="n"/>
      <c r="J460" s="69" t="n"/>
      <c r="K460" s="69" t="n"/>
      <c r="L460" s="69" t="n"/>
      <c r="M460" s="69" t="n"/>
      <c r="N460" s="69" t="n"/>
      <c r="O460" s="69" t="n"/>
      <c r="P460" s="69" t="n"/>
    </row>
    <row r="461" hidden="1" outlineLevel="1" ht="15" customHeight="1" s="15">
      <c r="B461" s="69" t="n"/>
      <c r="C461" s="69" t="n"/>
      <c r="D461" s="69" t="n"/>
      <c r="E461" s="70" t="n"/>
      <c r="F461" s="69" t="n"/>
      <c r="G461" s="69" t="n"/>
      <c r="H461" s="69" t="n"/>
      <c r="I461" s="69" t="n"/>
      <c r="J461" s="69" t="n"/>
      <c r="K461" s="69" t="n"/>
      <c r="L461" s="69" t="n"/>
      <c r="M461" s="69" t="n"/>
      <c r="N461" s="69" t="n"/>
      <c r="O461" s="69" t="n"/>
      <c r="P461" s="69" t="n"/>
    </row>
    <row r="462" hidden="1" outlineLevel="1" ht="15" customHeight="1" s="15">
      <c r="B462" s="69" t="n"/>
      <c r="C462" s="69" t="n"/>
      <c r="D462" s="69" t="n"/>
      <c r="E462" s="70" t="n"/>
      <c r="F462" s="69" t="n"/>
      <c r="G462" s="69" t="n"/>
      <c r="H462" s="69" t="n"/>
      <c r="I462" s="69" t="n"/>
      <c r="J462" s="69" t="n"/>
      <c r="K462" s="69" t="n"/>
      <c r="L462" s="69" t="n"/>
      <c r="M462" s="69" t="n"/>
      <c r="N462" s="69" t="n"/>
      <c r="O462" s="69" t="n"/>
      <c r="P462" s="69" t="n"/>
    </row>
    <row r="463" hidden="1" outlineLevel="1" ht="15" customHeight="1" s="15">
      <c r="B463" s="69" t="n"/>
      <c r="C463" s="69" t="n"/>
      <c r="D463" s="69" t="n"/>
      <c r="E463" s="70" t="n"/>
      <c r="F463" s="69" t="n"/>
      <c r="G463" s="69" t="n"/>
      <c r="H463" s="69" t="n"/>
      <c r="I463" s="69" t="n"/>
      <c r="J463" s="69" t="n"/>
      <c r="K463" s="69" t="n"/>
      <c r="L463" s="69" t="n"/>
      <c r="M463" s="69" t="n"/>
      <c r="N463" s="69" t="n"/>
      <c r="O463" s="69" t="n"/>
      <c r="P463" s="69" t="n"/>
    </row>
    <row r="464" hidden="1" outlineLevel="1" ht="15" customHeight="1" s="15">
      <c r="B464" s="69" t="n"/>
      <c r="C464" s="69" t="n"/>
      <c r="D464" s="69" t="n"/>
      <c r="E464" s="70" t="n"/>
      <c r="F464" s="69" t="n"/>
      <c r="G464" s="69" t="n"/>
      <c r="H464" s="69" t="n"/>
      <c r="I464" s="69" t="n"/>
      <c r="J464" s="69" t="n"/>
      <c r="K464" s="69" t="n"/>
      <c r="L464" s="69" t="n"/>
      <c r="M464" s="69" t="n"/>
      <c r="N464" s="69" t="n"/>
      <c r="O464" s="69" t="n"/>
      <c r="P464" s="69" t="n"/>
    </row>
    <row r="465" hidden="1" outlineLevel="1" ht="15" customHeight="1" s="15">
      <c r="B465" s="69" t="n"/>
      <c r="C465" s="69" t="n"/>
      <c r="D465" s="69" t="n"/>
      <c r="E465" s="70" t="n"/>
      <c r="F465" s="69" t="n"/>
      <c r="G465" s="69" t="n"/>
      <c r="H465" s="69" t="n"/>
      <c r="I465" s="69" t="n"/>
      <c r="J465" s="69" t="n"/>
      <c r="K465" s="69" t="n"/>
      <c r="L465" s="69" t="n"/>
      <c r="M465" s="69" t="n"/>
      <c r="N465" s="69" t="n"/>
      <c r="O465" s="69" t="n"/>
      <c r="P465" s="69" t="n"/>
    </row>
    <row r="466" hidden="1" outlineLevel="1" ht="15" customHeight="1" s="15">
      <c r="B466" s="69" t="n"/>
      <c r="C466" s="69" t="n"/>
      <c r="D466" s="69" t="n"/>
      <c r="E466" s="70" t="n"/>
      <c r="F466" s="69" t="n"/>
      <c r="G466" s="69" t="n"/>
      <c r="H466" s="69" t="n"/>
      <c r="I466" s="69" t="n"/>
      <c r="J466" s="69" t="n"/>
      <c r="K466" s="69" t="n"/>
      <c r="L466" s="69" t="n"/>
      <c r="M466" s="69" t="n"/>
      <c r="N466" s="69" t="n"/>
      <c r="O466" s="69" t="n"/>
      <c r="P466" s="69" t="n"/>
    </row>
    <row r="467" hidden="1" outlineLevel="1" ht="15" customHeight="1" s="15">
      <c r="B467" s="69" t="n"/>
      <c r="C467" s="69" t="n"/>
      <c r="D467" s="69" t="n"/>
      <c r="E467" s="70" t="n"/>
      <c r="F467" s="69" t="n"/>
      <c r="G467" s="69" t="n"/>
      <c r="H467" s="69" t="n"/>
      <c r="I467" s="69" t="n"/>
      <c r="J467" s="69" t="n"/>
      <c r="K467" s="69" t="n"/>
      <c r="L467" s="69" t="n"/>
      <c r="M467" s="69" t="n"/>
      <c r="N467" s="69" t="n"/>
      <c r="O467" s="69" t="n"/>
      <c r="P467" s="69" t="n"/>
    </row>
    <row r="468" hidden="1" outlineLevel="1" ht="15" customHeight="1" s="15">
      <c r="B468" s="69" t="n"/>
      <c r="C468" s="69" t="n"/>
      <c r="D468" s="69" t="n"/>
      <c r="E468" s="70" t="n"/>
      <c r="F468" s="69" t="n"/>
      <c r="G468" s="69" t="n"/>
      <c r="H468" s="69" t="n"/>
      <c r="I468" s="69" t="n"/>
      <c r="J468" s="69" t="n"/>
      <c r="K468" s="69" t="n"/>
      <c r="L468" s="69" t="n"/>
      <c r="M468" s="69" t="n"/>
      <c r="N468" s="69" t="n"/>
      <c r="O468" s="69" t="n"/>
      <c r="P468" s="69" t="n"/>
    </row>
    <row r="469" hidden="1" outlineLevel="1" ht="15" customHeight="1" s="15">
      <c r="B469" s="69" t="n"/>
      <c r="C469" s="69" t="n"/>
      <c r="D469" s="69" t="n"/>
      <c r="E469" s="70" t="n"/>
      <c r="F469" s="69" t="n"/>
      <c r="G469" s="69" t="n"/>
      <c r="H469" s="69" t="n"/>
      <c r="I469" s="69" t="n"/>
      <c r="J469" s="69" t="n"/>
      <c r="K469" s="69" t="n"/>
      <c r="L469" s="69" t="n"/>
      <c r="M469" s="69" t="n"/>
      <c r="N469" s="69" t="n"/>
      <c r="O469" s="69" t="n"/>
      <c r="P469" s="69" t="n"/>
    </row>
    <row r="470" hidden="1" outlineLevel="1" ht="15" customHeight="1" s="15">
      <c r="B470" s="69" t="n"/>
      <c r="C470" s="69" t="n"/>
      <c r="D470" s="69" t="n"/>
      <c r="E470" s="70" t="n"/>
      <c r="F470" s="69" t="n"/>
      <c r="G470" s="69" t="n"/>
      <c r="H470" s="69" t="n"/>
      <c r="I470" s="69" t="n"/>
      <c r="J470" s="69" t="n"/>
      <c r="K470" s="69" t="n"/>
      <c r="L470" s="69" t="n"/>
      <c r="M470" s="69" t="n"/>
      <c r="N470" s="69" t="n"/>
      <c r="O470" s="69" t="n"/>
      <c r="P470" s="69" t="n"/>
    </row>
    <row r="471" hidden="1" outlineLevel="1" ht="15" customHeight="1" s="15">
      <c r="B471" s="69" t="n"/>
      <c r="C471" s="69" t="n"/>
      <c r="D471" s="69" t="n"/>
      <c r="E471" s="70" t="n"/>
      <c r="F471" s="69" t="n"/>
      <c r="G471" s="69" t="n"/>
      <c r="H471" s="69" t="n"/>
      <c r="I471" s="69" t="n"/>
      <c r="J471" s="69" t="n"/>
      <c r="K471" s="69" t="n"/>
      <c r="L471" s="69" t="n"/>
      <c r="M471" s="69" t="n"/>
      <c r="N471" s="69" t="n"/>
      <c r="O471" s="69" t="n"/>
      <c r="P471" s="69" t="n"/>
    </row>
    <row r="472" hidden="1" outlineLevel="1" ht="15" customHeight="1" s="15">
      <c r="B472" s="69" t="n"/>
      <c r="C472" s="69" t="n"/>
      <c r="D472" s="69" t="n"/>
      <c r="E472" s="70" t="n"/>
      <c r="F472" s="69" t="n"/>
      <c r="G472" s="69" t="n"/>
      <c r="H472" s="69" t="n"/>
      <c r="I472" s="69" t="n"/>
      <c r="J472" s="69" t="n"/>
      <c r="K472" s="69" t="n"/>
      <c r="L472" s="69" t="n"/>
      <c r="M472" s="69" t="n"/>
      <c r="N472" s="69" t="n"/>
      <c r="O472" s="69" t="n"/>
      <c r="P472" s="69" t="n"/>
    </row>
    <row r="473" hidden="1" outlineLevel="1" ht="15" customHeight="1" s="15">
      <c r="B473" s="69" t="n"/>
      <c r="C473" s="69" t="n"/>
      <c r="D473" s="69" t="n"/>
      <c r="E473" s="70" t="n"/>
      <c r="F473" s="69" t="n"/>
      <c r="G473" s="69" t="n"/>
      <c r="H473" s="69" t="n"/>
      <c r="I473" s="69" t="n"/>
      <c r="J473" s="69" t="n"/>
      <c r="K473" s="69" t="n"/>
      <c r="L473" s="69" t="n"/>
      <c r="M473" s="69" t="n"/>
      <c r="N473" s="69" t="n"/>
      <c r="O473" s="69" t="n"/>
      <c r="P473" s="69" t="n"/>
    </row>
    <row r="474" collapsed="1" ht="19.5" customHeight="1" s="15">
      <c r="B474" s="6" t="inlineStr">
        <is>
          <t>ℹ  Coller ici (Collage spécial &gt; Valeurs) les lignes agents de JOURNAL pour Juillet — fond bleu-gris = zone d'archive, pas de formule.</t>
        </is>
      </c>
    </row>
    <row r="476" ht="19.5" customHeight="1" s="15">
      <c r="B476" s="4" t="inlineStr">
        <is>
          <t xml:space="preserve">  AOÛT — bloc à remplir à la clôture</t>
        </is>
      </c>
    </row>
    <row r="477" ht="25.5" customHeight="1" s="15">
      <c r="B477" s="40" t="inlineStr">
        <is>
          <t>Année</t>
        </is>
      </c>
      <c r="C477" s="40" t="inlineStr">
        <is>
          <t>Mois</t>
        </is>
      </c>
      <c r="D477" s="40" t="inlineStr">
        <is>
          <t>Matricule</t>
        </is>
      </c>
      <c r="E477" s="40" t="inlineStr">
        <is>
          <t>Nom</t>
        </is>
      </c>
      <c r="F477" s="40" t="inlineStr">
        <is>
          <t>BRUT</t>
        </is>
      </c>
      <c r="G477" s="40" t="inlineStr">
        <is>
          <t>CNSS salariale</t>
        </is>
      </c>
      <c r="H477" s="40" t="inlineStr">
        <is>
          <t>IPR</t>
        </is>
      </c>
      <c r="I477" s="40" t="inlineStr">
        <is>
          <t>NET avant retenues</t>
        </is>
      </c>
      <c r="J477" s="40" t="inlineStr">
        <is>
          <t>Avance</t>
        </is>
      </c>
      <c r="K477" s="40" t="inlineStr">
        <is>
          <t>Retenues diverses</t>
        </is>
      </c>
      <c r="L477" s="40" t="inlineStr">
        <is>
          <t>NET À PAYER</t>
        </is>
      </c>
      <c r="M477" s="40" t="inlineStr">
        <is>
          <t>CNSS patronale</t>
        </is>
      </c>
      <c r="N477" s="40" t="inlineStr">
        <is>
          <t>INPP</t>
        </is>
      </c>
      <c r="O477" s="40" t="inlineStr">
        <is>
          <t>ONEM</t>
        </is>
      </c>
      <c r="P477" s="40" t="inlineStr">
        <is>
          <t>Coût total employeur</t>
        </is>
      </c>
    </row>
    <row r="478" hidden="1" outlineLevel="1" ht="15" customHeight="1" s="15">
      <c r="B478" s="69" t="n"/>
      <c r="C478" s="69" t="n"/>
      <c r="D478" s="69" t="n"/>
      <c r="E478" s="70" t="n"/>
      <c r="F478" s="69" t="n"/>
      <c r="G478" s="69" t="n"/>
      <c r="H478" s="69" t="n"/>
      <c r="I478" s="69" t="n"/>
      <c r="J478" s="69" t="n"/>
      <c r="K478" s="69" t="n"/>
      <c r="L478" s="69" t="n"/>
      <c r="M478" s="69" t="n"/>
      <c r="N478" s="69" t="n"/>
      <c r="O478" s="69" t="n"/>
      <c r="P478" s="69" t="n"/>
    </row>
    <row r="479" hidden="1" outlineLevel="1" ht="15" customHeight="1" s="15">
      <c r="B479" s="69" t="n"/>
      <c r="C479" s="69" t="n"/>
      <c r="D479" s="69" t="n"/>
      <c r="E479" s="70" t="n"/>
      <c r="F479" s="69" t="n"/>
      <c r="G479" s="69" t="n"/>
      <c r="H479" s="69" t="n"/>
      <c r="I479" s="69" t="n"/>
      <c r="J479" s="69" t="n"/>
      <c r="K479" s="69" t="n"/>
      <c r="L479" s="69" t="n"/>
      <c r="M479" s="69" t="n"/>
      <c r="N479" s="69" t="n"/>
      <c r="O479" s="69" t="n"/>
      <c r="P479" s="69" t="n"/>
    </row>
    <row r="480" hidden="1" outlineLevel="1" ht="15" customHeight="1" s="15">
      <c r="B480" s="69" t="n"/>
      <c r="C480" s="69" t="n"/>
      <c r="D480" s="69" t="n"/>
      <c r="E480" s="70" t="n"/>
      <c r="F480" s="69" t="n"/>
      <c r="G480" s="69" t="n"/>
      <c r="H480" s="69" t="n"/>
      <c r="I480" s="69" t="n"/>
      <c r="J480" s="69" t="n"/>
      <c r="K480" s="69" t="n"/>
      <c r="L480" s="69" t="n"/>
      <c r="M480" s="69" t="n"/>
      <c r="N480" s="69" t="n"/>
      <c r="O480" s="69" t="n"/>
      <c r="P480" s="69" t="n"/>
    </row>
    <row r="481" hidden="1" outlineLevel="1" ht="15" customHeight="1" s="15">
      <c r="B481" s="69" t="n"/>
      <c r="C481" s="69" t="n"/>
      <c r="D481" s="69" t="n"/>
      <c r="E481" s="70" t="n"/>
      <c r="F481" s="69" t="n"/>
      <c r="G481" s="69" t="n"/>
      <c r="H481" s="69" t="n"/>
      <c r="I481" s="69" t="n"/>
      <c r="J481" s="69" t="n"/>
      <c r="K481" s="69" t="n"/>
      <c r="L481" s="69" t="n"/>
      <c r="M481" s="69" t="n"/>
      <c r="N481" s="69" t="n"/>
      <c r="O481" s="69" t="n"/>
      <c r="P481" s="69" t="n"/>
    </row>
    <row r="482" hidden="1" outlineLevel="1" ht="15" customHeight="1" s="15">
      <c r="B482" s="69" t="n"/>
      <c r="C482" s="69" t="n"/>
      <c r="D482" s="69" t="n"/>
      <c r="E482" s="70" t="n"/>
      <c r="F482" s="69" t="n"/>
      <c r="G482" s="69" t="n"/>
      <c r="H482" s="69" t="n"/>
      <c r="I482" s="69" t="n"/>
      <c r="J482" s="69" t="n"/>
      <c r="K482" s="69" t="n"/>
      <c r="L482" s="69" t="n"/>
      <c r="M482" s="69" t="n"/>
      <c r="N482" s="69" t="n"/>
      <c r="O482" s="69" t="n"/>
      <c r="P482" s="69" t="n"/>
    </row>
    <row r="483" hidden="1" outlineLevel="1" ht="15" customHeight="1" s="15">
      <c r="B483" s="69" t="n"/>
      <c r="C483" s="69" t="n"/>
      <c r="D483" s="69" t="n"/>
      <c r="E483" s="70" t="n"/>
      <c r="F483" s="69" t="n"/>
      <c r="G483" s="69" t="n"/>
      <c r="H483" s="69" t="n"/>
      <c r="I483" s="69" t="n"/>
      <c r="J483" s="69" t="n"/>
      <c r="K483" s="69" t="n"/>
      <c r="L483" s="69" t="n"/>
      <c r="M483" s="69" t="n"/>
      <c r="N483" s="69" t="n"/>
      <c r="O483" s="69" t="n"/>
      <c r="P483" s="69" t="n"/>
    </row>
    <row r="484" hidden="1" outlineLevel="1" ht="15" customHeight="1" s="15">
      <c r="B484" s="69" t="n"/>
      <c r="C484" s="69" t="n"/>
      <c r="D484" s="69" t="n"/>
      <c r="E484" s="70" t="n"/>
      <c r="F484" s="69" t="n"/>
      <c r="G484" s="69" t="n"/>
      <c r="H484" s="69" t="n"/>
      <c r="I484" s="69" t="n"/>
      <c r="J484" s="69" t="n"/>
      <c r="K484" s="69" t="n"/>
      <c r="L484" s="69" t="n"/>
      <c r="M484" s="69" t="n"/>
      <c r="N484" s="69" t="n"/>
      <c r="O484" s="69" t="n"/>
      <c r="P484" s="69" t="n"/>
    </row>
    <row r="485" hidden="1" outlineLevel="1" ht="15" customHeight="1" s="15">
      <c r="B485" s="69" t="n"/>
      <c r="C485" s="69" t="n"/>
      <c r="D485" s="69" t="n"/>
      <c r="E485" s="70" t="n"/>
      <c r="F485" s="69" t="n"/>
      <c r="G485" s="69" t="n"/>
      <c r="H485" s="69" t="n"/>
      <c r="I485" s="69" t="n"/>
      <c r="J485" s="69" t="n"/>
      <c r="K485" s="69" t="n"/>
      <c r="L485" s="69" t="n"/>
      <c r="M485" s="69" t="n"/>
      <c r="N485" s="69" t="n"/>
      <c r="O485" s="69" t="n"/>
      <c r="P485" s="69" t="n"/>
    </row>
    <row r="486" hidden="1" outlineLevel="1" ht="15" customHeight="1" s="15">
      <c r="B486" s="69" t="n"/>
      <c r="C486" s="69" t="n"/>
      <c r="D486" s="69" t="n"/>
      <c r="E486" s="70" t="n"/>
      <c r="F486" s="69" t="n"/>
      <c r="G486" s="69" t="n"/>
      <c r="H486" s="69" t="n"/>
      <c r="I486" s="69" t="n"/>
      <c r="J486" s="69" t="n"/>
      <c r="K486" s="69" t="n"/>
      <c r="L486" s="69" t="n"/>
      <c r="M486" s="69" t="n"/>
      <c r="N486" s="69" t="n"/>
      <c r="O486" s="69" t="n"/>
      <c r="P486" s="69" t="n"/>
    </row>
    <row r="487" hidden="1" outlineLevel="1" ht="15" customHeight="1" s="15">
      <c r="B487" s="69" t="n"/>
      <c r="C487" s="69" t="n"/>
      <c r="D487" s="69" t="n"/>
      <c r="E487" s="70" t="n"/>
      <c r="F487" s="69" t="n"/>
      <c r="G487" s="69" t="n"/>
      <c r="H487" s="69" t="n"/>
      <c r="I487" s="69" t="n"/>
      <c r="J487" s="69" t="n"/>
      <c r="K487" s="69" t="n"/>
      <c r="L487" s="69" t="n"/>
      <c r="M487" s="69" t="n"/>
      <c r="N487" s="69" t="n"/>
      <c r="O487" s="69" t="n"/>
      <c r="P487" s="69" t="n"/>
    </row>
    <row r="488" hidden="1" outlineLevel="1" ht="15" customHeight="1" s="15">
      <c r="B488" s="69" t="n"/>
      <c r="C488" s="69" t="n"/>
      <c r="D488" s="69" t="n"/>
      <c r="E488" s="70" t="n"/>
      <c r="F488" s="69" t="n"/>
      <c r="G488" s="69" t="n"/>
      <c r="H488" s="69" t="n"/>
      <c r="I488" s="69" t="n"/>
      <c r="J488" s="69" t="n"/>
      <c r="K488" s="69" t="n"/>
      <c r="L488" s="69" t="n"/>
      <c r="M488" s="69" t="n"/>
      <c r="N488" s="69" t="n"/>
      <c r="O488" s="69" t="n"/>
      <c r="P488" s="69" t="n"/>
    </row>
    <row r="489" hidden="1" outlineLevel="1" ht="15" customHeight="1" s="15">
      <c r="B489" s="69" t="n"/>
      <c r="C489" s="69" t="n"/>
      <c r="D489" s="69" t="n"/>
      <c r="E489" s="70" t="n"/>
      <c r="F489" s="69" t="n"/>
      <c r="G489" s="69" t="n"/>
      <c r="H489" s="69" t="n"/>
      <c r="I489" s="69" t="n"/>
      <c r="J489" s="69" t="n"/>
      <c r="K489" s="69" t="n"/>
      <c r="L489" s="69" t="n"/>
      <c r="M489" s="69" t="n"/>
      <c r="N489" s="69" t="n"/>
      <c r="O489" s="69" t="n"/>
      <c r="P489" s="69" t="n"/>
    </row>
    <row r="490" hidden="1" outlineLevel="1" ht="15" customHeight="1" s="15">
      <c r="B490" s="69" t="n"/>
      <c r="C490" s="69" t="n"/>
      <c r="D490" s="69" t="n"/>
      <c r="E490" s="70" t="n"/>
      <c r="F490" s="69" t="n"/>
      <c r="G490" s="69" t="n"/>
      <c r="H490" s="69" t="n"/>
      <c r="I490" s="69" t="n"/>
      <c r="J490" s="69" t="n"/>
      <c r="K490" s="69" t="n"/>
      <c r="L490" s="69" t="n"/>
      <c r="M490" s="69" t="n"/>
      <c r="N490" s="69" t="n"/>
      <c r="O490" s="69" t="n"/>
      <c r="P490" s="69" t="n"/>
    </row>
    <row r="491" hidden="1" outlineLevel="1" ht="15" customHeight="1" s="15">
      <c r="B491" s="69" t="n"/>
      <c r="C491" s="69" t="n"/>
      <c r="D491" s="69" t="n"/>
      <c r="E491" s="70" t="n"/>
      <c r="F491" s="69" t="n"/>
      <c r="G491" s="69" t="n"/>
      <c r="H491" s="69" t="n"/>
      <c r="I491" s="69" t="n"/>
      <c r="J491" s="69" t="n"/>
      <c r="K491" s="69" t="n"/>
      <c r="L491" s="69" t="n"/>
      <c r="M491" s="69" t="n"/>
      <c r="N491" s="69" t="n"/>
      <c r="O491" s="69" t="n"/>
      <c r="P491" s="69" t="n"/>
    </row>
    <row r="492" hidden="1" outlineLevel="1" ht="15" customHeight="1" s="15">
      <c r="B492" s="69" t="n"/>
      <c r="C492" s="69" t="n"/>
      <c r="D492" s="69" t="n"/>
      <c r="E492" s="70" t="n"/>
      <c r="F492" s="69" t="n"/>
      <c r="G492" s="69" t="n"/>
      <c r="H492" s="69" t="n"/>
      <c r="I492" s="69" t="n"/>
      <c r="J492" s="69" t="n"/>
      <c r="K492" s="69" t="n"/>
      <c r="L492" s="69" t="n"/>
      <c r="M492" s="69" t="n"/>
      <c r="N492" s="69" t="n"/>
      <c r="O492" s="69" t="n"/>
      <c r="P492" s="69" t="n"/>
    </row>
    <row r="493" hidden="1" outlineLevel="1" ht="15" customHeight="1" s="15">
      <c r="B493" s="69" t="n"/>
      <c r="C493" s="69" t="n"/>
      <c r="D493" s="69" t="n"/>
      <c r="E493" s="70" t="n"/>
      <c r="F493" s="69" t="n"/>
      <c r="G493" s="69" t="n"/>
      <c r="H493" s="69" t="n"/>
      <c r="I493" s="69" t="n"/>
      <c r="J493" s="69" t="n"/>
      <c r="K493" s="69" t="n"/>
      <c r="L493" s="69" t="n"/>
      <c r="M493" s="69" t="n"/>
      <c r="N493" s="69" t="n"/>
      <c r="O493" s="69" t="n"/>
      <c r="P493" s="69" t="n"/>
    </row>
    <row r="494" hidden="1" outlineLevel="1" ht="15" customHeight="1" s="15">
      <c r="B494" s="69" t="n"/>
      <c r="C494" s="69" t="n"/>
      <c r="D494" s="69" t="n"/>
      <c r="E494" s="70" t="n"/>
      <c r="F494" s="69" t="n"/>
      <c r="G494" s="69" t="n"/>
      <c r="H494" s="69" t="n"/>
      <c r="I494" s="69" t="n"/>
      <c r="J494" s="69" t="n"/>
      <c r="K494" s="69" t="n"/>
      <c r="L494" s="69" t="n"/>
      <c r="M494" s="69" t="n"/>
      <c r="N494" s="69" t="n"/>
      <c r="O494" s="69" t="n"/>
      <c r="P494" s="69" t="n"/>
    </row>
    <row r="495" hidden="1" outlineLevel="1" ht="15" customHeight="1" s="15">
      <c r="B495" s="69" t="n"/>
      <c r="C495" s="69" t="n"/>
      <c r="D495" s="69" t="n"/>
      <c r="E495" s="70" t="n"/>
      <c r="F495" s="69" t="n"/>
      <c r="G495" s="69" t="n"/>
      <c r="H495" s="69" t="n"/>
      <c r="I495" s="69" t="n"/>
      <c r="J495" s="69" t="n"/>
      <c r="K495" s="69" t="n"/>
      <c r="L495" s="69" t="n"/>
      <c r="M495" s="69" t="n"/>
      <c r="N495" s="69" t="n"/>
      <c r="O495" s="69" t="n"/>
      <c r="P495" s="69" t="n"/>
    </row>
    <row r="496" hidden="1" outlineLevel="1" ht="15" customHeight="1" s="15">
      <c r="B496" s="69" t="n"/>
      <c r="C496" s="69" t="n"/>
      <c r="D496" s="69" t="n"/>
      <c r="E496" s="70" t="n"/>
      <c r="F496" s="69" t="n"/>
      <c r="G496" s="69" t="n"/>
      <c r="H496" s="69" t="n"/>
      <c r="I496" s="69" t="n"/>
      <c r="J496" s="69" t="n"/>
      <c r="K496" s="69" t="n"/>
      <c r="L496" s="69" t="n"/>
      <c r="M496" s="69" t="n"/>
      <c r="N496" s="69" t="n"/>
      <c r="O496" s="69" t="n"/>
      <c r="P496" s="69" t="n"/>
    </row>
    <row r="497" hidden="1" outlineLevel="1" ht="15" customHeight="1" s="15">
      <c r="B497" s="69" t="n"/>
      <c r="C497" s="69" t="n"/>
      <c r="D497" s="69" t="n"/>
      <c r="E497" s="70" t="n"/>
      <c r="F497" s="69" t="n"/>
      <c r="G497" s="69" t="n"/>
      <c r="H497" s="69" t="n"/>
      <c r="I497" s="69" t="n"/>
      <c r="J497" s="69" t="n"/>
      <c r="K497" s="69" t="n"/>
      <c r="L497" s="69" t="n"/>
      <c r="M497" s="69" t="n"/>
      <c r="N497" s="69" t="n"/>
      <c r="O497" s="69" t="n"/>
      <c r="P497" s="69" t="n"/>
    </row>
    <row r="498" hidden="1" outlineLevel="1" ht="15" customHeight="1" s="15">
      <c r="B498" s="69" t="n"/>
      <c r="C498" s="69" t="n"/>
      <c r="D498" s="69" t="n"/>
      <c r="E498" s="70" t="n"/>
      <c r="F498" s="69" t="n"/>
      <c r="G498" s="69" t="n"/>
      <c r="H498" s="69" t="n"/>
      <c r="I498" s="69" t="n"/>
      <c r="J498" s="69" t="n"/>
      <c r="K498" s="69" t="n"/>
      <c r="L498" s="69" t="n"/>
      <c r="M498" s="69" t="n"/>
      <c r="N498" s="69" t="n"/>
      <c r="O498" s="69" t="n"/>
      <c r="P498" s="69" t="n"/>
    </row>
    <row r="499" hidden="1" outlineLevel="1" ht="15" customHeight="1" s="15">
      <c r="B499" s="69" t="n"/>
      <c r="C499" s="69" t="n"/>
      <c r="D499" s="69" t="n"/>
      <c r="E499" s="70" t="n"/>
      <c r="F499" s="69" t="n"/>
      <c r="G499" s="69" t="n"/>
      <c r="H499" s="69" t="n"/>
      <c r="I499" s="69" t="n"/>
      <c r="J499" s="69" t="n"/>
      <c r="K499" s="69" t="n"/>
      <c r="L499" s="69" t="n"/>
      <c r="M499" s="69" t="n"/>
      <c r="N499" s="69" t="n"/>
      <c r="O499" s="69" t="n"/>
      <c r="P499" s="69" t="n"/>
    </row>
    <row r="500" hidden="1" outlineLevel="1" ht="15" customHeight="1" s="15">
      <c r="B500" s="69" t="n"/>
      <c r="C500" s="69" t="n"/>
      <c r="D500" s="69" t="n"/>
      <c r="E500" s="70" t="n"/>
      <c r="F500" s="69" t="n"/>
      <c r="G500" s="69" t="n"/>
      <c r="H500" s="69" t="n"/>
      <c r="I500" s="69" t="n"/>
      <c r="J500" s="69" t="n"/>
      <c r="K500" s="69" t="n"/>
      <c r="L500" s="69" t="n"/>
      <c r="M500" s="69" t="n"/>
      <c r="N500" s="69" t="n"/>
      <c r="O500" s="69" t="n"/>
      <c r="P500" s="69" t="n"/>
    </row>
    <row r="501" hidden="1" outlineLevel="1" ht="15" customHeight="1" s="15">
      <c r="B501" s="69" t="n"/>
      <c r="C501" s="69" t="n"/>
      <c r="D501" s="69" t="n"/>
      <c r="E501" s="70" t="n"/>
      <c r="F501" s="69" t="n"/>
      <c r="G501" s="69" t="n"/>
      <c r="H501" s="69" t="n"/>
      <c r="I501" s="69" t="n"/>
      <c r="J501" s="69" t="n"/>
      <c r="K501" s="69" t="n"/>
      <c r="L501" s="69" t="n"/>
      <c r="M501" s="69" t="n"/>
      <c r="N501" s="69" t="n"/>
      <c r="O501" s="69" t="n"/>
      <c r="P501" s="69" t="n"/>
    </row>
    <row r="502" hidden="1" outlineLevel="1" ht="15" customHeight="1" s="15">
      <c r="B502" s="69" t="n"/>
      <c r="C502" s="69" t="n"/>
      <c r="D502" s="69" t="n"/>
      <c r="E502" s="70" t="n"/>
      <c r="F502" s="69" t="n"/>
      <c r="G502" s="69" t="n"/>
      <c r="H502" s="69" t="n"/>
      <c r="I502" s="69" t="n"/>
      <c r="J502" s="69" t="n"/>
      <c r="K502" s="69" t="n"/>
      <c r="L502" s="69" t="n"/>
      <c r="M502" s="69" t="n"/>
      <c r="N502" s="69" t="n"/>
      <c r="O502" s="69" t="n"/>
      <c r="P502" s="69" t="n"/>
    </row>
    <row r="503" hidden="1" outlineLevel="1" ht="15" customHeight="1" s="15">
      <c r="B503" s="69" t="n"/>
      <c r="C503" s="69" t="n"/>
      <c r="D503" s="69" t="n"/>
      <c r="E503" s="70" t="n"/>
      <c r="F503" s="69" t="n"/>
      <c r="G503" s="69" t="n"/>
      <c r="H503" s="69" t="n"/>
      <c r="I503" s="69" t="n"/>
      <c r="J503" s="69" t="n"/>
      <c r="K503" s="69" t="n"/>
      <c r="L503" s="69" t="n"/>
      <c r="M503" s="69" t="n"/>
      <c r="N503" s="69" t="n"/>
      <c r="O503" s="69" t="n"/>
      <c r="P503" s="69" t="n"/>
    </row>
    <row r="504" hidden="1" outlineLevel="1" ht="15" customHeight="1" s="15">
      <c r="B504" s="69" t="n"/>
      <c r="C504" s="69" t="n"/>
      <c r="D504" s="69" t="n"/>
      <c r="E504" s="70" t="n"/>
      <c r="F504" s="69" t="n"/>
      <c r="G504" s="69" t="n"/>
      <c r="H504" s="69" t="n"/>
      <c r="I504" s="69" t="n"/>
      <c r="J504" s="69" t="n"/>
      <c r="K504" s="69" t="n"/>
      <c r="L504" s="69" t="n"/>
      <c r="M504" s="69" t="n"/>
      <c r="N504" s="69" t="n"/>
      <c r="O504" s="69" t="n"/>
      <c r="P504" s="69" t="n"/>
    </row>
    <row r="505" hidden="1" outlineLevel="1" ht="15" customHeight="1" s="15">
      <c r="B505" s="69" t="n"/>
      <c r="C505" s="69" t="n"/>
      <c r="D505" s="69" t="n"/>
      <c r="E505" s="70" t="n"/>
      <c r="F505" s="69" t="n"/>
      <c r="G505" s="69" t="n"/>
      <c r="H505" s="69" t="n"/>
      <c r="I505" s="69" t="n"/>
      <c r="J505" s="69" t="n"/>
      <c r="K505" s="69" t="n"/>
      <c r="L505" s="69" t="n"/>
      <c r="M505" s="69" t="n"/>
      <c r="N505" s="69" t="n"/>
      <c r="O505" s="69" t="n"/>
      <c r="P505" s="69" t="n"/>
    </row>
    <row r="506" hidden="1" outlineLevel="1" ht="15" customHeight="1" s="15">
      <c r="B506" s="69" t="n"/>
      <c r="C506" s="69" t="n"/>
      <c r="D506" s="69" t="n"/>
      <c r="E506" s="70" t="n"/>
      <c r="F506" s="69" t="n"/>
      <c r="G506" s="69" t="n"/>
      <c r="H506" s="69" t="n"/>
      <c r="I506" s="69" t="n"/>
      <c r="J506" s="69" t="n"/>
      <c r="K506" s="69" t="n"/>
      <c r="L506" s="69" t="n"/>
      <c r="M506" s="69" t="n"/>
      <c r="N506" s="69" t="n"/>
      <c r="O506" s="69" t="n"/>
      <c r="P506" s="69" t="n"/>
    </row>
    <row r="507" hidden="1" outlineLevel="1" ht="15" customHeight="1" s="15">
      <c r="B507" s="69" t="n"/>
      <c r="C507" s="69" t="n"/>
      <c r="D507" s="69" t="n"/>
      <c r="E507" s="70" t="n"/>
      <c r="F507" s="69" t="n"/>
      <c r="G507" s="69" t="n"/>
      <c r="H507" s="69" t="n"/>
      <c r="I507" s="69" t="n"/>
      <c r="J507" s="69" t="n"/>
      <c r="K507" s="69" t="n"/>
      <c r="L507" s="69" t="n"/>
      <c r="M507" s="69" t="n"/>
      <c r="N507" s="69" t="n"/>
      <c r="O507" s="69" t="n"/>
      <c r="P507" s="69" t="n"/>
    </row>
    <row r="508" hidden="1" outlineLevel="1" ht="15" customHeight="1" s="15">
      <c r="B508" s="69" t="n"/>
      <c r="C508" s="69" t="n"/>
      <c r="D508" s="69" t="n"/>
      <c r="E508" s="70" t="n"/>
      <c r="F508" s="69" t="n"/>
      <c r="G508" s="69" t="n"/>
      <c r="H508" s="69" t="n"/>
      <c r="I508" s="69" t="n"/>
      <c r="J508" s="69" t="n"/>
      <c r="K508" s="69" t="n"/>
      <c r="L508" s="69" t="n"/>
      <c r="M508" s="69" t="n"/>
      <c r="N508" s="69" t="n"/>
      <c r="O508" s="69" t="n"/>
      <c r="P508" s="69" t="n"/>
    </row>
    <row r="509" hidden="1" outlineLevel="1" ht="15" customHeight="1" s="15">
      <c r="B509" s="69" t="n"/>
      <c r="C509" s="69" t="n"/>
      <c r="D509" s="69" t="n"/>
      <c r="E509" s="70" t="n"/>
      <c r="F509" s="69" t="n"/>
      <c r="G509" s="69" t="n"/>
      <c r="H509" s="69" t="n"/>
      <c r="I509" s="69" t="n"/>
      <c r="J509" s="69" t="n"/>
      <c r="K509" s="69" t="n"/>
      <c r="L509" s="69" t="n"/>
      <c r="M509" s="69" t="n"/>
      <c r="N509" s="69" t="n"/>
      <c r="O509" s="69" t="n"/>
      <c r="P509" s="69" t="n"/>
    </row>
    <row r="510" hidden="1" outlineLevel="1" ht="15" customHeight="1" s="15">
      <c r="B510" s="69" t="n"/>
      <c r="C510" s="69" t="n"/>
      <c r="D510" s="69" t="n"/>
      <c r="E510" s="70" t="n"/>
      <c r="F510" s="69" t="n"/>
      <c r="G510" s="69" t="n"/>
      <c r="H510" s="69" t="n"/>
      <c r="I510" s="69" t="n"/>
      <c r="J510" s="69" t="n"/>
      <c r="K510" s="69" t="n"/>
      <c r="L510" s="69" t="n"/>
      <c r="M510" s="69" t="n"/>
      <c r="N510" s="69" t="n"/>
      <c r="O510" s="69" t="n"/>
      <c r="P510" s="69" t="n"/>
    </row>
    <row r="511" hidden="1" outlineLevel="1" ht="15" customHeight="1" s="15">
      <c r="B511" s="69" t="n"/>
      <c r="C511" s="69" t="n"/>
      <c r="D511" s="69" t="n"/>
      <c r="E511" s="70" t="n"/>
      <c r="F511" s="69" t="n"/>
      <c r="G511" s="69" t="n"/>
      <c r="H511" s="69" t="n"/>
      <c r="I511" s="69" t="n"/>
      <c r="J511" s="69" t="n"/>
      <c r="K511" s="69" t="n"/>
      <c r="L511" s="69" t="n"/>
      <c r="M511" s="69" t="n"/>
      <c r="N511" s="69" t="n"/>
      <c r="O511" s="69" t="n"/>
      <c r="P511" s="69" t="n"/>
    </row>
    <row r="512" hidden="1" outlineLevel="1" ht="15" customHeight="1" s="15">
      <c r="B512" s="69" t="n"/>
      <c r="C512" s="69" t="n"/>
      <c r="D512" s="69" t="n"/>
      <c r="E512" s="70" t="n"/>
      <c r="F512" s="69" t="n"/>
      <c r="G512" s="69" t="n"/>
      <c r="H512" s="69" t="n"/>
      <c r="I512" s="69" t="n"/>
      <c r="J512" s="69" t="n"/>
      <c r="K512" s="69" t="n"/>
      <c r="L512" s="69" t="n"/>
      <c r="M512" s="69" t="n"/>
      <c r="N512" s="69" t="n"/>
      <c r="O512" s="69" t="n"/>
      <c r="P512" s="69" t="n"/>
    </row>
    <row r="513" hidden="1" outlineLevel="1" ht="15" customHeight="1" s="15">
      <c r="B513" s="69" t="n"/>
      <c r="C513" s="69" t="n"/>
      <c r="D513" s="69" t="n"/>
      <c r="E513" s="70" t="n"/>
      <c r="F513" s="69" t="n"/>
      <c r="G513" s="69" t="n"/>
      <c r="H513" s="69" t="n"/>
      <c r="I513" s="69" t="n"/>
      <c r="J513" s="69" t="n"/>
      <c r="K513" s="69" t="n"/>
      <c r="L513" s="69" t="n"/>
      <c r="M513" s="69" t="n"/>
      <c r="N513" s="69" t="n"/>
      <c r="O513" s="69" t="n"/>
      <c r="P513" s="69" t="n"/>
    </row>
    <row r="514" hidden="1" outlineLevel="1" ht="15" customHeight="1" s="15">
      <c r="B514" s="69" t="n"/>
      <c r="C514" s="69" t="n"/>
      <c r="D514" s="69" t="n"/>
      <c r="E514" s="70" t="n"/>
      <c r="F514" s="69" t="n"/>
      <c r="G514" s="69" t="n"/>
      <c r="H514" s="69" t="n"/>
      <c r="I514" s="69" t="n"/>
      <c r="J514" s="69" t="n"/>
      <c r="K514" s="69" t="n"/>
      <c r="L514" s="69" t="n"/>
      <c r="M514" s="69" t="n"/>
      <c r="N514" s="69" t="n"/>
      <c r="O514" s="69" t="n"/>
      <c r="P514" s="69" t="n"/>
    </row>
    <row r="515" hidden="1" outlineLevel="1" ht="15" customHeight="1" s="15">
      <c r="B515" s="69" t="n"/>
      <c r="C515" s="69" t="n"/>
      <c r="D515" s="69" t="n"/>
      <c r="E515" s="70" t="n"/>
      <c r="F515" s="69" t="n"/>
      <c r="G515" s="69" t="n"/>
      <c r="H515" s="69" t="n"/>
      <c r="I515" s="69" t="n"/>
      <c r="J515" s="69" t="n"/>
      <c r="K515" s="69" t="n"/>
      <c r="L515" s="69" t="n"/>
      <c r="M515" s="69" t="n"/>
      <c r="N515" s="69" t="n"/>
      <c r="O515" s="69" t="n"/>
      <c r="P515" s="69" t="n"/>
    </row>
    <row r="516" hidden="1" outlineLevel="1" ht="15" customHeight="1" s="15">
      <c r="B516" s="69" t="n"/>
      <c r="C516" s="69" t="n"/>
      <c r="D516" s="69" t="n"/>
      <c r="E516" s="70" t="n"/>
      <c r="F516" s="69" t="n"/>
      <c r="G516" s="69" t="n"/>
      <c r="H516" s="69" t="n"/>
      <c r="I516" s="69" t="n"/>
      <c r="J516" s="69" t="n"/>
      <c r="K516" s="69" t="n"/>
      <c r="L516" s="69" t="n"/>
      <c r="M516" s="69" t="n"/>
      <c r="N516" s="69" t="n"/>
      <c r="O516" s="69" t="n"/>
      <c r="P516" s="69" t="n"/>
    </row>
    <row r="517" hidden="1" outlineLevel="1" ht="15" customHeight="1" s="15">
      <c r="B517" s="69" t="n"/>
      <c r="C517" s="69" t="n"/>
      <c r="D517" s="69" t="n"/>
      <c r="E517" s="70" t="n"/>
      <c r="F517" s="69" t="n"/>
      <c r="G517" s="69" t="n"/>
      <c r="H517" s="69" t="n"/>
      <c r="I517" s="69" t="n"/>
      <c r="J517" s="69" t="n"/>
      <c r="K517" s="69" t="n"/>
      <c r="L517" s="69" t="n"/>
      <c r="M517" s="69" t="n"/>
      <c r="N517" s="69" t="n"/>
      <c r="O517" s="69" t="n"/>
      <c r="P517" s="69" t="n"/>
    </row>
    <row r="518" hidden="1" outlineLevel="1" ht="15" customHeight="1" s="15">
      <c r="B518" s="69" t="n"/>
      <c r="C518" s="69" t="n"/>
      <c r="D518" s="69" t="n"/>
      <c r="E518" s="70" t="n"/>
      <c r="F518" s="69" t="n"/>
      <c r="G518" s="69" t="n"/>
      <c r="H518" s="69" t="n"/>
      <c r="I518" s="69" t="n"/>
      <c r="J518" s="69" t="n"/>
      <c r="K518" s="69" t="n"/>
      <c r="L518" s="69" t="n"/>
      <c r="M518" s="69" t="n"/>
      <c r="N518" s="69" t="n"/>
      <c r="O518" s="69" t="n"/>
      <c r="P518" s="69" t="n"/>
    </row>
    <row r="519" hidden="1" outlineLevel="1" ht="15" customHeight="1" s="15">
      <c r="B519" s="69" t="n"/>
      <c r="C519" s="69" t="n"/>
      <c r="D519" s="69" t="n"/>
      <c r="E519" s="70" t="n"/>
      <c r="F519" s="69" t="n"/>
      <c r="G519" s="69" t="n"/>
      <c r="H519" s="69" t="n"/>
      <c r="I519" s="69" t="n"/>
      <c r="J519" s="69" t="n"/>
      <c r="K519" s="69" t="n"/>
      <c r="L519" s="69" t="n"/>
      <c r="M519" s="69" t="n"/>
      <c r="N519" s="69" t="n"/>
      <c r="O519" s="69" t="n"/>
      <c r="P519" s="69" t="n"/>
    </row>
    <row r="520" hidden="1" outlineLevel="1" ht="15" customHeight="1" s="15">
      <c r="B520" s="69" t="n"/>
      <c r="C520" s="69" t="n"/>
      <c r="D520" s="69" t="n"/>
      <c r="E520" s="70" t="n"/>
      <c r="F520" s="69" t="n"/>
      <c r="G520" s="69" t="n"/>
      <c r="H520" s="69" t="n"/>
      <c r="I520" s="69" t="n"/>
      <c r="J520" s="69" t="n"/>
      <c r="K520" s="69" t="n"/>
      <c r="L520" s="69" t="n"/>
      <c r="M520" s="69" t="n"/>
      <c r="N520" s="69" t="n"/>
      <c r="O520" s="69" t="n"/>
      <c r="P520" s="69" t="n"/>
    </row>
    <row r="521" hidden="1" outlineLevel="1" ht="15" customHeight="1" s="15">
      <c r="B521" s="69" t="n"/>
      <c r="C521" s="69" t="n"/>
      <c r="D521" s="69" t="n"/>
      <c r="E521" s="70" t="n"/>
      <c r="F521" s="69" t="n"/>
      <c r="G521" s="69" t="n"/>
      <c r="H521" s="69" t="n"/>
      <c r="I521" s="69" t="n"/>
      <c r="J521" s="69" t="n"/>
      <c r="K521" s="69" t="n"/>
      <c r="L521" s="69" t="n"/>
      <c r="M521" s="69" t="n"/>
      <c r="N521" s="69" t="n"/>
      <c r="O521" s="69" t="n"/>
      <c r="P521" s="69" t="n"/>
    </row>
    <row r="522" hidden="1" outlineLevel="1" ht="15" customHeight="1" s="15">
      <c r="B522" s="69" t="n"/>
      <c r="C522" s="69" t="n"/>
      <c r="D522" s="69" t="n"/>
      <c r="E522" s="70" t="n"/>
      <c r="F522" s="69" t="n"/>
      <c r="G522" s="69" t="n"/>
      <c r="H522" s="69" t="n"/>
      <c r="I522" s="69" t="n"/>
      <c r="J522" s="69" t="n"/>
      <c r="K522" s="69" t="n"/>
      <c r="L522" s="69" t="n"/>
      <c r="M522" s="69" t="n"/>
      <c r="N522" s="69" t="n"/>
      <c r="O522" s="69" t="n"/>
      <c r="P522" s="69" t="n"/>
    </row>
    <row r="523" hidden="1" outlineLevel="1" ht="15" customHeight="1" s="15">
      <c r="B523" s="69" t="n"/>
      <c r="C523" s="69" t="n"/>
      <c r="D523" s="69" t="n"/>
      <c r="E523" s="70" t="n"/>
      <c r="F523" s="69" t="n"/>
      <c r="G523" s="69" t="n"/>
      <c r="H523" s="69" t="n"/>
      <c r="I523" s="69" t="n"/>
      <c r="J523" s="69" t="n"/>
      <c r="K523" s="69" t="n"/>
      <c r="L523" s="69" t="n"/>
      <c r="M523" s="69" t="n"/>
      <c r="N523" s="69" t="n"/>
      <c r="O523" s="69" t="n"/>
      <c r="P523" s="69" t="n"/>
    </row>
    <row r="524" hidden="1" outlineLevel="1" ht="15" customHeight="1" s="15">
      <c r="B524" s="69" t="n"/>
      <c r="C524" s="69" t="n"/>
      <c r="D524" s="69" t="n"/>
      <c r="E524" s="70" t="n"/>
      <c r="F524" s="69" t="n"/>
      <c r="G524" s="69" t="n"/>
      <c r="H524" s="69" t="n"/>
      <c r="I524" s="69" t="n"/>
      <c r="J524" s="69" t="n"/>
      <c r="K524" s="69" t="n"/>
      <c r="L524" s="69" t="n"/>
      <c r="M524" s="69" t="n"/>
      <c r="N524" s="69" t="n"/>
      <c r="O524" s="69" t="n"/>
      <c r="P524" s="69" t="n"/>
    </row>
    <row r="525" hidden="1" outlineLevel="1" ht="15" customHeight="1" s="15">
      <c r="B525" s="69" t="n"/>
      <c r="C525" s="69" t="n"/>
      <c r="D525" s="69" t="n"/>
      <c r="E525" s="70" t="n"/>
      <c r="F525" s="69" t="n"/>
      <c r="G525" s="69" t="n"/>
      <c r="H525" s="69" t="n"/>
      <c r="I525" s="69" t="n"/>
      <c r="J525" s="69" t="n"/>
      <c r="K525" s="69" t="n"/>
      <c r="L525" s="69" t="n"/>
      <c r="M525" s="69" t="n"/>
      <c r="N525" s="69" t="n"/>
      <c r="O525" s="69" t="n"/>
      <c r="P525" s="69" t="n"/>
    </row>
    <row r="526" hidden="1" outlineLevel="1" ht="15" customHeight="1" s="15">
      <c r="B526" s="69" t="n"/>
      <c r="C526" s="69" t="n"/>
      <c r="D526" s="69" t="n"/>
      <c r="E526" s="70" t="n"/>
      <c r="F526" s="69" t="n"/>
      <c r="G526" s="69" t="n"/>
      <c r="H526" s="69" t="n"/>
      <c r="I526" s="69" t="n"/>
      <c r="J526" s="69" t="n"/>
      <c r="K526" s="69" t="n"/>
      <c r="L526" s="69" t="n"/>
      <c r="M526" s="69" t="n"/>
      <c r="N526" s="69" t="n"/>
      <c r="O526" s="69" t="n"/>
      <c r="P526" s="69" t="n"/>
    </row>
    <row r="527" hidden="1" outlineLevel="1" ht="15" customHeight="1" s="15">
      <c r="B527" s="69" t="n"/>
      <c r="C527" s="69" t="n"/>
      <c r="D527" s="69" t="n"/>
      <c r="E527" s="70" t="n"/>
      <c r="F527" s="69" t="n"/>
      <c r="G527" s="69" t="n"/>
      <c r="H527" s="69" t="n"/>
      <c r="I527" s="69" t="n"/>
      <c r="J527" s="69" t="n"/>
      <c r="K527" s="69" t="n"/>
      <c r="L527" s="69" t="n"/>
      <c r="M527" s="69" t="n"/>
      <c r="N527" s="69" t="n"/>
      <c r="O527" s="69" t="n"/>
      <c r="P527" s="69" t="n"/>
    </row>
    <row r="528" hidden="1" outlineLevel="1" ht="15" customHeight="1" s="15">
      <c r="B528" s="69" t="n"/>
      <c r="C528" s="69" t="n"/>
      <c r="D528" s="69" t="n"/>
      <c r="E528" s="70" t="n"/>
      <c r="F528" s="69" t="n"/>
      <c r="G528" s="69" t="n"/>
      <c r="H528" s="69" t="n"/>
      <c r="I528" s="69" t="n"/>
      <c r="J528" s="69" t="n"/>
      <c r="K528" s="69" t="n"/>
      <c r="L528" s="69" t="n"/>
      <c r="M528" s="69" t="n"/>
      <c r="N528" s="69" t="n"/>
      <c r="O528" s="69" t="n"/>
      <c r="P528" s="69" t="n"/>
    </row>
    <row r="529" hidden="1" outlineLevel="1" ht="15" customHeight="1" s="15">
      <c r="B529" s="69" t="n"/>
      <c r="C529" s="69" t="n"/>
      <c r="D529" s="69" t="n"/>
      <c r="E529" s="70" t="n"/>
      <c r="F529" s="69" t="n"/>
      <c r="G529" s="69" t="n"/>
      <c r="H529" s="69" t="n"/>
      <c r="I529" s="69" t="n"/>
      <c r="J529" s="69" t="n"/>
      <c r="K529" s="69" t="n"/>
      <c r="L529" s="69" t="n"/>
      <c r="M529" s="69" t="n"/>
      <c r="N529" s="69" t="n"/>
      <c r="O529" s="69" t="n"/>
      <c r="P529" s="69" t="n"/>
    </row>
    <row r="530" hidden="1" outlineLevel="1" ht="15" customHeight="1" s="15">
      <c r="B530" s="69" t="n"/>
      <c r="C530" s="69" t="n"/>
      <c r="D530" s="69" t="n"/>
      <c r="E530" s="70" t="n"/>
      <c r="F530" s="69" t="n"/>
      <c r="G530" s="69" t="n"/>
      <c r="H530" s="69" t="n"/>
      <c r="I530" s="69" t="n"/>
      <c r="J530" s="69" t="n"/>
      <c r="K530" s="69" t="n"/>
      <c r="L530" s="69" t="n"/>
      <c r="M530" s="69" t="n"/>
      <c r="N530" s="69" t="n"/>
      <c r="O530" s="69" t="n"/>
      <c r="P530" s="69" t="n"/>
    </row>
    <row r="531" hidden="1" outlineLevel="1" ht="15" customHeight="1" s="15">
      <c r="B531" s="69" t="n"/>
      <c r="C531" s="69" t="n"/>
      <c r="D531" s="69" t="n"/>
      <c r="E531" s="70" t="n"/>
      <c r="F531" s="69" t="n"/>
      <c r="G531" s="69" t="n"/>
      <c r="H531" s="69" t="n"/>
      <c r="I531" s="69" t="n"/>
      <c r="J531" s="69" t="n"/>
      <c r="K531" s="69" t="n"/>
      <c r="L531" s="69" t="n"/>
      <c r="M531" s="69" t="n"/>
      <c r="N531" s="69" t="n"/>
      <c r="O531" s="69" t="n"/>
      <c r="P531" s="69" t="n"/>
    </row>
    <row r="532" hidden="1" outlineLevel="1" ht="15" customHeight="1" s="15">
      <c r="B532" s="69" t="n"/>
      <c r="C532" s="69" t="n"/>
      <c r="D532" s="69" t="n"/>
      <c r="E532" s="70" t="n"/>
      <c r="F532" s="69" t="n"/>
      <c r="G532" s="69" t="n"/>
      <c r="H532" s="69" t="n"/>
      <c r="I532" s="69" t="n"/>
      <c r="J532" s="69" t="n"/>
      <c r="K532" s="69" t="n"/>
      <c r="L532" s="69" t="n"/>
      <c r="M532" s="69" t="n"/>
      <c r="N532" s="69" t="n"/>
      <c r="O532" s="69" t="n"/>
      <c r="P532" s="69" t="n"/>
    </row>
    <row r="533" hidden="1" outlineLevel="1" ht="15" customHeight="1" s="15">
      <c r="B533" s="69" t="n"/>
      <c r="C533" s="69" t="n"/>
      <c r="D533" s="69" t="n"/>
      <c r="E533" s="70" t="n"/>
      <c r="F533" s="69" t="n"/>
      <c r="G533" s="69" t="n"/>
      <c r="H533" s="69" t="n"/>
      <c r="I533" s="69" t="n"/>
      <c r="J533" s="69" t="n"/>
      <c r="K533" s="69" t="n"/>
      <c r="L533" s="69" t="n"/>
      <c r="M533" s="69" t="n"/>
      <c r="N533" s="69" t="n"/>
      <c r="O533" s="69" t="n"/>
      <c r="P533" s="69" t="n"/>
    </row>
    <row r="534" hidden="1" outlineLevel="1" ht="15" customHeight="1" s="15">
      <c r="B534" s="69" t="n"/>
      <c r="C534" s="69" t="n"/>
      <c r="D534" s="69" t="n"/>
      <c r="E534" s="70" t="n"/>
      <c r="F534" s="69" t="n"/>
      <c r="G534" s="69" t="n"/>
      <c r="H534" s="69" t="n"/>
      <c r="I534" s="69" t="n"/>
      <c r="J534" s="69" t="n"/>
      <c r="K534" s="69" t="n"/>
      <c r="L534" s="69" t="n"/>
      <c r="M534" s="69" t="n"/>
      <c r="N534" s="69" t="n"/>
      <c r="O534" s="69" t="n"/>
      <c r="P534" s="69" t="n"/>
    </row>
    <row r="535" hidden="1" outlineLevel="1" ht="15" customHeight="1" s="15">
      <c r="B535" s="69" t="n"/>
      <c r="C535" s="69" t="n"/>
      <c r="D535" s="69" t="n"/>
      <c r="E535" s="70" t="n"/>
      <c r="F535" s="69" t="n"/>
      <c r="G535" s="69" t="n"/>
      <c r="H535" s="69" t="n"/>
      <c r="I535" s="69" t="n"/>
      <c r="J535" s="69" t="n"/>
      <c r="K535" s="69" t="n"/>
      <c r="L535" s="69" t="n"/>
      <c r="M535" s="69" t="n"/>
      <c r="N535" s="69" t="n"/>
      <c r="O535" s="69" t="n"/>
      <c r="P535" s="69" t="n"/>
    </row>
    <row r="536" hidden="1" outlineLevel="1" ht="15" customHeight="1" s="15">
      <c r="B536" s="69" t="n"/>
      <c r="C536" s="69" t="n"/>
      <c r="D536" s="69" t="n"/>
      <c r="E536" s="70" t="n"/>
      <c r="F536" s="69" t="n"/>
      <c r="G536" s="69" t="n"/>
      <c r="H536" s="69" t="n"/>
      <c r="I536" s="69" t="n"/>
      <c r="J536" s="69" t="n"/>
      <c r="K536" s="69" t="n"/>
      <c r="L536" s="69" t="n"/>
      <c r="M536" s="69" t="n"/>
      <c r="N536" s="69" t="n"/>
      <c r="O536" s="69" t="n"/>
      <c r="P536" s="69" t="n"/>
    </row>
    <row r="537" hidden="1" outlineLevel="1" ht="15" customHeight="1" s="15">
      <c r="B537" s="69" t="n"/>
      <c r="C537" s="69" t="n"/>
      <c r="D537" s="69" t="n"/>
      <c r="E537" s="70" t="n"/>
      <c r="F537" s="69" t="n"/>
      <c r="G537" s="69" t="n"/>
      <c r="H537" s="69" t="n"/>
      <c r="I537" s="69" t="n"/>
      <c r="J537" s="69" t="n"/>
      <c r="K537" s="69" t="n"/>
      <c r="L537" s="69" t="n"/>
      <c r="M537" s="69" t="n"/>
      <c r="N537" s="69" t="n"/>
      <c r="O537" s="69" t="n"/>
      <c r="P537" s="69" t="n"/>
    </row>
    <row r="538" collapsed="1" ht="19.5" customHeight="1" s="15">
      <c r="B538" s="6" t="inlineStr">
        <is>
          <t>ℹ  Coller ici (Collage spécial &gt; Valeurs) les lignes agents de JOURNAL pour Août — fond bleu-gris = zone d'archive, pas de formule.</t>
        </is>
      </c>
    </row>
    <row r="540" ht="19.5" customHeight="1" s="15">
      <c r="B540" s="4" t="inlineStr">
        <is>
          <t xml:space="preserve">  SEPTEMBRE — bloc à remplir à la clôture</t>
        </is>
      </c>
    </row>
    <row r="541" ht="25.5" customHeight="1" s="15">
      <c r="B541" s="40" t="inlineStr">
        <is>
          <t>Année</t>
        </is>
      </c>
      <c r="C541" s="40" t="inlineStr">
        <is>
          <t>Mois</t>
        </is>
      </c>
      <c r="D541" s="40" t="inlineStr">
        <is>
          <t>Matricule</t>
        </is>
      </c>
      <c r="E541" s="40" t="inlineStr">
        <is>
          <t>Nom</t>
        </is>
      </c>
      <c r="F541" s="40" t="inlineStr">
        <is>
          <t>BRUT</t>
        </is>
      </c>
      <c r="G541" s="40" t="inlineStr">
        <is>
          <t>CNSS salariale</t>
        </is>
      </c>
      <c r="H541" s="40" t="inlineStr">
        <is>
          <t>IPR</t>
        </is>
      </c>
      <c r="I541" s="40" t="inlineStr">
        <is>
          <t>NET avant retenues</t>
        </is>
      </c>
      <c r="J541" s="40" t="inlineStr">
        <is>
          <t>Avance</t>
        </is>
      </c>
      <c r="K541" s="40" t="inlineStr">
        <is>
          <t>Retenues diverses</t>
        </is>
      </c>
      <c r="L541" s="40" t="inlineStr">
        <is>
          <t>NET À PAYER</t>
        </is>
      </c>
      <c r="M541" s="40" t="inlineStr">
        <is>
          <t>CNSS patronale</t>
        </is>
      </c>
      <c r="N541" s="40" t="inlineStr">
        <is>
          <t>INPP</t>
        </is>
      </c>
      <c r="O541" s="40" t="inlineStr">
        <is>
          <t>ONEM</t>
        </is>
      </c>
      <c r="P541" s="40" t="inlineStr">
        <is>
          <t>Coût total employeur</t>
        </is>
      </c>
    </row>
    <row r="542" hidden="1" outlineLevel="1" ht="15" customHeight="1" s="15">
      <c r="B542" s="69" t="n"/>
      <c r="C542" s="69" t="n"/>
      <c r="D542" s="69" t="n"/>
      <c r="E542" s="70" t="n"/>
      <c r="F542" s="69" t="n"/>
      <c r="G542" s="69" t="n"/>
      <c r="H542" s="69" t="n"/>
      <c r="I542" s="69" t="n"/>
      <c r="J542" s="69" t="n"/>
      <c r="K542" s="69" t="n"/>
      <c r="L542" s="69" t="n"/>
      <c r="M542" s="69" t="n"/>
      <c r="N542" s="69" t="n"/>
      <c r="O542" s="69" t="n"/>
      <c r="P542" s="69" t="n"/>
    </row>
    <row r="543" hidden="1" outlineLevel="1" ht="15" customHeight="1" s="15">
      <c r="B543" s="69" t="n"/>
      <c r="C543" s="69" t="n"/>
      <c r="D543" s="69" t="n"/>
      <c r="E543" s="70" t="n"/>
      <c r="F543" s="69" t="n"/>
      <c r="G543" s="69" t="n"/>
      <c r="H543" s="69" t="n"/>
      <c r="I543" s="69" t="n"/>
      <c r="J543" s="69" t="n"/>
      <c r="K543" s="69" t="n"/>
      <c r="L543" s="69" t="n"/>
      <c r="M543" s="69" t="n"/>
      <c r="N543" s="69" t="n"/>
      <c r="O543" s="69" t="n"/>
      <c r="P543" s="69" t="n"/>
    </row>
    <row r="544" hidden="1" outlineLevel="1" ht="15" customHeight="1" s="15">
      <c r="B544" s="69" t="n"/>
      <c r="C544" s="69" t="n"/>
      <c r="D544" s="69" t="n"/>
      <c r="E544" s="70" t="n"/>
      <c r="F544" s="69" t="n"/>
      <c r="G544" s="69" t="n"/>
      <c r="H544" s="69" t="n"/>
      <c r="I544" s="69" t="n"/>
      <c r="J544" s="69" t="n"/>
      <c r="K544" s="69" t="n"/>
      <c r="L544" s="69" t="n"/>
      <c r="M544" s="69" t="n"/>
      <c r="N544" s="69" t="n"/>
      <c r="O544" s="69" t="n"/>
      <c r="P544" s="69" t="n"/>
    </row>
    <row r="545" hidden="1" outlineLevel="1" ht="15" customHeight="1" s="15">
      <c r="B545" s="69" t="n"/>
      <c r="C545" s="69" t="n"/>
      <c r="D545" s="69" t="n"/>
      <c r="E545" s="70" t="n"/>
      <c r="F545" s="69" t="n"/>
      <c r="G545" s="69" t="n"/>
      <c r="H545" s="69" t="n"/>
      <c r="I545" s="69" t="n"/>
      <c r="J545" s="69" t="n"/>
      <c r="K545" s="69" t="n"/>
      <c r="L545" s="69" t="n"/>
      <c r="M545" s="69" t="n"/>
      <c r="N545" s="69" t="n"/>
      <c r="O545" s="69" t="n"/>
      <c r="P545" s="69" t="n"/>
    </row>
    <row r="546" hidden="1" outlineLevel="1" ht="15" customHeight="1" s="15">
      <c r="B546" s="69" t="n"/>
      <c r="C546" s="69" t="n"/>
      <c r="D546" s="69" t="n"/>
      <c r="E546" s="70" t="n"/>
      <c r="F546" s="69" t="n"/>
      <c r="G546" s="69" t="n"/>
      <c r="H546" s="69" t="n"/>
      <c r="I546" s="69" t="n"/>
      <c r="J546" s="69" t="n"/>
      <c r="K546" s="69" t="n"/>
      <c r="L546" s="69" t="n"/>
      <c r="M546" s="69" t="n"/>
      <c r="N546" s="69" t="n"/>
      <c r="O546" s="69" t="n"/>
      <c r="P546" s="69" t="n"/>
    </row>
    <row r="547" hidden="1" outlineLevel="1" ht="15" customHeight="1" s="15">
      <c r="B547" s="69" t="n"/>
      <c r="C547" s="69" t="n"/>
      <c r="D547" s="69" t="n"/>
      <c r="E547" s="70" t="n"/>
      <c r="F547" s="69" t="n"/>
      <c r="G547" s="69" t="n"/>
      <c r="H547" s="69" t="n"/>
      <c r="I547" s="69" t="n"/>
      <c r="J547" s="69" t="n"/>
      <c r="K547" s="69" t="n"/>
      <c r="L547" s="69" t="n"/>
      <c r="M547" s="69" t="n"/>
      <c r="N547" s="69" t="n"/>
      <c r="O547" s="69" t="n"/>
      <c r="P547" s="69" t="n"/>
    </row>
    <row r="548" hidden="1" outlineLevel="1" ht="15" customHeight="1" s="15">
      <c r="B548" s="69" t="n"/>
      <c r="C548" s="69" t="n"/>
      <c r="D548" s="69" t="n"/>
      <c r="E548" s="70" t="n"/>
      <c r="F548" s="69" t="n"/>
      <c r="G548" s="69" t="n"/>
      <c r="H548" s="69" t="n"/>
      <c r="I548" s="69" t="n"/>
      <c r="J548" s="69" t="n"/>
      <c r="K548" s="69" t="n"/>
      <c r="L548" s="69" t="n"/>
      <c r="M548" s="69" t="n"/>
      <c r="N548" s="69" t="n"/>
      <c r="O548" s="69" t="n"/>
      <c r="P548" s="69" t="n"/>
    </row>
    <row r="549" hidden="1" outlineLevel="1" ht="15" customHeight="1" s="15">
      <c r="B549" s="69" t="n"/>
      <c r="C549" s="69" t="n"/>
      <c r="D549" s="69" t="n"/>
      <c r="E549" s="70" t="n"/>
      <c r="F549" s="69" t="n"/>
      <c r="G549" s="69" t="n"/>
      <c r="H549" s="69" t="n"/>
      <c r="I549" s="69" t="n"/>
      <c r="J549" s="69" t="n"/>
      <c r="K549" s="69" t="n"/>
      <c r="L549" s="69" t="n"/>
      <c r="M549" s="69" t="n"/>
      <c r="N549" s="69" t="n"/>
      <c r="O549" s="69" t="n"/>
      <c r="P549" s="69" t="n"/>
    </row>
    <row r="550" hidden="1" outlineLevel="1" ht="15" customHeight="1" s="15">
      <c r="B550" s="69" t="n"/>
      <c r="C550" s="69" t="n"/>
      <c r="D550" s="69" t="n"/>
      <c r="E550" s="70" t="n"/>
      <c r="F550" s="69" t="n"/>
      <c r="G550" s="69" t="n"/>
      <c r="H550" s="69" t="n"/>
      <c r="I550" s="69" t="n"/>
      <c r="J550" s="69" t="n"/>
      <c r="K550" s="69" t="n"/>
      <c r="L550" s="69" t="n"/>
      <c r="M550" s="69" t="n"/>
      <c r="N550" s="69" t="n"/>
      <c r="O550" s="69" t="n"/>
      <c r="P550" s="69" t="n"/>
    </row>
    <row r="551" hidden="1" outlineLevel="1" ht="15" customHeight="1" s="15">
      <c r="B551" s="69" t="n"/>
      <c r="C551" s="69" t="n"/>
      <c r="D551" s="69" t="n"/>
      <c r="E551" s="70" t="n"/>
      <c r="F551" s="69" t="n"/>
      <c r="G551" s="69" t="n"/>
      <c r="H551" s="69" t="n"/>
      <c r="I551" s="69" t="n"/>
      <c r="J551" s="69" t="n"/>
      <c r="K551" s="69" t="n"/>
      <c r="L551" s="69" t="n"/>
      <c r="M551" s="69" t="n"/>
      <c r="N551" s="69" t="n"/>
      <c r="O551" s="69" t="n"/>
      <c r="P551" s="69" t="n"/>
    </row>
    <row r="552" hidden="1" outlineLevel="1" ht="15" customHeight="1" s="15">
      <c r="B552" s="69" t="n"/>
      <c r="C552" s="69" t="n"/>
      <c r="D552" s="69" t="n"/>
      <c r="E552" s="70" t="n"/>
      <c r="F552" s="69" t="n"/>
      <c r="G552" s="69" t="n"/>
      <c r="H552" s="69" t="n"/>
      <c r="I552" s="69" t="n"/>
      <c r="J552" s="69" t="n"/>
      <c r="K552" s="69" t="n"/>
      <c r="L552" s="69" t="n"/>
      <c r="M552" s="69" t="n"/>
      <c r="N552" s="69" t="n"/>
      <c r="O552" s="69" t="n"/>
      <c r="P552" s="69" t="n"/>
    </row>
    <row r="553" hidden="1" outlineLevel="1" ht="15" customHeight="1" s="15">
      <c r="B553" s="69" t="n"/>
      <c r="C553" s="69" t="n"/>
      <c r="D553" s="69" t="n"/>
      <c r="E553" s="70" t="n"/>
      <c r="F553" s="69" t="n"/>
      <c r="G553" s="69" t="n"/>
      <c r="H553" s="69" t="n"/>
      <c r="I553" s="69" t="n"/>
      <c r="J553" s="69" t="n"/>
      <c r="K553" s="69" t="n"/>
      <c r="L553" s="69" t="n"/>
      <c r="M553" s="69" t="n"/>
      <c r="N553" s="69" t="n"/>
      <c r="O553" s="69" t="n"/>
      <c r="P553" s="69" t="n"/>
    </row>
    <row r="554" hidden="1" outlineLevel="1" ht="15" customHeight="1" s="15">
      <c r="B554" s="69" t="n"/>
      <c r="C554" s="69" t="n"/>
      <c r="D554" s="69" t="n"/>
      <c r="E554" s="70" t="n"/>
      <c r="F554" s="69" t="n"/>
      <c r="G554" s="69" t="n"/>
      <c r="H554" s="69" t="n"/>
      <c r="I554" s="69" t="n"/>
      <c r="J554" s="69" t="n"/>
      <c r="K554" s="69" t="n"/>
      <c r="L554" s="69" t="n"/>
      <c r="M554" s="69" t="n"/>
      <c r="N554" s="69" t="n"/>
      <c r="O554" s="69" t="n"/>
      <c r="P554" s="69" t="n"/>
    </row>
    <row r="555" hidden="1" outlineLevel="1" ht="15" customHeight="1" s="15">
      <c r="B555" s="69" t="n"/>
      <c r="C555" s="69" t="n"/>
      <c r="D555" s="69" t="n"/>
      <c r="E555" s="70" t="n"/>
      <c r="F555" s="69" t="n"/>
      <c r="G555" s="69" t="n"/>
      <c r="H555" s="69" t="n"/>
      <c r="I555" s="69" t="n"/>
      <c r="J555" s="69" t="n"/>
      <c r="K555" s="69" t="n"/>
      <c r="L555" s="69" t="n"/>
      <c r="M555" s="69" t="n"/>
      <c r="N555" s="69" t="n"/>
      <c r="O555" s="69" t="n"/>
      <c r="P555" s="69" t="n"/>
    </row>
    <row r="556" hidden="1" outlineLevel="1" ht="15" customHeight="1" s="15">
      <c r="B556" s="69" t="n"/>
      <c r="C556" s="69" t="n"/>
      <c r="D556" s="69" t="n"/>
      <c r="E556" s="70" t="n"/>
      <c r="F556" s="69" t="n"/>
      <c r="G556" s="69" t="n"/>
      <c r="H556" s="69" t="n"/>
      <c r="I556" s="69" t="n"/>
      <c r="J556" s="69" t="n"/>
      <c r="K556" s="69" t="n"/>
      <c r="L556" s="69" t="n"/>
      <c r="M556" s="69" t="n"/>
      <c r="N556" s="69" t="n"/>
      <c r="O556" s="69" t="n"/>
      <c r="P556" s="69" t="n"/>
    </row>
    <row r="557" hidden="1" outlineLevel="1" ht="15" customHeight="1" s="15">
      <c r="B557" s="69" t="n"/>
      <c r="C557" s="69" t="n"/>
      <c r="D557" s="69" t="n"/>
      <c r="E557" s="70" t="n"/>
      <c r="F557" s="69" t="n"/>
      <c r="G557" s="69" t="n"/>
      <c r="H557" s="69" t="n"/>
      <c r="I557" s="69" t="n"/>
      <c r="J557" s="69" t="n"/>
      <c r="K557" s="69" t="n"/>
      <c r="L557" s="69" t="n"/>
      <c r="M557" s="69" t="n"/>
      <c r="N557" s="69" t="n"/>
      <c r="O557" s="69" t="n"/>
      <c r="P557" s="69" t="n"/>
    </row>
    <row r="558" hidden="1" outlineLevel="1" ht="15" customHeight="1" s="15">
      <c r="B558" s="69" t="n"/>
      <c r="C558" s="69" t="n"/>
      <c r="D558" s="69" t="n"/>
      <c r="E558" s="70" t="n"/>
      <c r="F558" s="69" t="n"/>
      <c r="G558" s="69" t="n"/>
      <c r="H558" s="69" t="n"/>
      <c r="I558" s="69" t="n"/>
      <c r="J558" s="69" t="n"/>
      <c r="K558" s="69" t="n"/>
      <c r="L558" s="69" t="n"/>
      <c r="M558" s="69" t="n"/>
      <c r="N558" s="69" t="n"/>
      <c r="O558" s="69" t="n"/>
      <c r="P558" s="69" t="n"/>
    </row>
    <row r="559" hidden="1" outlineLevel="1" ht="15" customHeight="1" s="15">
      <c r="B559" s="69" t="n"/>
      <c r="C559" s="69" t="n"/>
      <c r="D559" s="69" t="n"/>
      <c r="E559" s="70" t="n"/>
      <c r="F559" s="69" t="n"/>
      <c r="G559" s="69" t="n"/>
      <c r="H559" s="69" t="n"/>
      <c r="I559" s="69" t="n"/>
      <c r="J559" s="69" t="n"/>
      <c r="K559" s="69" t="n"/>
      <c r="L559" s="69" t="n"/>
      <c r="M559" s="69" t="n"/>
      <c r="N559" s="69" t="n"/>
      <c r="O559" s="69" t="n"/>
      <c r="P559" s="69" t="n"/>
    </row>
    <row r="560" hidden="1" outlineLevel="1" ht="15" customHeight="1" s="15">
      <c r="B560" s="69" t="n"/>
      <c r="C560" s="69" t="n"/>
      <c r="D560" s="69" t="n"/>
      <c r="E560" s="70" t="n"/>
      <c r="F560" s="69" t="n"/>
      <c r="G560" s="69" t="n"/>
      <c r="H560" s="69" t="n"/>
      <c r="I560" s="69" t="n"/>
      <c r="J560" s="69" t="n"/>
      <c r="K560" s="69" t="n"/>
      <c r="L560" s="69" t="n"/>
      <c r="M560" s="69" t="n"/>
      <c r="N560" s="69" t="n"/>
      <c r="O560" s="69" t="n"/>
      <c r="P560" s="69" t="n"/>
    </row>
    <row r="561" hidden="1" outlineLevel="1" ht="15" customHeight="1" s="15">
      <c r="B561" s="69" t="n"/>
      <c r="C561" s="69" t="n"/>
      <c r="D561" s="69" t="n"/>
      <c r="E561" s="70" t="n"/>
      <c r="F561" s="69" t="n"/>
      <c r="G561" s="69" t="n"/>
      <c r="H561" s="69" t="n"/>
      <c r="I561" s="69" t="n"/>
      <c r="J561" s="69" t="n"/>
      <c r="K561" s="69" t="n"/>
      <c r="L561" s="69" t="n"/>
      <c r="M561" s="69" t="n"/>
      <c r="N561" s="69" t="n"/>
      <c r="O561" s="69" t="n"/>
      <c r="P561" s="69" t="n"/>
    </row>
    <row r="562" hidden="1" outlineLevel="1" ht="15" customHeight="1" s="15">
      <c r="B562" s="69" t="n"/>
      <c r="C562" s="69" t="n"/>
      <c r="D562" s="69" t="n"/>
      <c r="E562" s="70" t="n"/>
      <c r="F562" s="69" t="n"/>
      <c r="G562" s="69" t="n"/>
      <c r="H562" s="69" t="n"/>
      <c r="I562" s="69" t="n"/>
      <c r="J562" s="69" t="n"/>
      <c r="K562" s="69" t="n"/>
      <c r="L562" s="69" t="n"/>
      <c r="M562" s="69" t="n"/>
      <c r="N562" s="69" t="n"/>
      <c r="O562" s="69" t="n"/>
      <c r="P562" s="69" t="n"/>
    </row>
    <row r="563" hidden="1" outlineLevel="1" ht="15" customHeight="1" s="15">
      <c r="B563" s="69" t="n"/>
      <c r="C563" s="69" t="n"/>
      <c r="D563" s="69" t="n"/>
      <c r="E563" s="70" t="n"/>
      <c r="F563" s="69" t="n"/>
      <c r="G563" s="69" t="n"/>
      <c r="H563" s="69" t="n"/>
      <c r="I563" s="69" t="n"/>
      <c r="J563" s="69" t="n"/>
      <c r="K563" s="69" t="n"/>
      <c r="L563" s="69" t="n"/>
      <c r="M563" s="69" t="n"/>
      <c r="N563" s="69" t="n"/>
      <c r="O563" s="69" t="n"/>
      <c r="P563" s="69" t="n"/>
    </row>
    <row r="564" hidden="1" outlineLevel="1" ht="15" customHeight="1" s="15">
      <c r="B564" s="69" t="n"/>
      <c r="C564" s="69" t="n"/>
      <c r="D564" s="69" t="n"/>
      <c r="E564" s="70" t="n"/>
      <c r="F564" s="69" t="n"/>
      <c r="G564" s="69" t="n"/>
      <c r="H564" s="69" t="n"/>
      <c r="I564" s="69" t="n"/>
      <c r="J564" s="69" t="n"/>
      <c r="K564" s="69" t="n"/>
      <c r="L564" s="69" t="n"/>
      <c r="M564" s="69" t="n"/>
      <c r="N564" s="69" t="n"/>
      <c r="O564" s="69" t="n"/>
      <c r="P564" s="69" t="n"/>
    </row>
    <row r="565" hidden="1" outlineLevel="1" ht="15" customHeight="1" s="15">
      <c r="B565" s="69" t="n"/>
      <c r="C565" s="69" t="n"/>
      <c r="D565" s="69" t="n"/>
      <c r="E565" s="70" t="n"/>
      <c r="F565" s="69" t="n"/>
      <c r="G565" s="69" t="n"/>
      <c r="H565" s="69" t="n"/>
      <c r="I565" s="69" t="n"/>
      <c r="J565" s="69" t="n"/>
      <c r="K565" s="69" t="n"/>
      <c r="L565" s="69" t="n"/>
      <c r="M565" s="69" t="n"/>
      <c r="N565" s="69" t="n"/>
      <c r="O565" s="69" t="n"/>
      <c r="P565" s="69" t="n"/>
    </row>
    <row r="566" hidden="1" outlineLevel="1" ht="15" customHeight="1" s="15">
      <c r="B566" s="69" t="n"/>
      <c r="C566" s="69" t="n"/>
      <c r="D566" s="69" t="n"/>
      <c r="E566" s="70" t="n"/>
      <c r="F566" s="69" t="n"/>
      <c r="G566" s="69" t="n"/>
      <c r="H566" s="69" t="n"/>
      <c r="I566" s="69" t="n"/>
      <c r="J566" s="69" t="n"/>
      <c r="K566" s="69" t="n"/>
      <c r="L566" s="69" t="n"/>
      <c r="M566" s="69" t="n"/>
      <c r="N566" s="69" t="n"/>
      <c r="O566" s="69" t="n"/>
      <c r="P566" s="69" t="n"/>
    </row>
    <row r="567" hidden="1" outlineLevel="1" ht="15" customHeight="1" s="15">
      <c r="B567" s="69" t="n"/>
      <c r="C567" s="69" t="n"/>
      <c r="D567" s="69" t="n"/>
      <c r="E567" s="70" t="n"/>
      <c r="F567" s="69" t="n"/>
      <c r="G567" s="69" t="n"/>
      <c r="H567" s="69" t="n"/>
      <c r="I567" s="69" t="n"/>
      <c r="J567" s="69" t="n"/>
      <c r="K567" s="69" t="n"/>
      <c r="L567" s="69" t="n"/>
      <c r="M567" s="69" t="n"/>
      <c r="N567" s="69" t="n"/>
      <c r="O567" s="69" t="n"/>
      <c r="P567" s="69" t="n"/>
    </row>
    <row r="568" hidden="1" outlineLevel="1" ht="15" customHeight="1" s="15">
      <c r="B568" s="69" t="n"/>
      <c r="C568" s="69" t="n"/>
      <c r="D568" s="69" t="n"/>
      <c r="E568" s="70" t="n"/>
      <c r="F568" s="69" t="n"/>
      <c r="G568" s="69" t="n"/>
      <c r="H568" s="69" t="n"/>
      <c r="I568" s="69" t="n"/>
      <c r="J568" s="69" t="n"/>
      <c r="K568" s="69" t="n"/>
      <c r="L568" s="69" t="n"/>
      <c r="M568" s="69" t="n"/>
      <c r="N568" s="69" t="n"/>
      <c r="O568" s="69" t="n"/>
      <c r="P568" s="69" t="n"/>
    </row>
    <row r="569" hidden="1" outlineLevel="1" ht="15" customHeight="1" s="15">
      <c r="B569" s="69" t="n"/>
      <c r="C569" s="69" t="n"/>
      <c r="D569" s="69" t="n"/>
      <c r="E569" s="70" t="n"/>
      <c r="F569" s="69" t="n"/>
      <c r="G569" s="69" t="n"/>
      <c r="H569" s="69" t="n"/>
      <c r="I569" s="69" t="n"/>
      <c r="J569" s="69" t="n"/>
      <c r="K569" s="69" t="n"/>
      <c r="L569" s="69" t="n"/>
      <c r="M569" s="69" t="n"/>
      <c r="N569" s="69" t="n"/>
      <c r="O569" s="69" t="n"/>
      <c r="P569" s="69" t="n"/>
    </row>
    <row r="570" hidden="1" outlineLevel="1" ht="15" customHeight="1" s="15">
      <c r="B570" s="69" t="n"/>
      <c r="C570" s="69" t="n"/>
      <c r="D570" s="69" t="n"/>
      <c r="E570" s="70" t="n"/>
      <c r="F570" s="69" t="n"/>
      <c r="G570" s="69" t="n"/>
      <c r="H570" s="69" t="n"/>
      <c r="I570" s="69" t="n"/>
      <c r="J570" s="69" t="n"/>
      <c r="K570" s="69" t="n"/>
      <c r="L570" s="69" t="n"/>
      <c r="M570" s="69" t="n"/>
      <c r="N570" s="69" t="n"/>
      <c r="O570" s="69" t="n"/>
      <c r="P570" s="69" t="n"/>
    </row>
    <row r="571" hidden="1" outlineLevel="1" ht="15" customHeight="1" s="15">
      <c r="B571" s="69" t="n"/>
      <c r="C571" s="69" t="n"/>
      <c r="D571" s="69" t="n"/>
      <c r="E571" s="70" t="n"/>
      <c r="F571" s="69" t="n"/>
      <c r="G571" s="69" t="n"/>
      <c r="H571" s="69" t="n"/>
      <c r="I571" s="69" t="n"/>
      <c r="J571" s="69" t="n"/>
      <c r="K571" s="69" t="n"/>
      <c r="L571" s="69" t="n"/>
      <c r="M571" s="69" t="n"/>
      <c r="N571" s="69" t="n"/>
      <c r="O571" s="69" t="n"/>
      <c r="P571" s="69" t="n"/>
    </row>
    <row r="572" hidden="1" outlineLevel="1" ht="15" customHeight="1" s="15">
      <c r="B572" s="69" t="n"/>
      <c r="C572" s="69" t="n"/>
      <c r="D572" s="69" t="n"/>
      <c r="E572" s="70" t="n"/>
      <c r="F572" s="69" t="n"/>
      <c r="G572" s="69" t="n"/>
      <c r="H572" s="69" t="n"/>
      <c r="I572" s="69" t="n"/>
      <c r="J572" s="69" t="n"/>
      <c r="K572" s="69" t="n"/>
      <c r="L572" s="69" t="n"/>
      <c r="M572" s="69" t="n"/>
      <c r="N572" s="69" t="n"/>
      <c r="O572" s="69" t="n"/>
      <c r="P572" s="69" t="n"/>
    </row>
    <row r="573" hidden="1" outlineLevel="1" ht="15" customHeight="1" s="15">
      <c r="B573" s="69" t="n"/>
      <c r="C573" s="69" t="n"/>
      <c r="D573" s="69" t="n"/>
      <c r="E573" s="70" t="n"/>
      <c r="F573" s="69" t="n"/>
      <c r="G573" s="69" t="n"/>
      <c r="H573" s="69" t="n"/>
      <c r="I573" s="69" t="n"/>
      <c r="J573" s="69" t="n"/>
      <c r="K573" s="69" t="n"/>
      <c r="L573" s="69" t="n"/>
      <c r="M573" s="69" t="n"/>
      <c r="N573" s="69" t="n"/>
      <c r="O573" s="69" t="n"/>
      <c r="P573" s="69" t="n"/>
    </row>
    <row r="574" hidden="1" outlineLevel="1" ht="15" customHeight="1" s="15">
      <c r="B574" s="69" t="n"/>
      <c r="C574" s="69" t="n"/>
      <c r="D574" s="69" t="n"/>
      <c r="E574" s="70" t="n"/>
      <c r="F574" s="69" t="n"/>
      <c r="G574" s="69" t="n"/>
      <c r="H574" s="69" t="n"/>
      <c r="I574" s="69" t="n"/>
      <c r="J574" s="69" t="n"/>
      <c r="K574" s="69" t="n"/>
      <c r="L574" s="69" t="n"/>
      <c r="M574" s="69" t="n"/>
      <c r="N574" s="69" t="n"/>
      <c r="O574" s="69" t="n"/>
      <c r="P574" s="69" t="n"/>
    </row>
    <row r="575" hidden="1" outlineLevel="1" ht="15" customHeight="1" s="15">
      <c r="B575" s="69" t="n"/>
      <c r="C575" s="69" t="n"/>
      <c r="D575" s="69" t="n"/>
      <c r="E575" s="70" t="n"/>
      <c r="F575" s="69" t="n"/>
      <c r="G575" s="69" t="n"/>
      <c r="H575" s="69" t="n"/>
      <c r="I575" s="69" t="n"/>
      <c r="J575" s="69" t="n"/>
      <c r="K575" s="69" t="n"/>
      <c r="L575" s="69" t="n"/>
      <c r="M575" s="69" t="n"/>
      <c r="N575" s="69" t="n"/>
      <c r="O575" s="69" t="n"/>
      <c r="P575" s="69" t="n"/>
    </row>
    <row r="576" hidden="1" outlineLevel="1" ht="15" customHeight="1" s="15">
      <c r="B576" s="69" t="n"/>
      <c r="C576" s="69" t="n"/>
      <c r="D576" s="69" t="n"/>
      <c r="E576" s="70" t="n"/>
      <c r="F576" s="69" t="n"/>
      <c r="G576" s="69" t="n"/>
      <c r="H576" s="69" t="n"/>
      <c r="I576" s="69" t="n"/>
      <c r="J576" s="69" t="n"/>
      <c r="K576" s="69" t="n"/>
      <c r="L576" s="69" t="n"/>
      <c r="M576" s="69" t="n"/>
      <c r="N576" s="69" t="n"/>
      <c r="O576" s="69" t="n"/>
      <c r="P576" s="69" t="n"/>
    </row>
    <row r="577" hidden="1" outlineLevel="1" ht="15" customHeight="1" s="15">
      <c r="B577" s="69" t="n"/>
      <c r="C577" s="69" t="n"/>
      <c r="D577" s="69" t="n"/>
      <c r="E577" s="70" t="n"/>
      <c r="F577" s="69" t="n"/>
      <c r="G577" s="69" t="n"/>
      <c r="H577" s="69" t="n"/>
      <c r="I577" s="69" t="n"/>
      <c r="J577" s="69" t="n"/>
      <c r="K577" s="69" t="n"/>
      <c r="L577" s="69" t="n"/>
      <c r="M577" s="69" t="n"/>
      <c r="N577" s="69" t="n"/>
      <c r="O577" s="69" t="n"/>
      <c r="P577" s="69" t="n"/>
    </row>
    <row r="578" hidden="1" outlineLevel="1" ht="15" customHeight="1" s="15">
      <c r="B578" s="69" t="n"/>
      <c r="C578" s="69" t="n"/>
      <c r="D578" s="69" t="n"/>
      <c r="E578" s="70" t="n"/>
      <c r="F578" s="69" t="n"/>
      <c r="G578" s="69" t="n"/>
      <c r="H578" s="69" t="n"/>
      <c r="I578" s="69" t="n"/>
      <c r="J578" s="69" t="n"/>
      <c r="K578" s="69" t="n"/>
      <c r="L578" s="69" t="n"/>
      <c r="M578" s="69" t="n"/>
      <c r="N578" s="69" t="n"/>
      <c r="O578" s="69" t="n"/>
      <c r="P578" s="69" t="n"/>
    </row>
    <row r="579" hidden="1" outlineLevel="1" ht="15" customHeight="1" s="15">
      <c r="B579" s="69" t="n"/>
      <c r="C579" s="69" t="n"/>
      <c r="D579" s="69" t="n"/>
      <c r="E579" s="70" t="n"/>
      <c r="F579" s="69" t="n"/>
      <c r="G579" s="69" t="n"/>
      <c r="H579" s="69" t="n"/>
      <c r="I579" s="69" t="n"/>
      <c r="J579" s="69" t="n"/>
      <c r="K579" s="69" t="n"/>
      <c r="L579" s="69" t="n"/>
      <c r="M579" s="69" t="n"/>
      <c r="N579" s="69" t="n"/>
      <c r="O579" s="69" t="n"/>
      <c r="P579" s="69" t="n"/>
    </row>
    <row r="580" hidden="1" outlineLevel="1" ht="15" customHeight="1" s="15">
      <c r="B580" s="69" t="n"/>
      <c r="C580" s="69" t="n"/>
      <c r="D580" s="69" t="n"/>
      <c r="E580" s="70" t="n"/>
      <c r="F580" s="69" t="n"/>
      <c r="G580" s="69" t="n"/>
      <c r="H580" s="69" t="n"/>
      <c r="I580" s="69" t="n"/>
      <c r="J580" s="69" t="n"/>
      <c r="K580" s="69" t="n"/>
      <c r="L580" s="69" t="n"/>
      <c r="M580" s="69" t="n"/>
      <c r="N580" s="69" t="n"/>
      <c r="O580" s="69" t="n"/>
      <c r="P580" s="69" t="n"/>
    </row>
    <row r="581" hidden="1" outlineLevel="1" ht="15" customHeight="1" s="15">
      <c r="B581" s="69" t="n"/>
      <c r="C581" s="69" t="n"/>
      <c r="D581" s="69" t="n"/>
      <c r="E581" s="70" t="n"/>
      <c r="F581" s="69" t="n"/>
      <c r="G581" s="69" t="n"/>
      <c r="H581" s="69" t="n"/>
      <c r="I581" s="69" t="n"/>
      <c r="J581" s="69" t="n"/>
      <c r="K581" s="69" t="n"/>
      <c r="L581" s="69" t="n"/>
      <c r="M581" s="69" t="n"/>
      <c r="N581" s="69" t="n"/>
      <c r="O581" s="69" t="n"/>
      <c r="P581" s="69" t="n"/>
    </row>
    <row r="582" hidden="1" outlineLevel="1" ht="15" customHeight="1" s="15">
      <c r="B582" s="69" t="n"/>
      <c r="C582" s="69" t="n"/>
      <c r="D582" s="69" t="n"/>
      <c r="E582" s="70" t="n"/>
      <c r="F582" s="69" t="n"/>
      <c r="G582" s="69" t="n"/>
      <c r="H582" s="69" t="n"/>
      <c r="I582" s="69" t="n"/>
      <c r="J582" s="69" t="n"/>
      <c r="K582" s="69" t="n"/>
      <c r="L582" s="69" t="n"/>
      <c r="M582" s="69" t="n"/>
      <c r="N582" s="69" t="n"/>
      <c r="O582" s="69" t="n"/>
      <c r="P582" s="69" t="n"/>
    </row>
    <row r="583" hidden="1" outlineLevel="1" ht="15" customHeight="1" s="15">
      <c r="B583" s="69" t="n"/>
      <c r="C583" s="69" t="n"/>
      <c r="D583" s="69" t="n"/>
      <c r="E583" s="70" t="n"/>
      <c r="F583" s="69" t="n"/>
      <c r="G583" s="69" t="n"/>
      <c r="H583" s="69" t="n"/>
      <c r="I583" s="69" t="n"/>
      <c r="J583" s="69" t="n"/>
      <c r="K583" s="69" t="n"/>
      <c r="L583" s="69" t="n"/>
      <c r="M583" s="69" t="n"/>
      <c r="N583" s="69" t="n"/>
      <c r="O583" s="69" t="n"/>
      <c r="P583" s="69" t="n"/>
    </row>
    <row r="584" hidden="1" outlineLevel="1" ht="15" customHeight="1" s="15">
      <c r="B584" s="69" t="n"/>
      <c r="C584" s="69" t="n"/>
      <c r="D584" s="69" t="n"/>
      <c r="E584" s="70" t="n"/>
      <c r="F584" s="69" t="n"/>
      <c r="G584" s="69" t="n"/>
      <c r="H584" s="69" t="n"/>
      <c r="I584" s="69" t="n"/>
      <c r="J584" s="69" t="n"/>
      <c r="K584" s="69" t="n"/>
      <c r="L584" s="69" t="n"/>
      <c r="M584" s="69" t="n"/>
      <c r="N584" s="69" t="n"/>
      <c r="O584" s="69" t="n"/>
      <c r="P584" s="69" t="n"/>
    </row>
    <row r="585" hidden="1" outlineLevel="1" ht="15" customHeight="1" s="15">
      <c r="B585" s="69" t="n"/>
      <c r="C585" s="69" t="n"/>
      <c r="D585" s="69" t="n"/>
      <c r="E585" s="70" t="n"/>
      <c r="F585" s="69" t="n"/>
      <c r="G585" s="69" t="n"/>
      <c r="H585" s="69" t="n"/>
      <c r="I585" s="69" t="n"/>
      <c r="J585" s="69" t="n"/>
      <c r="K585" s="69" t="n"/>
      <c r="L585" s="69" t="n"/>
      <c r="M585" s="69" t="n"/>
      <c r="N585" s="69" t="n"/>
      <c r="O585" s="69" t="n"/>
      <c r="P585" s="69" t="n"/>
    </row>
    <row r="586" hidden="1" outlineLevel="1" ht="15" customHeight="1" s="15">
      <c r="B586" s="69" t="n"/>
      <c r="C586" s="69" t="n"/>
      <c r="D586" s="69" t="n"/>
      <c r="E586" s="70" t="n"/>
      <c r="F586" s="69" t="n"/>
      <c r="G586" s="69" t="n"/>
      <c r="H586" s="69" t="n"/>
      <c r="I586" s="69" t="n"/>
      <c r="J586" s="69" t="n"/>
      <c r="K586" s="69" t="n"/>
      <c r="L586" s="69" t="n"/>
      <c r="M586" s="69" t="n"/>
      <c r="N586" s="69" t="n"/>
      <c r="O586" s="69" t="n"/>
      <c r="P586" s="69" t="n"/>
    </row>
    <row r="587" hidden="1" outlineLevel="1" ht="15" customHeight="1" s="15">
      <c r="B587" s="69" t="n"/>
      <c r="C587" s="69" t="n"/>
      <c r="D587" s="69" t="n"/>
      <c r="E587" s="70" t="n"/>
      <c r="F587" s="69" t="n"/>
      <c r="G587" s="69" t="n"/>
      <c r="H587" s="69" t="n"/>
      <c r="I587" s="69" t="n"/>
      <c r="J587" s="69" t="n"/>
      <c r="K587" s="69" t="n"/>
      <c r="L587" s="69" t="n"/>
      <c r="M587" s="69" t="n"/>
      <c r="N587" s="69" t="n"/>
      <c r="O587" s="69" t="n"/>
      <c r="P587" s="69" t="n"/>
    </row>
    <row r="588" hidden="1" outlineLevel="1" ht="15" customHeight="1" s="15">
      <c r="B588" s="69" t="n"/>
      <c r="C588" s="69" t="n"/>
      <c r="D588" s="69" t="n"/>
      <c r="E588" s="70" t="n"/>
      <c r="F588" s="69" t="n"/>
      <c r="G588" s="69" t="n"/>
      <c r="H588" s="69" t="n"/>
      <c r="I588" s="69" t="n"/>
      <c r="J588" s="69" t="n"/>
      <c r="K588" s="69" t="n"/>
      <c r="L588" s="69" t="n"/>
      <c r="M588" s="69" t="n"/>
      <c r="N588" s="69" t="n"/>
      <c r="O588" s="69" t="n"/>
      <c r="P588" s="69" t="n"/>
    </row>
    <row r="589" hidden="1" outlineLevel="1" ht="15" customHeight="1" s="15">
      <c r="B589" s="69" t="n"/>
      <c r="C589" s="69" t="n"/>
      <c r="D589" s="69" t="n"/>
      <c r="E589" s="70" t="n"/>
      <c r="F589" s="69" t="n"/>
      <c r="G589" s="69" t="n"/>
      <c r="H589" s="69" t="n"/>
      <c r="I589" s="69" t="n"/>
      <c r="J589" s="69" t="n"/>
      <c r="K589" s="69" t="n"/>
      <c r="L589" s="69" t="n"/>
      <c r="M589" s="69" t="n"/>
      <c r="N589" s="69" t="n"/>
      <c r="O589" s="69" t="n"/>
      <c r="P589" s="69" t="n"/>
    </row>
    <row r="590" hidden="1" outlineLevel="1" ht="15" customHeight="1" s="15">
      <c r="B590" s="69" t="n"/>
      <c r="C590" s="69" t="n"/>
      <c r="D590" s="69" t="n"/>
      <c r="E590" s="70" t="n"/>
      <c r="F590" s="69" t="n"/>
      <c r="G590" s="69" t="n"/>
      <c r="H590" s="69" t="n"/>
      <c r="I590" s="69" t="n"/>
      <c r="J590" s="69" t="n"/>
      <c r="K590" s="69" t="n"/>
      <c r="L590" s="69" t="n"/>
      <c r="M590" s="69" t="n"/>
      <c r="N590" s="69" t="n"/>
      <c r="O590" s="69" t="n"/>
      <c r="P590" s="69" t="n"/>
    </row>
    <row r="591" hidden="1" outlineLevel="1" ht="15" customHeight="1" s="15">
      <c r="B591" s="69" t="n"/>
      <c r="C591" s="69" t="n"/>
      <c r="D591" s="69" t="n"/>
      <c r="E591" s="70" t="n"/>
      <c r="F591" s="69" t="n"/>
      <c r="G591" s="69" t="n"/>
      <c r="H591" s="69" t="n"/>
      <c r="I591" s="69" t="n"/>
      <c r="J591" s="69" t="n"/>
      <c r="K591" s="69" t="n"/>
      <c r="L591" s="69" t="n"/>
      <c r="M591" s="69" t="n"/>
      <c r="N591" s="69" t="n"/>
      <c r="O591" s="69" t="n"/>
      <c r="P591" s="69" t="n"/>
    </row>
    <row r="592" hidden="1" outlineLevel="1" ht="15" customHeight="1" s="15">
      <c r="B592" s="69" t="n"/>
      <c r="C592" s="69" t="n"/>
      <c r="D592" s="69" t="n"/>
      <c r="E592" s="70" t="n"/>
      <c r="F592" s="69" t="n"/>
      <c r="G592" s="69" t="n"/>
      <c r="H592" s="69" t="n"/>
      <c r="I592" s="69" t="n"/>
      <c r="J592" s="69" t="n"/>
      <c r="K592" s="69" t="n"/>
      <c r="L592" s="69" t="n"/>
      <c r="M592" s="69" t="n"/>
      <c r="N592" s="69" t="n"/>
      <c r="O592" s="69" t="n"/>
      <c r="P592" s="69" t="n"/>
    </row>
    <row r="593" hidden="1" outlineLevel="1" ht="15" customHeight="1" s="15">
      <c r="B593" s="69" t="n"/>
      <c r="C593" s="69" t="n"/>
      <c r="D593" s="69" t="n"/>
      <c r="E593" s="70" t="n"/>
      <c r="F593" s="69" t="n"/>
      <c r="G593" s="69" t="n"/>
      <c r="H593" s="69" t="n"/>
      <c r="I593" s="69" t="n"/>
      <c r="J593" s="69" t="n"/>
      <c r="K593" s="69" t="n"/>
      <c r="L593" s="69" t="n"/>
      <c r="M593" s="69" t="n"/>
      <c r="N593" s="69" t="n"/>
      <c r="O593" s="69" t="n"/>
      <c r="P593" s="69" t="n"/>
    </row>
    <row r="594" hidden="1" outlineLevel="1" ht="15" customHeight="1" s="15">
      <c r="B594" s="69" t="n"/>
      <c r="C594" s="69" t="n"/>
      <c r="D594" s="69" t="n"/>
      <c r="E594" s="70" t="n"/>
      <c r="F594" s="69" t="n"/>
      <c r="G594" s="69" t="n"/>
      <c r="H594" s="69" t="n"/>
      <c r="I594" s="69" t="n"/>
      <c r="J594" s="69" t="n"/>
      <c r="K594" s="69" t="n"/>
      <c r="L594" s="69" t="n"/>
      <c r="M594" s="69" t="n"/>
      <c r="N594" s="69" t="n"/>
      <c r="O594" s="69" t="n"/>
      <c r="P594" s="69" t="n"/>
    </row>
    <row r="595" hidden="1" outlineLevel="1" ht="15" customHeight="1" s="15">
      <c r="B595" s="69" t="n"/>
      <c r="C595" s="69" t="n"/>
      <c r="D595" s="69" t="n"/>
      <c r="E595" s="70" t="n"/>
      <c r="F595" s="69" t="n"/>
      <c r="G595" s="69" t="n"/>
      <c r="H595" s="69" t="n"/>
      <c r="I595" s="69" t="n"/>
      <c r="J595" s="69" t="n"/>
      <c r="K595" s="69" t="n"/>
      <c r="L595" s="69" t="n"/>
      <c r="M595" s="69" t="n"/>
      <c r="N595" s="69" t="n"/>
      <c r="O595" s="69" t="n"/>
      <c r="P595" s="69" t="n"/>
    </row>
    <row r="596" hidden="1" outlineLevel="1" ht="15" customHeight="1" s="15">
      <c r="B596" s="69" t="n"/>
      <c r="C596" s="69" t="n"/>
      <c r="D596" s="69" t="n"/>
      <c r="E596" s="70" t="n"/>
      <c r="F596" s="69" t="n"/>
      <c r="G596" s="69" t="n"/>
      <c r="H596" s="69" t="n"/>
      <c r="I596" s="69" t="n"/>
      <c r="J596" s="69" t="n"/>
      <c r="K596" s="69" t="n"/>
      <c r="L596" s="69" t="n"/>
      <c r="M596" s="69" t="n"/>
      <c r="N596" s="69" t="n"/>
      <c r="O596" s="69" t="n"/>
      <c r="P596" s="69" t="n"/>
    </row>
    <row r="597" hidden="1" outlineLevel="1" ht="15" customHeight="1" s="15">
      <c r="B597" s="69" t="n"/>
      <c r="C597" s="69" t="n"/>
      <c r="D597" s="69" t="n"/>
      <c r="E597" s="70" t="n"/>
      <c r="F597" s="69" t="n"/>
      <c r="G597" s="69" t="n"/>
      <c r="H597" s="69" t="n"/>
      <c r="I597" s="69" t="n"/>
      <c r="J597" s="69" t="n"/>
      <c r="K597" s="69" t="n"/>
      <c r="L597" s="69" t="n"/>
      <c r="M597" s="69" t="n"/>
      <c r="N597" s="69" t="n"/>
      <c r="O597" s="69" t="n"/>
      <c r="P597" s="69" t="n"/>
    </row>
    <row r="598" hidden="1" outlineLevel="1" ht="15" customHeight="1" s="15">
      <c r="B598" s="69" t="n"/>
      <c r="C598" s="69" t="n"/>
      <c r="D598" s="69" t="n"/>
      <c r="E598" s="70" t="n"/>
      <c r="F598" s="69" t="n"/>
      <c r="G598" s="69" t="n"/>
      <c r="H598" s="69" t="n"/>
      <c r="I598" s="69" t="n"/>
      <c r="J598" s="69" t="n"/>
      <c r="K598" s="69" t="n"/>
      <c r="L598" s="69" t="n"/>
      <c r="M598" s="69" t="n"/>
      <c r="N598" s="69" t="n"/>
      <c r="O598" s="69" t="n"/>
      <c r="P598" s="69" t="n"/>
    </row>
    <row r="599" hidden="1" outlineLevel="1" ht="15" customHeight="1" s="15">
      <c r="B599" s="69" t="n"/>
      <c r="C599" s="69" t="n"/>
      <c r="D599" s="69" t="n"/>
      <c r="E599" s="70" t="n"/>
      <c r="F599" s="69" t="n"/>
      <c r="G599" s="69" t="n"/>
      <c r="H599" s="69" t="n"/>
      <c r="I599" s="69" t="n"/>
      <c r="J599" s="69" t="n"/>
      <c r="K599" s="69" t="n"/>
      <c r="L599" s="69" t="n"/>
      <c r="M599" s="69" t="n"/>
      <c r="N599" s="69" t="n"/>
      <c r="O599" s="69" t="n"/>
      <c r="P599" s="69" t="n"/>
    </row>
    <row r="600" hidden="1" outlineLevel="1" ht="15" customHeight="1" s="15">
      <c r="B600" s="69" t="n"/>
      <c r="C600" s="69" t="n"/>
      <c r="D600" s="69" t="n"/>
      <c r="E600" s="70" t="n"/>
      <c r="F600" s="69" t="n"/>
      <c r="G600" s="69" t="n"/>
      <c r="H600" s="69" t="n"/>
      <c r="I600" s="69" t="n"/>
      <c r="J600" s="69" t="n"/>
      <c r="K600" s="69" t="n"/>
      <c r="L600" s="69" t="n"/>
      <c r="M600" s="69" t="n"/>
      <c r="N600" s="69" t="n"/>
      <c r="O600" s="69" t="n"/>
      <c r="P600" s="69" t="n"/>
    </row>
    <row r="601" hidden="1" outlineLevel="1" ht="15" customHeight="1" s="15">
      <c r="B601" s="69" t="n"/>
      <c r="C601" s="69" t="n"/>
      <c r="D601" s="69" t="n"/>
      <c r="E601" s="70" t="n"/>
      <c r="F601" s="69" t="n"/>
      <c r="G601" s="69" t="n"/>
      <c r="H601" s="69" t="n"/>
      <c r="I601" s="69" t="n"/>
      <c r="J601" s="69" t="n"/>
      <c r="K601" s="69" t="n"/>
      <c r="L601" s="69" t="n"/>
      <c r="M601" s="69" t="n"/>
      <c r="N601" s="69" t="n"/>
      <c r="O601" s="69" t="n"/>
      <c r="P601" s="69" t="n"/>
    </row>
    <row r="602" collapsed="1" ht="19.5" customHeight="1" s="15">
      <c r="B602" s="6" t="inlineStr">
        <is>
          <t>ℹ  Coller ici (Collage spécial &gt; Valeurs) les lignes agents de JOURNAL pour Septembre — fond bleu-gris = zone d'archive, pas de formule.</t>
        </is>
      </c>
    </row>
    <row r="604" ht="19.5" customHeight="1" s="15">
      <c r="B604" s="4" t="inlineStr">
        <is>
          <t xml:space="preserve">  OCTOBRE — bloc à remplir à la clôture</t>
        </is>
      </c>
    </row>
    <row r="605" ht="25.5" customHeight="1" s="15">
      <c r="B605" s="40" t="inlineStr">
        <is>
          <t>Année</t>
        </is>
      </c>
      <c r="C605" s="40" t="inlineStr">
        <is>
          <t>Mois</t>
        </is>
      </c>
      <c r="D605" s="40" t="inlineStr">
        <is>
          <t>Matricule</t>
        </is>
      </c>
      <c r="E605" s="40" t="inlineStr">
        <is>
          <t>Nom</t>
        </is>
      </c>
      <c r="F605" s="40" t="inlineStr">
        <is>
          <t>BRUT</t>
        </is>
      </c>
      <c r="G605" s="40" t="inlineStr">
        <is>
          <t>CNSS salariale</t>
        </is>
      </c>
      <c r="H605" s="40" t="inlineStr">
        <is>
          <t>IPR</t>
        </is>
      </c>
      <c r="I605" s="40" t="inlineStr">
        <is>
          <t>NET avant retenues</t>
        </is>
      </c>
      <c r="J605" s="40" t="inlineStr">
        <is>
          <t>Avance</t>
        </is>
      </c>
      <c r="K605" s="40" t="inlineStr">
        <is>
          <t>Retenues diverses</t>
        </is>
      </c>
      <c r="L605" s="40" t="inlineStr">
        <is>
          <t>NET À PAYER</t>
        </is>
      </c>
      <c r="M605" s="40" t="inlineStr">
        <is>
          <t>CNSS patronale</t>
        </is>
      </c>
      <c r="N605" s="40" t="inlineStr">
        <is>
          <t>INPP</t>
        </is>
      </c>
      <c r="O605" s="40" t="inlineStr">
        <is>
          <t>ONEM</t>
        </is>
      </c>
      <c r="P605" s="40" t="inlineStr">
        <is>
          <t>Coût total employeur</t>
        </is>
      </c>
    </row>
    <row r="606" hidden="1" outlineLevel="1" ht="15" customHeight="1" s="15">
      <c r="B606" s="69" t="n"/>
      <c r="C606" s="69" t="n"/>
      <c r="D606" s="69" t="n"/>
      <c r="E606" s="70" t="n"/>
      <c r="F606" s="69" t="n"/>
      <c r="G606" s="69" t="n"/>
      <c r="H606" s="69" t="n"/>
      <c r="I606" s="69" t="n"/>
      <c r="J606" s="69" t="n"/>
      <c r="K606" s="69" t="n"/>
      <c r="L606" s="69" t="n"/>
      <c r="M606" s="69" t="n"/>
      <c r="N606" s="69" t="n"/>
      <c r="O606" s="69" t="n"/>
      <c r="P606" s="69" t="n"/>
    </row>
    <row r="607" hidden="1" outlineLevel="1" ht="15" customHeight="1" s="15">
      <c r="B607" s="69" t="n"/>
      <c r="C607" s="69" t="n"/>
      <c r="D607" s="69" t="n"/>
      <c r="E607" s="70" t="n"/>
      <c r="F607" s="69" t="n"/>
      <c r="G607" s="69" t="n"/>
      <c r="H607" s="69" t="n"/>
      <c r="I607" s="69" t="n"/>
      <c r="J607" s="69" t="n"/>
      <c r="K607" s="69" t="n"/>
      <c r="L607" s="69" t="n"/>
      <c r="M607" s="69" t="n"/>
      <c r="N607" s="69" t="n"/>
      <c r="O607" s="69" t="n"/>
      <c r="P607" s="69" t="n"/>
    </row>
    <row r="608" hidden="1" outlineLevel="1" ht="15" customHeight="1" s="15">
      <c r="B608" s="69" t="n"/>
      <c r="C608" s="69" t="n"/>
      <c r="D608" s="69" t="n"/>
      <c r="E608" s="70" t="n"/>
      <c r="F608" s="69" t="n"/>
      <c r="G608" s="69" t="n"/>
      <c r="H608" s="69" t="n"/>
      <c r="I608" s="69" t="n"/>
      <c r="J608" s="69" t="n"/>
      <c r="K608" s="69" t="n"/>
      <c r="L608" s="69" t="n"/>
      <c r="M608" s="69" t="n"/>
      <c r="N608" s="69" t="n"/>
      <c r="O608" s="69" t="n"/>
      <c r="P608" s="69" t="n"/>
    </row>
    <row r="609" hidden="1" outlineLevel="1" ht="15" customHeight="1" s="15">
      <c r="B609" s="69" t="n"/>
      <c r="C609" s="69" t="n"/>
      <c r="D609" s="69" t="n"/>
      <c r="E609" s="70" t="n"/>
      <c r="F609" s="69" t="n"/>
      <c r="G609" s="69" t="n"/>
      <c r="H609" s="69" t="n"/>
      <c r="I609" s="69" t="n"/>
      <c r="J609" s="69" t="n"/>
      <c r="K609" s="69" t="n"/>
      <c r="L609" s="69" t="n"/>
      <c r="M609" s="69" t="n"/>
      <c r="N609" s="69" t="n"/>
      <c r="O609" s="69" t="n"/>
      <c r="P609" s="69" t="n"/>
    </row>
    <row r="610" hidden="1" outlineLevel="1" ht="15" customHeight="1" s="15">
      <c r="B610" s="69" t="n"/>
      <c r="C610" s="69" t="n"/>
      <c r="D610" s="69" t="n"/>
      <c r="E610" s="70" t="n"/>
      <c r="F610" s="69" t="n"/>
      <c r="G610" s="69" t="n"/>
      <c r="H610" s="69" t="n"/>
      <c r="I610" s="69" t="n"/>
      <c r="J610" s="69" t="n"/>
      <c r="K610" s="69" t="n"/>
      <c r="L610" s="69" t="n"/>
      <c r="M610" s="69" t="n"/>
      <c r="N610" s="69" t="n"/>
      <c r="O610" s="69" t="n"/>
      <c r="P610" s="69" t="n"/>
    </row>
    <row r="611" hidden="1" outlineLevel="1" ht="15" customHeight="1" s="15">
      <c r="B611" s="69" t="n"/>
      <c r="C611" s="69" t="n"/>
      <c r="D611" s="69" t="n"/>
      <c r="E611" s="70" t="n"/>
      <c r="F611" s="69" t="n"/>
      <c r="G611" s="69" t="n"/>
      <c r="H611" s="69" t="n"/>
      <c r="I611" s="69" t="n"/>
      <c r="J611" s="69" t="n"/>
      <c r="K611" s="69" t="n"/>
      <c r="L611" s="69" t="n"/>
      <c r="M611" s="69" t="n"/>
      <c r="N611" s="69" t="n"/>
      <c r="O611" s="69" t="n"/>
      <c r="P611" s="69" t="n"/>
    </row>
    <row r="612" hidden="1" outlineLevel="1" ht="15" customHeight="1" s="15">
      <c r="B612" s="69" t="n"/>
      <c r="C612" s="69" t="n"/>
      <c r="D612" s="69" t="n"/>
      <c r="E612" s="70" t="n"/>
      <c r="F612" s="69" t="n"/>
      <c r="G612" s="69" t="n"/>
      <c r="H612" s="69" t="n"/>
      <c r="I612" s="69" t="n"/>
      <c r="J612" s="69" t="n"/>
      <c r="K612" s="69" t="n"/>
      <c r="L612" s="69" t="n"/>
      <c r="M612" s="69" t="n"/>
      <c r="N612" s="69" t="n"/>
      <c r="O612" s="69" t="n"/>
      <c r="P612" s="69" t="n"/>
    </row>
    <row r="613" hidden="1" outlineLevel="1" ht="15" customHeight="1" s="15">
      <c r="B613" s="69" t="n"/>
      <c r="C613" s="69" t="n"/>
      <c r="D613" s="69" t="n"/>
      <c r="E613" s="70" t="n"/>
      <c r="F613" s="69" t="n"/>
      <c r="G613" s="69" t="n"/>
      <c r="H613" s="69" t="n"/>
      <c r="I613" s="69" t="n"/>
      <c r="J613" s="69" t="n"/>
      <c r="K613" s="69" t="n"/>
      <c r="L613" s="69" t="n"/>
      <c r="M613" s="69" t="n"/>
      <c r="N613" s="69" t="n"/>
      <c r="O613" s="69" t="n"/>
      <c r="P613" s="69" t="n"/>
    </row>
    <row r="614" hidden="1" outlineLevel="1" ht="15" customHeight="1" s="15">
      <c r="B614" s="69" t="n"/>
      <c r="C614" s="69" t="n"/>
      <c r="D614" s="69" t="n"/>
      <c r="E614" s="70" t="n"/>
      <c r="F614" s="69" t="n"/>
      <c r="G614" s="69" t="n"/>
      <c r="H614" s="69" t="n"/>
      <c r="I614" s="69" t="n"/>
      <c r="J614" s="69" t="n"/>
      <c r="K614" s="69" t="n"/>
      <c r="L614" s="69" t="n"/>
      <c r="M614" s="69" t="n"/>
      <c r="N614" s="69" t="n"/>
      <c r="O614" s="69" t="n"/>
      <c r="P614" s="69" t="n"/>
    </row>
    <row r="615" hidden="1" outlineLevel="1" ht="15" customHeight="1" s="15">
      <c r="B615" s="69" t="n"/>
      <c r="C615" s="69" t="n"/>
      <c r="D615" s="69" t="n"/>
      <c r="E615" s="70" t="n"/>
      <c r="F615" s="69" t="n"/>
      <c r="G615" s="69" t="n"/>
      <c r="H615" s="69" t="n"/>
      <c r="I615" s="69" t="n"/>
      <c r="J615" s="69" t="n"/>
      <c r="K615" s="69" t="n"/>
      <c r="L615" s="69" t="n"/>
      <c r="M615" s="69" t="n"/>
      <c r="N615" s="69" t="n"/>
      <c r="O615" s="69" t="n"/>
      <c r="P615" s="69" t="n"/>
    </row>
    <row r="616" hidden="1" outlineLevel="1" ht="15" customHeight="1" s="15">
      <c r="B616" s="69" t="n"/>
      <c r="C616" s="69" t="n"/>
      <c r="D616" s="69" t="n"/>
      <c r="E616" s="70" t="n"/>
      <c r="F616" s="69" t="n"/>
      <c r="G616" s="69" t="n"/>
      <c r="H616" s="69" t="n"/>
      <c r="I616" s="69" t="n"/>
      <c r="J616" s="69" t="n"/>
      <c r="K616" s="69" t="n"/>
      <c r="L616" s="69" t="n"/>
      <c r="M616" s="69" t="n"/>
      <c r="N616" s="69" t="n"/>
      <c r="O616" s="69" t="n"/>
      <c r="P616" s="69" t="n"/>
    </row>
    <row r="617" hidden="1" outlineLevel="1" ht="15" customHeight="1" s="15">
      <c r="B617" s="69" t="n"/>
      <c r="C617" s="69" t="n"/>
      <c r="D617" s="69" t="n"/>
      <c r="E617" s="70" t="n"/>
      <c r="F617" s="69" t="n"/>
      <c r="G617" s="69" t="n"/>
      <c r="H617" s="69" t="n"/>
      <c r="I617" s="69" t="n"/>
      <c r="J617" s="69" t="n"/>
      <c r="K617" s="69" t="n"/>
      <c r="L617" s="69" t="n"/>
      <c r="M617" s="69" t="n"/>
      <c r="N617" s="69" t="n"/>
      <c r="O617" s="69" t="n"/>
      <c r="P617" s="69" t="n"/>
    </row>
    <row r="618" hidden="1" outlineLevel="1" ht="15" customHeight="1" s="15">
      <c r="B618" s="69" t="n"/>
      <c r="C618" s="69" t="n"/>
      <c r="D618" s="69" t="n"/>
      <c r="E618" s="70" t="n"/>
      <c r="F618" s="69" t="n"/>
      <c r="G618" s="69" t="n"/>
      <c r="H618" s="69" t="n"/>
      <c r="I618" s="69" t="n"/>
      <c r="J618" s="69" t="n"/>
      <c r="K618" s="69" t="n"/>
      <c r="L618" s="69" t="n"/>
      <c r="M618" s="69" t="n"/>
      <c r="N618" s="69" t="n"/>
      <c r="O618" s="69" t="n"/>
      <c r="P618" s="69" t="n"/>
    </row>
    <row r="619" hidden="1" outlineLevel="1" ht="15" customHeight="1" s="15">
      <c r="B619" s="69" t="n"/>
      <c r="C619" s="69" t="n"/>
      <c r="D619" s="69" t="n"/>
      <c r="E619" s="70" t="n"/>
      <c r="F619" s="69" t="n"/>
      <c r="G619" s="69" t="n"/>
      <c r="H619" s="69" t="n"/>
      <c r="I619" s="69" t="n"/>
      <c r="J619" s="69" t="n"/>
      <c r="K619" s="69" t="n"/>
      <c r="L619" s="69" t="n"/>
      <c r="M619" s="69" t="n"/>
      <c r="N619" s="69" t="n"/>
      <c r="O619" s="69" t="n"/>
      <c r="P619" s="69" t="n"/>
    </row>
    <row r="620" hidden="1" outlineLevel="1" ht="15" customHeight="1" s="15">
      <c r="B620" s="69" t="n"/>
      <c r="C620" s="69" t="n"/>
      <c r="D620" s="69" t="n"/>
      <c r="E620" s="70" t="n"/>
      <c r="F620" s="69" t="n"/>
      <c r="G620" s="69" t="n"/>
      <c r="H620" s="69" t="n"/>
      <c r="I620" s="69" t="n"/>
      <c r="J620" s="69" t="n"/>
      <c r="K620" s="69" t="n"/>
      <c r="L620" s="69" t="n"/>
      <c r="M620" s="69" t="n"/>
      <c r="N620" s="69" t="n"/>
      <c r="O620" s="69" t="n"/>
      <c r="P620" s="69" t="n"/>
    </row>
    <row r="621" hidden="1" outlineLevel="1" ht="15" customHeight="1" s="15">
      <c r="B621" s="69" t="n"/>
      <c r="C621" s="69" t="n"/>
      <c r="D621" s="69" t="n"/>
      <c r="E621" s="70" t="n"/>
      <c r="F621" s="69" t="n"/>
      <c r="G621" s="69" t="n"/>
      <c r="H621" s="69" t="n"/>
      <c r="I621" s="69" t="n"/>
      <c r="J621" s="69" t="n"/>
      <c r="K621" s="69" t="n"/>
      <c r="L621" s="69" t="n"/>
      <c r="M621" s="69" t="n"/>
      <c r="N621" s="69" t="n"/>
      <c r="O621" s="69" t="n"/>
      <c r="P621" s="69" t="n"/>
    </row>
    <row r="622" hidden="1" outlineLevel="1" ht="15" customHeight="1" s="15">
      <c r="B622" s="69" t="n"/>
      <c r="C622" s="69" t="n"/>
      <c r="D622" s="69" t="n"/>
      <c r="E622" s="70" t="n"/>
      <c r="F622" s="69" t="n"/>
      <c r="G622" s="69" t="n"/>
      <c r="H622" s="69" t="n"/>
      <c r="I622" s="69" t="n"/>
      <c r="J622" s="69" t="n"/>
      <c r="K622" s="69" t="n"/>
      <c r="L622" s="69" t="n"/>
      <c r="M622" s="69" t="n"/>
      <c r="N622" s="69" t="n"/>
      <c r="O622" s="69" t="n"/>
      <c r="P622" s="69" t="n"/>
    </row>
    <row r="623" hidden="1" outlineLevel="1" ht="15" customHeight="1" s="15">
      <c r="B623" s="69" t="n"/>
      <c r="C623" s="69" t="n"/>
      <c r="D623" s="69" t="n"/>
      <c r="E623" s="70" t="n"/>
      <c r="F623" s="69" t="n"/>
      <c r="G623" s="69" t="n"/>
      <c r="H623" s="69" t="n"/>
      <c r="I623" s="69" t="n"/>
      <c r="J623" s="69" t="n"/>
      <c r="K623" s="69" t="n"/>
      <c r="L623" s="69" t="n"/>
      <c r="M623" s="69" t="n"/>
      <c r="N623" s="69" t="n"/>
      <c r="O623" s="69" t="n"/>
      <c r="P623" s="69" t="n"/>
    </row>
    <row r="624" hidden="1" outlineLevel="1" ht="15" customHeight="1" s="15">
      <c r="B624" s="69" t="n"/>
      <c r="C624" s="69" t="n"/>
      <c r="D624" s="69" t="n"/>
      <c r="E624" s="70" t="n"/>
      <c r="F624" s="69" t="n"/>
      <c r="G624" s="69" t="n"/>
      <c r="H624" s="69" t="n"/>
      <c r="I624" s="69" t="n"/>
      <c r="J624" s="69" t="n"/>
      <c r="K624" s="69" t="n"/>
      <c r="L624" s="69" t="n"/>
      <c r="M624" s="69" t="n"/>
      <c r="N624" s="69" t="n"/>
      <c r="O624" s="69" t="n"/>
      <c r="P624" s="69" t="n"/>
    </row>
    <row r="625" hidden="1" outlineLevel="1" ht="15" customHeight="1" s="15">
      <c r="B625" s="69" t="n"/>
      <c r="C625" s="69" t="n"/>
      <c r="D625" s="69" t="n"/>
      <c r="E625" s="70" t="n"/>
      <c r="F625" s="69" t="n"/>
      <c r="G625" s="69" t="n"/>
      <c r="H625" s="69" t="n"/>
      <c r="I625" s="69" t="n"/>
      <c r="J625" s="69" t="n"/>
      <c r="K625" s="69" t="n"/>
      <c r="L625" s="69" t="n"/>
      <c r="M625" s="69" t="n"/>
      <c r="N625" s="69" t="n"/>
      <c r="O625" s="69" t="n"/>
      <c r="P625" s="69" t="n"/>
    </row>
    <row r="626" hidden="1" outlineLevel="1" ht="15" customHeight="1" s="15">
      <c r="B626" s="69" t="n"/>
      <c r="C626" s="69" t="n"/>
      <c r="D626" s="69" t="n"/>
      <c r="E626" s="70" t="n"/>
      <c r="F626" s="69" t="n"/>
      <c r="G626" s="69" t="n"/>
      <c r="H626" s="69" t="n"/>
      <c r="I626" s="69" t="n"/>
      <c r="J626" s="69" t="n"/>
      <c r="K626" s="69" t="n"/>
      <c r="L626" s="69" t="n"/>
      <c r="M626" s="69" t="n"/>
      <c r="N626" s="69" t="n"/>
      <c r="O626" s="69" t="n"/>
      <c r="P626" s="69" t="n"/>
    </row>
    <row r="627" hidden="1" outlineLevel="1" ht="15" customHeight="1" s="15">
      <c r="B627" s="69" t="n"/>
      <c r="C627" s="69" t="n"/>
      <c r="D627" s="69" t="n"/>
      <c r="E627" s="70" t="n"/>
      <c r="F627" s="69" t="n"/>
      <c r="G627" s="69" t="n"/>
      <c r="H627" s="69" t="n"/>
      <c r="I627" s="69" t="n"/>
      <c r="J627" s="69" t="n"/>
      <c r="K627" s="69" t="n"/>
      <c r="L627" s="69" t="n"/>
      <c r="M627" s="69" t="n"/>
      <c r="N627" s="69" t="n"/>
      <c r="O627" s="69" t="n"/>
      <c r="P627" s="69" t="n"/>
    </row>
    <row r="628" hidden="1" outlineLevel="1" ht="15" customHeight="1" s="15">
      <c r="B628" s="69" t="n"/>
      <c r="C628" s="69" t="n"/>
      <c r="D628" s="69" t="n"/>
      <c r="E628" s="70" t="n"/>
      <c r="F628" s="69" t="n"/>
      <c r="G628" s="69" t="n"/>
      <c r="H628" s="69" t="n"/>
      <c r="I628" s="69" t="n"/>
      <c r="J628" s="69" t="n"/>
      <c r="K628" s="69" t="n"/>
      <c r="L628" s="69" t="n"/>
      <c r="M628" s="69" t="n"/>
      <c r="N628" s="69" t="n"/>
      <c r="O628" s="69" t="n"/>
      <c r="P628" s="69" t="n"/>
    </row>
    <row r="629" hidden="1" outlineLevel="1" ht="15" customHeight="1" s="15">
      <c r="B629" s="69" t="n"/>
      <c r="C629" s="69" t="n"/>
      <c r="D629" s="69" t="n"/>
      <c r="E629" s="70" t="n"/>
      <c r="F629" s="69" t="n"/>
      <c r="G629" s="69" t="n"/>
      <c r="H629" s="69" t="n"/>
      <c r="I629" s="69" t="n"/>
      <c r="J629" s="69" t="n"/>
      <c r="K629" s="69" t="n"/>
      <c r="L629" s="69" t="n"/>
      <c r="M629" s="69" t="n"/>
      <c r="N629" s="69" t="n"/>
      <c r="O629" s="69" t="n"/>
      <c r="P629" s="69" t="n"/>
    </row>
    <row r="630" hidden="1" outlineLevel="1" ht="15" customHeight="1" s="15">
      <c r="B630" s="69" t="n"/>
      <c r="C630" s="69" t="n"/>
      <c r="D630" s="69" t="n"/>
      <c r="E630" s="70" t="n"/>
      <c r="F630" s="69" t="n"/>
      <c r="G630" s="69" t="n"/>
      <c r="H630" s="69" t="n"/>
      <c r="I630" s="69" t="n"/>
      <c r="J630" s="69" t="n"/>
      <c r="K630" s="69" t="n"/>
      <c r="L630" s="69" t="n"/>
      <c r="M630" s="69" t="n"/>
      <c r="N630" s="69" t="n"/>
      <c r="O630" s="69" t="n"/>
      <c r="P630" s="69" t="n"/>
    </row>
    <row r="631" hidden="1" outlineLevel="1" ht="15" customHeight="1" s="15">
      <c r="B631" s="69" t="n"/>
      <c r="C631" s="69" t="n"/>
      <c r="D631" s="69" t="n"/>
      <c r="E631" s="70" t="n"/>
      <c r="F631" s="69" t="n"/>
      <c r="G631" s="69" t="n"/>
      <c r="H631" s="69" t="n"/>
      <c r="I631" s="69" t="n"/>
      <c r="J631" s="69" t="n"/>
      <c r="K631" s="69" t="n"/>
      <c r="L631" s="69" t="n"/>
      <c r="M631" s="69" t="n"/>
      <c r="N631" s="69" t="n"/>
      <c r="O631" s="69" t="n"/>
      <c r="P631" s="69" t="n"/>
    </row>
    <row r="632" hidden="1" outlineLevel="1" ht="15" customHeight="1" s="15">
      <c r="B632" s="69" t="n"/>
      <c r="C632" s="69" t="n"/>
      <c r="D632" s="69" t="n"/>
      <c r="E632" s="70" t="n"/>
      <c r="F632" s="69" t="n"/>
      <c r="G632" s="69" t="n"/>
      <c r="H632" s="69" t="n"/>
      <c r="I632" s="69" t="n"/>
      <c r="J632" s="69" t="n"/>
      <c r="K632" s="69" t="n"/>
      <c r="L632" s="69" t="n"/>
      <c r="M632" s="69" t="n"/>
      <c r="N632" s="69" t="n"/>
      <c r="O632" s="69" t="n"/>
      <c r="P632" s="69" t="n"/>
    </row>
    <row r="633" hidden="1" outlineLevel="1" ht="15" customHeight="1" s="15">
      <c r="B633" s="69" t="n"/>
      <c r="C633" s="69" t="n"/>
      <c r="D633" s="69" t="n"/>
      <c r="E633" s="70" t="n"/>
      <c r="F633" s="69" t="n"/>
      <c r="G633" s="69" t="n"/>
      <c r="H633" s="69" t="n"/>
      <c r="I633" s="69" t="n"/>
      <c r="J633" s="69" t="n"/>
      <c r="K633" s="69" t="n"/>
      <c r="L633" s="69" t="n"/>
      <c r="M633" s="69" t="n"/>
      <c r="N633" s="69" t="n"/>
      <c r="O633" s="69" t="n"/>
      <c r="P633" s="69" t="n"/>
    </row>
    <row r="634" hidden="1" outlineLevel="1" ht="15" customHeight="1" s="15">
      <c r="B634" s="69" t="n"/>
      <c r="C634" s="69" t="n"/>
      <c r="D634" s="69" t="n"/>
      <c r="E634" s="70" t="n"/>
      <c r="F634" s="69" t="n"/>
      <c r="G634" s="69" t="n"/>
      <c r="H634" s="69" t="n"/>
      <c r="I634" s="69" t="n"/>
      <c r="J634" s="69" t="n"/>
      <c r="K634" s="69" t="n"/>
      <c r="L634" s="69" t="n"/>
      <c r="M634" s="69" t="n"/>
      <c r="N634" s="69" t="n"/>
      <c r="O634" s="69" t="n"/>
      <c r="P634" s="69" t="n"/>
    </row>
    <row r="635" hidden="1" outlineLevel="1" ht="15" customHeight="1" s="15">
      <c r="B635" s="69" t="n"/>
      <c r="C635" s="69" t="n"/>
      <c r="D635" s="69" t="n"/>
      <c r="E635" s="70" t="n"/>
      <c r="F635" s="69" t="n"/>
      <c r="G635" s="69" t="n"/>
      <c r="H635" s="69" t="n"/>
      <c r="I635" s="69" t="n"/>
      <c r="J635" s="69" t="n"/>
      <c r="K635" s="69" t="n"/>
      <c r="L635" s="69" t="n"/>
      <c r="M635" s="69" t="n"/>
      <c r="N635" s="69" t="n"/>
      <c r="O635" s="69" t="n"/>
      <c r="P635" s="69" t="n"/>
    </row>
    <row r="636" hidden="1" outlineLevel="1" ht="15" customHeight="1" s="15">
      <c r="B636" s="69" t="n"/>
      <c r="C636" s="69" t="n"/>
      <c r="D636" s="69" t="n"/>
      <c r="E636" s="70" t="n"/>
      <c r="F636" s="69" t="n"/>
      <c r="G636" s="69" t="n"/>
      <c r="H636" s="69" t="n"/>
      <c r="I636" s="69" t="n"/>
      <c r="J636" s="69" t="n"/>
      <c r="K636" s="69" t="n"/>
      <c r="L636" s="69" t="n"/>
      <c r="M636" s="69" t="n"/>
      <c r="N636" s="69" t="n"/>
      <c r="O636" s="69" t="n"/>
      <c r="P636" s="69" t="n"/>
    </row>
    <row r="637" hidden="1" outlineLevel="1" ht="15" customHeight="1" s="15">
      <c r="B637" s="69" t="n"/>
      <c r="C637" s="69" t="n"/>
      <c r="D637" s="69" t="n"/>
      <c r="E637" s="70" t="n"/>
      <c r="F637" s="69" t="n"/>
      <c r="G637" s="69" t="n"/>
      <c r="H637" s="69" t="n"/>
      <c r="I637" s="69" t="n"/>
      <c r="J637" s="69" t="n"/>
      <c r="K637" s="69" t="n"/>
      <c r="L637" s="69" t="n"/>
      <c r="M637" s="69" t="n"/>
      <c r="N637" s="69" t="n"/>
      <c r="O637" s="69" t="n"/>
      <c r="P637" s="69" t="n"/>
    </row>
    <row r="638" hidden="1" outlineLevel="1" ht="15" customHeight="1" s="15">
      <c r="B638" s="69" t="n"/>
      <c r="C638" s="69" t="n"/>
      <c r="D638" s="69" t="n"/>
      <c r="E638" s="70" t="n"/>
      <c r="F638" s="69" t="n"/>
      <c r="G638" s="69" t="n"/>
      <c r="H638" s="69" t="n"/>
      <c r="I638" s="69" t="n"/>
      <c r="J638" s="69" t="n"/>
      <c r="K638" s="69" t="n"/>
      <c r="L638" s="69" t="n"/>
      <c r="M638" s="69" t="n"/>
      <c r="N638" s="69" t="n"/>
      <c r="O638" s="69" t="n"/>
      <c r="P638" s="69" t="n"/>
    </row>
    <row r="639" hidden="1" outlineLevel="1" ht="15" customHeight="1" s="15">
      <c r="B639" s="69" t="n"/>
      <c r="C639" s="69" t="n"/>
      <c r="D639" s="69" t="n"/>
      <c r="E639" s="70" t="n"/>
      <c r="F639" s="69" t="n"/>
      <c r="G639" s="69" t="n"/>
      <c r="H639" s="69" t="n"/>
      <c r="I639" s="69" t="n"/>
      <c r="J639" s="69" t="n"/>
      <c r="K639" s="69" t="n"/>
      <c r="L639" s="69" t="n"/>
      <c r="M639" s="69" t="n"/>
      <c r="N639" s="69" t="n"/>
      <c r="O639" s="69" t="n"/>
      <c r="P639" s="69" t="n"/>
    </row>
    <row r="640" hidden="1" outlineLevel="1" ht="15" customHeight="1" s="15">
      <c r="B640" s="69" t="n"/>
      <c r="C640" s="69" t="n"/>
      <c r="D640" s="69" t="n"/>
      <c r="E640" s="70" t="n"/>
      <c r="F640" s="69" t="n"/>
      <c r="G640" s="69" t="n"/>
      <c r="H640" s="69" t="n"/>
      <c r="I640" s="69" t="n"/>
      <c r="J640" s="69" t="n"/>
      <c r="K640" s="69" t="n"/>
      <c r="L640" s="69" t="n"/>
      <c r="M640" s="69" t="n"/>
      <c r="N640" s="69" t="n"/>
      <c r="O640" s="69" t="n"/>
      <c r="P640" s="69" t="n"/>
    </row>
    <row r="641" hidden="1" outlineLevel="1" ht="15" customHeight="1" s="15">
      <c r="B641" s="69" t="n"/>
      <c r="C641" s="69" t="n"/>
      <c r="D641" s="69" t="n"/>
      <c r="E641" s="70" t="n"/>
      <c r="F641" s="69" t="n"/>
      <c r="G641" s="69" t="n"/>
      <c r="H641" s="69" t="n"/>
      <c r="I641" s="69" t="n"/>
      <c r="J641" s="69" t="n"/>
      <c r="K641" s="69" t="n"/>
      <c r="L641" s="69" t="n"/>
      <c r="M641" s="69" t="n"/>
      <c r="N641" s="69" t="n"/>
      <c r="O641" s="69" t="n"/>
      <c r="P641" s="69" t="n"/>
    </row>
    <row r="642" hidden="1" outlineLevel="1" ht="15" customHeight="1" s="15">
      <c r="B642" s="69" t="n"/>
      <c r="C642" s="69" t="n"/>
      <c r="D642" s="69" t="n"/>
      <c r="E642" s="70" t="n"/>
      <c r="F642" s="69" t="n"/>
      <c r="G642" s="69" t="n"/>
      <c r="H642" s="69" t="n"/>
      <c r="I642" s="69" t="n"/>
      <c r="J642" s="69" t="n"/>
      <c r="K642" s="69" t="n"/>
      <c r="L642" s="69" t="n"/>
      <c r="M642" s="69" t="n"/>
      <c r="N642" s="69" t="n"/>
      <c r="O642" s="69" t="n"/>
      <c r="P642" s="69" t="n"/>
    </row>
    <row r="643" hidden="1" outlineLevel="1" ht="15" customHeight="1" s="15">
      <c r="B643" s="69" t="n"/>
      <c r="C643" s="69" t="n"/>
      <c r="D643" s="69" t="n"/>
      <c r="E643" s="70" t="n"/>
      <c r="F643" s="69" t="n"/>
      <c r="G643" s="69" t="n"/>
      <c r="H643" s="69" t="n"/>
      <c r="I643" s="69" t="n"/>
      <c r="J643" s="69" t="n"/>
      <c r="K643" s="69" t="n"/>
      <c r="L643" s="69" t="n"/>
      <c r="M643" s="69" t="n"/>
      <c r="N643" s="69" t="n"/>
      <c r="O643" s="69" t="n"/>
      <c r="P643" s="69" t="n"/>
    </row>
    <row r="644" hidden="1" outlineLevel="1" ht="15" customHeight="1" s="15">
      <c r="B644" s="69" t="n"/>
      <c r="C644" s="69" t="n"/>
      <c r="D644" s="69" t="n"/>
      <c r="E644" s="70" t="n"/>
      <c r="F644" s="69" t="n"/>
      <c r="G644" s="69" t="n"/>
      <c r="H644" s="69" t="n"/>
      <c r="I644" s="69" t="n"/>
      <c r="J644" s="69" t="n"/>
      <c r="K644" s="69" t="n"/>
      <c r="L644" s="69" t="n"/>
      <c r="M644" s="69" t="n"/>
      <c r="N644" s="69" t="n"/>
      <c r="O644" s="69" t="n"/>
      <c r="P644" s="69" t="n"/>
    </row>
    <row r="645" hidden="1" outlineLevel="1" ht="15" customHeight="1" s="15">
      <c r="B645" s="69" t="n"/>
      <c r="C645" s="69" t="n"/>
      <c r="D645" s="69" t="n"/>
      <c r="E645" s="70" t="n"/>
      <c r="F645" s="69" t="n"/>
      <c r="G645" s="69" t="n"/>
      <c r="H645" s="69" t="n"/>
      <c r="I645" s="69" t="n"/>
      <c r="J645" s="69" t="n"/>
      <c r="K645" s="69" t="n"/>
      <c r="L645" s="69" t="n"/>
      <c r="M645" s="69" t="n"/>
      <c r="N645" s="69" t="n"/>
      <c r="O645" s="69" t="n"/>
      <c r="P645" s="69" t="n"/>
    </row>
    <row r="646" hidden="1" outlineLevel="1" ht="15" customHeight="1" s="15">
      <c r="B646" s="69" t="n"/>
      <c r="C646" s="69" t="n"/>
      <c r="D646" s="69" t="n"/>
      <c r="E646" s="70" t="n"/>
      <c r="F646" s="69" t="n"/>
      <c r="G646" s="69" t="n"/>
      <c r="H646" s="69" t="n"/>
      <c r="I646" s="69" t="n"/>
      <c r="J646" s="69" t="n"/>
      <c r="K646" s="69" t="n"/>
      <c r="L646" s="69" t="n"/>
      <c r="M646" s="69" t="n"/>
      <c r="N646" s="69" t="n"/>
      <c r="O646" s="69" t="n"/>
      <c r="P646" s="69" t="n"/>
    </row>
    <row r="647" hidden="1" outlineLevel="1" ht="15" customHeight="1" s="15">
      <c r="B647" s="69" t="n"/>
      <c r="C647" s="69" t="n"/>
      <c r="D647" s="69" t="n"/>
      <c r="E647" s="70" t="n"/>
      <c r="F647" s="69" t="n"/>
      <c r="G647" s="69" t="n"/>
      <c r="H647" s="69" t="n"/>
      <c r="I647" s="69" t="n"/>
      <c r="J647" s="69" t="n"/>
      <c r="K647" s="69" t="n"/>
      <c r="L647" s="69" t="n"/>
      <c r="M647" s="69" t="n"/>
      <c r="N647" s="69" t="n"/>
      <c r="O647" s="69" t="n"/>
      <c r="P647" s="69" t="n"/>
    </row>
    <row r="648" hidden="1" outlineLevel="1" ht="15" customHeight="1" s="15">
      <c r="B648" s="69" t="n"/>
      <c r="C648" s="69" t="n"/>
      <c r="D648" s="69" t="n"/>
      <c r="E648" s="70" t="n"/>
      <c r="F648" s="69" t="n"/>
      <c r="G648" s="69" t="n"/>
      <c r="H648" s="69" t="n"/>
      <c r="I648" s="69" t="n"/>
      <c r="J648" s="69" t="n"/>
      <c r="K648" s="69" t="n"/>
      <c r="L648" s="69" t="n"/>
      <c r="M648" s="69" t="n"/>
      <c r="N648" s="69" t="n"/>
      <c r="O648" s="69" t="n"/>
      <c r="P648" s="69" t="n"/>
    </row>
    <row r="649" hidden="1" outlineLevel="1" ht="15" customHeight="1" s="15">
      <c r="B649" s="69" t="n"/>
      <c r="C649" s="69" t="n"/>
      <c r="D649" s="69" t="n"/>
      <c r="E649" s="70" t="n"/>
      <c r="F649" s="69" t="n"/>
      <c r="G649" s="69" t="n"/>
      <c r="H649" s="69" t="n"/>
      <c r="I649" s="69" t="n"/>
      <c r="J649" s="69" t="n"/>
      <c r="K649" s="69" t="n"/>
      <c r="L649" s="69" t="n"/>
      <c r="M649" s="69" t="n"/>
      <c r="N649" s="69" t="n"/>
      <c r="O649" s="69" t="n"/>
      <c r="P649" s="69" t="n"/>
    </row>
    <row r="650" hidden="1" outlineLevel="1" ht="15" customHeight="1" s="15">
      <c r="B650" s="69" t="n"/>
      <c r="C650" s="69" t="n"/>
      <c r="D650" s="69" t="n"/>
      <c r="E650" s="70" t="n"/>
      <c r="F650" s="69" t="n"/>
      <c r="G650" s="69" t="n"/>
      <c r="H650" s="69" t="n"/>
      <c r="I650" s="69" t="n"/>
      <c r="J650" s="69" t="n"/>
      <c r="K650" s="69" t="n"/>
      <c r="L650" s="69" t="n"/>
      <c r="M650" s="69" t="n"/>
      <c r="N650" s="69" t="n"/>
      <c r="O650" s="69" t="n"/>
      <c r="P650" s="69" t="n"/>
    </row>
    <row r="651" hidden="1" outlineLevel="1" ht="15" customHeight="1" s="15">
      <c r="B651" s="69" t="n"/>
      <c r="C651" s="69" t="n"/>
      <c r="D651" s="69" t="n"/>
      <c r="E651" s="70" t="n"/>
      <c r="F651" s="69" t="n"/>
      <c r="G651" s="69" t="n"/>
      <c r="H651" s="69" t="n"/>
      <c r="I651" s="69" t="n"/>
      <c r="J651" s="69" t="n"/>
      <c r="K651" s="69" t="n"/>
      <c r="L651" s="69" t="n"/>
      <c r="M651" s="69" t="n"/>
      <c r="N651" s="69" t="n"/>
      <c r="O651" s="69" t="n"/>
      <c r="P651" s="69" t="n"/>
    </row>
    <row r="652" hidden="1" outlineLevel="1" ht="15" customHeight="1" s="15">
      <c r="B652" s="69" t="n"/>
      <c r="C652" s="69" t="n"/>
      <c r="D652" s="69" t="n"/>
      <c r="E652" s="70" t="n"/>
      <c r="F652" s="69" t="n"/>
      <c r="G652" s="69" t="n"/>
      <c r="H652" s="69" t="n"/>
      <c r="I652" s="69" t="n"/>
      <c r="J652" s="69" t="n"/>
      <c r="K652" s="69" t="n"/>
      <c r="L652" s="69" t="n"/>
      <c r="M652" s="69" t="n"/>
      <c r="N652" s="69" t="n"/>
      <c r="O652" s="69" t="n"/>
      <c r="P652" s="69" t="n"/>
    </row>
    <row r="653" hidden="1" outlineLevel="1" ht="15" customHeight="1" s="15">
      <c r="B653" s="69" t="n"/>
      <c r="C653" s="69" t="n"/>
      <c r="D653" s="69" t="n"/>
      <c r="E653" s="70" t="n"/>
      <c r="F653" s="69" t="n"/>
      <c r="G653" s="69" t="n"/>
      <c r="H653" s="69" t="n"/>
      <c r="I653" s="69" t="n"/>
      <c r="J653" s="69" t="n"/>
      <c r="K653" s="69" t="n"/>
      <c r="L653" s="69" t="n"/>
      <c r="M653" s="69" t="n"/>
      <c r="N653" s="69" t="n"/>
      <c r="O653" s="69" t="n"/>
      <c r="P653" s="69" t="n"/>
    </row>
    <row r="654" hidden="1" outlineLevel="1" ht="15" customHeight="1" s="15">
      <c r="B654" s="69" t="n"/>
      <c r="C654" s="69" t="n"/>
      <c r="D654" s="69" t="n"/>
      <c r="E654" s="70" t="n"/>
      <c r="F654" s="69" t="n"/>
      <c r="G654" s="69" t="n"/>
      <c r="H654" s="69" t="n"/>
      <c r="I654" s="69" t="n"/>
      <c r="J654" s="69" t="n"/>
      <c r="K654" s="69" t="n"/>
      <c r="L654" s="69" t="n"/>
      <c r="M654" s="69" t="n"/>
      <c r="N654" s="69" t="n"/>
      <c r="O654" s="69" t="n"/>
      <c r="P654" s="69" t="n"/>
    </row>
    <row r="655" hidden="1" outlineLevel="1" ht="15" customHeight="1" s="15">
      <c r="B655" s="69" t="n"/>
      <c r="C655" s="69" t="n"/>
      <c r="D655" s="69" t="n"/>
      <c r="E655" s="70" t="n"/>
      <c r="F655" s="69" t="n"/>
      <c r="G655" s="69" t="n"/>
      <c r="H655" s="69" t="n"/>
      <c r="I655" s="69" t="n"/>
      <c r="J655" s="69" t="n"/>
      <c r="K655" s="69" t="n"/>
      <c r="L655" s="69" t="n"/>
      <c r="M655" s="69" t="n"/>
      <c r="N655" s="69" t="n"/>
      <c r="O655" s="69" t="n"/>
      <c r="P655" s="69" t="n"/>
    </row>
    <row r="656" hidden="1" outlineLevel="1" ht="15" customHeight="1" s="15">
      <c r="B656" s="69" t="n"/>
      <c r="C656" s="69" t="n"/>
      <c r="D656" s="69" t="n"/>
      <c r="E656" s="70" t="n"/>
      <c r="F656" s="69" t="n"/>
      <c r="G656" s="69" t="n"/>
      <c r="H656" s="69" t="n"/>
      <c r="I656" s="69" t="n"/>
      <c r="J656" s="69" t="n"/>
      <c r="K656" s="69" t="n"/>
      <c r="L656" s="69" t="n"/>
      <c r="M656" s="69" t="n"/>
      <c r="N656" s="69" t="n"/>
      <c r="O656" s="69" t="n"/>
      <c r="P656" s="69" t="n"/>
    </row>
    <row r="657" hidden="1" outlineLevel="1" ht="15" customHeight="1" s="15">
      <c r="B657" s="69" t="n"/>
      <c r="C657" s="69" t="n"/>
      <c r="D657" s="69" t="n"/>
      <c r="E657" s="70" t="n"/>
      <c r="F657" s="69" t="n"/>
      <c r="G657" s="69" t="n"/>
      <c r="H657" s="69" t="n"/>
      <c r="I657" s="69" t="n"/>
      <c r="J657" s="69" t="n"/>
      <c r="K657" s="69" t="n"/>
      <c r="L657" s="69" t="n"/>
      <c r="M657" s="69" t="n"/>
      <c r="N657" s="69" t="n"/>
      <c r="O657" s="69" t="n"/>
      <c r="P657" s="69" t="n"/>
    </row>
    <row r="658" hidden="1" outlineLevel="1" ht="15" customHeight="1" s="15">
      <c r="B658" s="69" t="n"/>
      <c r="C658" s="69" t="n"/>
      <c r="D658" s="69" t="n"/>
      <c r="E658" s="70" t="n"/>
      <c r="F658" s="69" t="n"/>
      <c r="G658" s="69" t="n"/>
      <c r="H658" s="69" t="n"/>
      <c r="I658" s="69" t="n"/>
      <c r="J658" s="69" t="n"/>
      <c r="K658" s="69" t="n"/>
      <c r="L658" s="69" t="n"/>
      <c r="M658" s="69" t="n"/>
      <c r="N658" s="69" t="n"/>
      <c r="O658" s="69" t="n"/>
      <c r="P658" s="69" t="n"/>
    </row>
    <row r="659" hidden="1" outlineLevel="1" ht="15" customHeight="1" s="15">
      <c r="B659" s="69" t="n"/>
      <c r="C659" s="69" t="n"/>
      <c r="D659" s="69" t="n"/>
      <c r="E659" s="70" t="n"/>
      <c r="F659" s="69" t="n"/>
      <c r="G659" s="69" t="n"/>
      <c r="H659" s="69" t="n"/>
      <c r="I659" s="69" t="n"/>
      <c r="J659" s="69" t="n"/>
      <c r="K659" s="69" t="n"/>
      <c r="L659" s="69" t="n"/>
      <c r="M659" s="69" t="n"/>
      <c r="N659" s="69" t="n"/>
      <c r="O659" s="69" t="n"/>
      <c r="P659" s="69" t="n"/>
    </row>
    <row r="660" hidden="1" outlineLevel="1" ht="15" customHeight="1" s="15">
      <c r="B660" s="69" t="n"/>
      <c r="C660" s="69" t="n"/>
      <c r="D660" s="69" t="n"/>
      <c r="E660" s="70" t="n"/>
      <c r="F660" s="69" t="n"/>
      <c r="G660" s="69" t="n"/>
      <c r="H660" s="69" t="n"/>
      <c r="I660" s="69" t="n"/>
      <c r="J660" s="69" t="n"/>
      <c r="K660" s="69" t="n"/>
      <c r="L660" s="69" t="n"/>
      <c r="M660" s="69" t="n"/>
      <c r="N660" s="69" t="n"/>
      <c r="O660" s="69" t="n"/>
      <c r="P660" s="69" t="n"/>
    </row>
    <row r="661" hidden="1" outlineLevel="1" ht="15" customHeight="1" s="15">
      <c r="B661" s="69" t="n"/>
      <c r="C661" s="69" t="n"/>
      <c r="D661" s="69" t="n"/>
      <c r="E661" s="70" t="n"/>
      <c r="F661" s="69" t="n"/>
      <c r="G661" s="69" t="n"/>
      <c r="H661" s="69" t="n"/>
      <c r="I661" s="69" t="n"/>
      <c r="J661" s="69" t="n"/>
      <c r="K661" s="69" t="n"/>
      <c r="L661" s="69" t="n"/>
      <c r="M661" s="69" t="n"/>
      <c r="N661" s="69" t="n"/>
      <c r="O661" s="69" t="n"/>
      <c r="P661" s="69" t="n"/>
    </row>
    <row r="662" hidden="1" outlineLevel="1" ht="15" customHeight="1" s="15">
      <c r="B662" s="69" t="n"/>
      <c r="C662" s="69" t="n"/>
      <c r="D662" s="69" t="n"/>
      <c r="E662" s="70" t="n"/>
      <c r="F662" s="69" t="n"/>
      <c r="G662" s="69" t="n"/>
      <c r="H662" s="69" t="n"/>
      <c r="I662" s="69" t="n"/>
      <c r="J662" s="69" t="n"/>
      <c r="K662" s="69" t="n"/>
      <c r="L662" s="69" t="n"/>
      <c r="M662" s="69" t="n"/>
      <c r="N662" s="69" t="n"/>
      <c r="O662" s="69" t="n"/>
      <c r="P662" s="69" t="n"/>
    </row>
    <row r="663" hidden="1" outlineLevel="1" ht="15" customHeight="1" s="15">
      <c r="B663" s="69" t="n"/>
      <c r="C663" s="69" t="n"/>
      <c r="D663" s="69" t="n"/>
      <c r="E663" s="70" t="n"/>
      <c r="F663" s="69" t="n"/>
      <c r="G663" s="69" t="n"/>
      <c r="H663" s="69" t="n"/>
      <c r="I663" s="69" t="n"/>
      <c r="J663" s="69" t="n"/>
      <c r="K663" s="69" t="n"/>
      <c r="L663" s="69" t="n"/>
      <c r="M663" s="69" t="n"/>
      <c r="N663" s="69" t="n"/>
      <c r="O663" s="69" t="n"/>
      <c r="P663" s="69" t="n"/>
    </row>
    <row r="664" hidden="1" outlineLevel="1" ht="15" customHeight="1" s="15">
      <c r="B664" s="69" t="n"/>
      <c r="C664" s="69" t="n"/>
      <c r="D664" s="69" t="n"/>
      <c r="E664" s="70" t="n"/>
      <c r="F664" s="69" t="n"/>
      <c r="G664" s="69" t="n"/>
      <c r="H664" s="69" t="n"/>
      <c r="I664" s="69" t="n"/>
      <c r="J664" s="69" t="n"/>
      <c r="K664" s="69" t="n"/>
      <c r="L664" s="69" t="n"/>
      <c r="M664" s="69" t="n"/>
      <c r="N664" s="69" t="n"/>
      <c r="O664" s="69" t="n"/>
      <c r="P664" s="69" t="n"/>
    </row>
    <row r="665" hidden="1" outlineLevel="1" ht="15" customHeight="1" s="15">
      <c r="B665" s="69" t="n"/>
      <c r="C665" s="69" t="n"/>
      <c r="D665" s="69" t="n"/>
      <c r="E665" s="70" t="n"/>
      <c r="F665" s="69" t="n"/>
      <c r="G665" s="69" t="n"/>
      <c r="H665" s="69" t="n"/>
      <c r="I665" s="69" t="n"/>
      <c r="J665" s="69" t="n"/>
      <c r="K665" s="69" t="n"/>
      <c r="L665" s="69" t="n"/>
      <c r="M665" s="69" t="n"/>
      <c r="N665" s="69" t="n"/>
      <c r="O665" s="69" t="n"/>
      <c r="P665" s="69" t="n"/>
    </row>
    <row r="666" collapsed="1" ht="19.5" customHeight="1" s="15">
      <c r="B666" s="6" t="inlineStr">
        <is>
          <t>ℹ  Coller ici (Collage spécial &gt; Valeurs) les lignes agents de JOURNAL pour Octobre — fond bleu-gris = zone d'archive, pas de formule.</t>
        </is>
      </c>
    </row>
    <row r="668" ht="19.5" customHeight="1" s="15">
      <c r="B668" s="4" t="inlineStr">
        <is>
          <t xml:space="preserve">  NOVEMBRE — bloc à remplir à la clôture</t>
        </is>
      </c>
    </row>
    <row r="669" ht="25.5" customHeight="1" s="15">
      <c r="B669" s="40" t="inlineStr">
        <is>
          <t>Année</t>
        </is>
      </c>
      <c r="C669" s="40" t="inlineStr">
        <is>
          <t>Mois</t>
        </is>
      </c>
      <c r="D669" s="40" t="inlineStr">
        <is>
          <t>Matricule</t>
        </is>
      </c>
      <c r="E669" s="40" t="inlineStr">
        <is>
          <t>Nom</t>
        </is>
      </c>
      <c r="F669" s="40" t="inlineStr">
        <is>
          <t>BRUT</t>
        </is>
      </c>
      <c r="G669" s="40" t="inlineStr">
        <is>
          <t>CNSS salariale</t>
        </is>
      </c>
      <c r="H669" s="40" t="inlineStr">
        <is>
          <t>IPR</t>
        </is>
      </c>
      <c r="I669" s="40" t="inlineStr">
        <is>
          <t>NET avant retenues</t>
        </is>
      </c>
      <c r="J669" s="40" t="inlineStr">
        <is>
          <t>Avance</t>
        </is>
      </c>
      <c r="K669" s="40" t="inlineStr">
        <is>
          <t>Retenues diverses</t>
        </is>
      </c>
      <c r="L669" s="40" t="inlineStr">
        <is>
          <t>NET À PAYER</t>
        </is>
      </c>
      <c r="M669" s="40" t="inlineStr">
        <is>
          <t>CNSS patronale</t>
        </is>
      </c>
      <c r="N669" s="40" t="inlineStr">
        <is>
          <t>INPP</t>
        </is>
      </c>
      <c r="O669" s="40" t="inlineStr">
        <is>
          <t>ONEM</t>
        </is>
      </c>
      <c r="P669" s="40" t="inlineStr">
        <is>
          <t>Coût total employeur</t>
        </is>
      </c>
    </row>
    <row r="670" hidden="1" outlineLevel="1" ht="15" customHeight="1" s="15">
      <c r="B670" s="69" t="n"/>
      <c r="C670" s="69" t="n"/>
      <c r="D670" s="69" t="n"/>
      <c r="E670" s="70" t="n"/>
      <c r="F670" s="69" t="n"/>
      <c r="G670" s="69" t="n"/>
      <c r="H670" s="69" t="n"/>
      <c r="I670" s="69" t="n"/>
      <c r="J670" s="69" t="n"/>
      <c r="K670" s="69" t="n"/>
      <c r="L670" s="69" t="n"/>
      <c r="M670" s="69" t="n"/>
      <c r="N670" s="69" t="n"/>
      <c r="O670" s="69" t="n"/>
      <c r="P670" s="69" t="n"/>
    </row>
    <row r="671" hidden="1" outlineLevel="1" ht="15" customHeight="1" s="15">
      <c r="B671" s="69" t="n"/>
      <c r="C671" s="69" t="n"/>
      <c r="D671" s="69" t="n"/>
      <c r="E671" s="70" t="n"/>
      <c r="F671" s="69" t="n"/>
      <c r="G671" s="69" t="n"/>
      <c r="H671" s="69" t="n"/>
      <c r="I671" s="69" t="n"/>
      <c r="J671" s="69" t="n"/>
      <c r="K671" s="69" t="n"/>
      <c r="L671" s="69" t="n"/>
      <c r="M671" s="69" t="n"/>
      <c r="N671" s="69" t="n"/>
      <c r="O671" s="69" t="n"/>
      <c r="P671" s="69" t="n"/>
    </row>
    <row r="672" hidden="1" outlineLevel="1" ht="15" customHeight="1" s="15">
      <c r="B672" s="69" t="n"/>
      <c r="C672" s="69" t="n"/>
      <c r="D672" s="69" t="n"/>
      <c r="E672" s="70" t="n"/>
      <c r="F672" s="69" t="n"/>
      <c r="G672" s="69" t="n"/>
      <c r="H672" s="69" t="n"/>
      <c r="I672" s="69" t="n"/>
      <c r="J672" s="69" t="n"/>
      <c r="K672" s="69" t="n"/>
      <c r="L672" s="69" t="n"/>
      <c r="M672" s="69" t="n"/>
      <c r="N672" s="69" t="n"/>
      <c r="O672" s="69" t="n"/>
      <c r="P672" s="69" t="n"/>
    </row>
    <row r="673" hidden="1" outlineLevel="1" ht="15" customHeight="1" s="15">
      <c r="B673" s="69" t="n"/>
      <c r="C673" s="69" t="n"/>
      <c r="D673" s="69" t="n"/>
      <c r="E673" s="70" t="n"/>
      <c r="F673" s="69" t="n"/>
      <c r="G673" s="69" t="n"/>
      <c r="H673" s="69" t="n"/>
      <c r="I673" s="69" t="n"/>
      <c r="J673" s="69" t="n"/>
      <c r="K673" s="69" t="n"/>
      <c r="L673" s="69" t="n"/>
      <c r="M673" s="69" t="n"/>
      <c r="N673" s="69" t="n"/>
      <c r="O673" s="69" t="n"/>
      <c r="P673" s="69" t="n"/>
    </row>
    <row r="674" hidden="1" outlineLevel="1" ht="15" customHeight="1" s="15">
      <c r="B674" s="69" t="n"/>
      <c r="C674" s="69" t="n"/>
      <c r="D674" s="69" t="n"/>
      <c r="E674" s="70" t="n"/>
      <c r="F674" s="69" t="n"/>
      <c r="G674" s="69" t="n"/>
      <c r="H674" s="69" t="n"/>
      <c r="I674" s="69" t="n"/>
      <c r="J674" s="69" t="n"/>
      <c r="K674" s="69" t="n"/>
      <c r="L674" s="69" t="n"/>
      <c r="M674" s="69" t="n"/>
      <c r="N674" s="69" t="n"/>
      <c r="O674" s="69" t="n"/>
      <c r="P674" s="69" t="n"/>
    </row>
    <row r="675" hidden="1" outlineLevel="1" ht="15" customHeight="1" s="15">
      <c r="B675" s="69" t="n"/>
      <c r="C675" s="69" t="n"/>
      <c r="D675" s="69" t="n"/>
      <c r="E675" s="70" t="n"/>
      <c r="F675" s="69" t="n"/>
      <c r="G675" s="69" t="n"/>
      <c r="H675" s="69" t="n"/>
      <c r="I675" s="69" t="n"/>
      <c r="J675" s="69" t="n"/>
      <c r="K675" s="69" t="n"/>
      <c r="L675" s="69" t="n"/>
      <c r="M675" s="69" t="n"/>
      <c r="N675" s="69" t="n"/>
      <c r="O675" s="69" t="n"/>
      <c r="P675" s="69" t="n"/>
    </row>
    <row r="676" hidden="1" outlineLevel="1" ht="15" customHeight="1" s="15">
      <c r="B676" s="69" t="n"/>
      <c r="C676" s="69" t="n"/>
      <c r="D676" s="69" t="n"/>
      <c r="E676" s="70" t="n"/>
      <c r="F676" s="69" t="n"/>
      <c r="G676" s="69" t="n"/>
      <c r="H676" s="69" t="n"/>
      <c r="I676" s="69" t="n"/>
      <c r="J676" s="69" t="n"/>
      <c r="K676" s="69" t="n"/>
      <c r="L676" s="69" t="n"/>
      <c r="M676" s="69" t="n"/>
      <c r="N676" s="69" t="n"/>
      <c r="O676" s="69" t="n"/>
      <c r="P676" s="69" t="n"/>
    </row>
    <row r="677" hidden="1" outlineLevel="1" ht="15" customHeight="1" s="15">
      <c r="B677" s="69" t="n"/>
      <c r="C677" s="69" t="n"/>
      <c r="D677" s="69" t="n"/>
      <c r="E677" s="70" t="n"/>
      <c r="F677" s="69" t="n"/>
      <c r="G677" s="69" t="n"/>
      <c r="H677" s="69" t="n"/>
      <c r="I677" s="69" t="n"/>
      <c r="J677" s="69" t="n"/>
      <c r="K677" s="69" t="n"/>
      <c r="L677" s="69" t="n"/>
      <c r="M677" s="69" t="n"/>
      <c r="N677" s="69" t="n"/>
      <c r="O677" s="69" t="n"/>
      <c r="P677" s="69" t="n"/>
    </row>
    <row r="678" hidden="1" outlineLevel="1" ht="15" customHeight="1" s="15">
      <c r="B678" s="69" t="n"/>
      <c r="C678" s="69" t="n"/>
      <c r="D678" s="69" t="n"/>
      <c r="E678" s="70" t="n"/>
      <c r="F678" s="69" t="n"/>
      <c r="G678" s="69" t="n"/>
      <c r="H678" s="69" t="n"/>
      <c r="I678" s="69" t="n"/>
      <c r="J678" s="69" t="n"/>
      <c r="K678" s="69" t="n"/>
      <c r="L678" s="69" t="n"/>
      <c r="M678" s="69" t="n"/>
      <c r="N678" s="69" t="n"/>
      <c r="O678" s="69" t="n"/>
      <c r="P678" s="69" t="n"/>
    </row>
    <row r="679" hidden="1" outlineLevel="1" ht="15" customHeight="1" s="15">
      <c r="B679" s="69" t="n"/>
      <c r="C679" s="69" t="n"/>
      <c r="D679" s="69" t="n"/>
      <c r="E679" s="70" t="n"/>
      <c r="F679" s="69" t="n"/>
      <c r="G679" s="69" t="n"/>
      <c r="H679" s="69" t="n"/>
      <c r="I679" s="69" t="n"/>
      <c r="J679" s="69" t="n"/>
      <c r="K679" s="69" t="n"/>
      <c r="L679" s="69" t="n"/>
      <c r="M679" s="69" t="n"/>
      <c r="N679" s="69" t="n"/>
      <c r="O679" s="69" t="n"/>
      <c r="P679" s="69" t="n"/>
    </row>
    <row r="680" hidden="1" outlineLevel="1" ht="15" customHeight="1" s="15">
      <c r="B680" s="69" t="n"/>
      <c r="C680" s="69" t="n"/>
      <c r="D680" s="69" t="n"/>
      <c r="E680" s="70" t="n"/>
      <c r="F680" s="69" t="n"/>
      <c r="G680" s="69" t="n"/>
      <c r="H680" s="69" t="n"/>
      <c r="I680" s="69" t="n"/>
      <c r="J680" s="69" t="n"/>
      <c r="K680" s="69" t="n"/>
      <c r="L680" s="69" t="n"/>
      <c r="M680" s="69" t="n"/>
      <c r="N680" s="69" t="n"/>
      <c r="O680" s="69" t="n"/>
      <c r="P680" s="69" t="n"/>
    </row>
    <row r="681" hidden="1" outlineLevel="1" ht="15" customHeight="1" s="15">
      <c r="B681" s="69" t="n"/>
      <c r="C681" s="69" t="n"/>
      <c r="D681" s="69" t="n"/>
      <c r="E681" s="70" t="n"/>
      <c r="F681" s="69" t="n"/>
      <c r="G681" s="69" t="n"/>
      <c r="H681" s="69" t="n"/>
      <c r="I681" s="69" t="n"/>
      <c r="J681" s="69" t="n"/>
      <c r="K681" s="69" t="n"/>
      <c r="L681" s="69" t="n"/>
      <c r="M681" s="69" t="n"/>
      <c r="N681" s="69" t="n"/>
      <c r="O681" s="69" t="n"/>
      <c r="P681" s="69" t="n"/>
    </row>
    <row r="682" hidden="1" outlineLevel="1" ht="15" customHeight="1" s="15">
      <c r="B682" s="69" t="n"/>
      <c r="C682" s="69" t="n"/>
      <c r="D682" s="69" t="n"/>
      <c r="E682" s="70" t="n"/>
      <c r="F682" s="69" t="n"/>
      <c r="G682" s="69" t="n"/>
      <c r="H682" s="69" t="n"/>
      <c r="I682" s="69" t="n"/>
      <c r="J682" s="69" t="n"/>
      <c r="K682" s="69" t="n"/>
      <c r="L682" s="69" t="n"/>
      <c r="M682" s="69" t="n"/>
      <c r="N682" s="69" t="n"/>
      <c r="O682" s="69" t="n"/>
      <c r="P682" s="69" t="n"/>
    </row>
    <row r="683" hidden="1" outlineLevel="1" ht="15" customHeight="1" s="15">
      <c r="B683" s="69" t="n"/>
      <c r="C683" s="69" t="n"/>
      <c r="D683" s="69" t="n"/>
      <c r="E683" s="70" t="n"/>
      <c r="F683" s="69" t="n"/>
      <c r="G683" s="69" t="n"/>
      <c r="H683" s="69" t="n"/>
      <c r="I683" s="69" t="n"/>
      <c r="J683" s="69" t="n"/>
      <c r="K683" s="69" t="n"/>
      <c r="L683" s="69" t="n"/>
      <c r="M683" s="69" t="n"/>
      <c r="N683" s="69" t="n"/>
      <c r="O683" s="69" t="n"/>
      <c r="P683" s="69" t="n"/>
    </row>
    <row r="684" hidden="1" outlineLevel="1" ht="15" customHeight="1" s="15">
      <c r="B684" s="69" t="n"/>
      <c r="C684" s="69" t="n"/>
      <c r="D684" s="69" t="n"/>
      <c r="E684" s="70" t="n"/>
      <c r="F684" s="69" t="n"/>
      <c r="G684" s="69" t="n"/>
      <c r="H684" s="69" t="n"/>
      <c r="I684" s="69" t="n"/>
      <c r="J684" s="69" t="n"/>
      <c r="K684" s="69" t="n"/>
      <c r="L684" s="69" t="n"/>
      <c r="M684" s="69" t="n"/>
      <c r="N684" s="69" t="n"/>
      <c r="O684" s="69" t="n"/>
      <c r="P684" s="69" t="n"/>
    </row>
    <row r="685" hidden="1" outlineLevel="1" ht="15" customHeight="1" s="15">
      <c r="B685" s="69" t="n"/>
      <c r="C685" s="69" t="n"/>
      <c r="D685" s="69" t="n"/>
      <c r="E685" s="70" t="n"/>
      <c r="F685" s="69" t="n"/>
      <c r="G685" s="69" t="n"/>
      <c r="H685" s="69" t="n"/>
      <c r="I685" s="69" t="n"/>
      <c r="J685" s="69" t="n"/>
      <c r="K685" s="69" t="n"/>
      <c r="L685" s="69" t="n"/>
      <c r="M685" s="69" t="n"/>
      <c r="N685" s="69" t="n"/>
      <c r="O685" s="69" t="n"/>
      <c r="P685" s="69" t="n"/>
    </row>
    <row r="686" hidden="1" outlineLevel="1" ht="15" customHeight="1" s="15">
      <c r="B686" s="69" t="n"/>
      <c r="C686" s="69" t="n"/>
      <c r="D686" s="69" t="n"/>
      <c r="E686" s="70" t="n"/>
      <c r="F686" s="69" t="n"/>
      <c r="G686" s="69" t="n"/>
      <c r="H686" s="69" t="n"/>
      <c r="I686" s="69" t="n"/>
      <c r="J686" s="69" t="n"/>
      <c r="K686" s="69" t="n"/>
      <c r="L686" s="69" t="n"/>
      <c r="M686" s="69" t="n"/>
      <c r="N686" s="69" t="n"/>
      <c r="O686" s="69" t="n"/>
      <c r="P686" s="69" t="n"/>
    </row>
    <row r="687" hidden="1" outlineLevel="1" ht="15" customHeight="1" s="15">
      <c r="B687" s="69" t="n"/>
      <c r="C687" s="69" t="n"/>
      <c r="D687" s="69" t="n"/>
      <c r="E687" s="70" t="n"/>
      <c r="F687" s="69" t="n"/>
      <c r="G687" s="69" t="n"/>
      <c r="H687" s="69" t="n"/>
      <c r="I687" s="69" t="n"/>
      <c r="J687" s="69" t="n"/>
      <c r="K687" s="69" t="n"/>
      <c r="L687" s="69" t="n"/>
      <c r="M687" s="69" t="n"/>
      <c r="N687" s="69" t="n"/>
      <c r="O687" s="69" t="n"/>
      <c r="P687" s="69" t="n"/>
    </row>
    <row r="688" hidden="1" outlineLevel="1" ht="15" customHeight="1" s="15">
      <c r="B688" s="69" t="n"/>
      <c r="C688" s="69" t="n"/>
      <c r="D688" s="69" t="n"/>
      <c r="E688" s="70" t="n"/>
      <c r="F688" s="69" t="n"/>
      <c r="G688" s="69" t="n"/>
      <c r="H688" s="69" t="n"/>
      <c r="I688" s="69" t="n"/>
      <c r="J688" s="69" t="n"/>
      <c r="K688" s="69" t="n"/>
      <c r="L688" s="69" t="n"/>
      <c r="M688" s="69" t="n"/>
      <c r="N688" s="69" t="n"/>
      <c r="O688" s="69" t="n"/>
      <c r="P688" s="69" t="n"/>
    </row>
    <row r="689" hidden="1" outlineLevel="1" ht="15" customHeight="1" s="15">
      <c r="B689" s="69" t="n"/>
      <c r="C689" s="69" t="n"/>
      <c r="D689" s="69" t="n"/>
      <c r="E689" s="70" t="n"/>
      <c r="F689" s="69" t="n"/>
      <c r="G689" s="69" t="n"/>
      <c r="H689" s="69" t="n"/>
      <c r="I689" s="69" t="n"/>
      <c r="J689" s="69" t="n"/>
      <c r="K689" s="69" t="n"/>
      <c r="L689" s="69" t="n"/>
      <c r="M689" s="69" t="n"/>
      <c r="N689" s="69" t="n"/>
      <c r="O689" s="69" t="n"/>
      <c r="P689" s="69" t="n"/>
    </row>
    <row r="690" hidden="1" outlineLevel="1" ht="15" customHeight="1" s="15">
      <c r="B690" s="69" t="n"/>
      <c r="C690" s="69" t="n"/>
      <c r="D690" s="69" t="n"/>
      <c r="E690" s="70" t="n"/>
      <c r="F690" s="69" t="n"/>
      <c r="G690" s="69" t="n"/>
      <c r="H690" s="69" t="n"/>
      <c r="I690" s="69" t="n"/>
      <c r="J690" s="69" t="n"/>
      <c r="K690" s="69" t="n"/>
      <c r="L690" s="69" t="n"/>
      <c r="M690" s="69" t="n"/>
      <c r="N690" s="69" t="n"/>
      <c r="O690" s="69" t="n"/>
      <c r="P690" s="69" t="n"/>
    </row>
    <row r="691" hidden="1" outlineLevel="1" ht="15" customHeight="1" s="15">
      <c r="B691" s="69" t="n"/>
      <c r="C691" s="69" t="n"/>
      <c r="D691" s="69" t="n"/>
      <c r="E691" s="70" t="n"/>
      <c r="F691" s="69" t="n"/>
      <c r="G691" s="69" t="n"/>
      <c r="H691" s="69" t="n"/>
      <c r="I691" s="69" t="n"/>
      <c r="J691" s="69" t="n"/>
      <c r="K691" s="69" t="n"/>
      <c r="L691" s="69" t="n"/>
      <c r="M691" s="69" t="n"/>
      <c r="N691" s="69" t="n"/>
      <c r="O691" s="69" t="n"/>
      <c r="P691" s="69" t="n"/>
    </row>
    <row r="692" hidden="1" outlineLevel="1" ht="15" customHeight="1" s="15">
      <c r="B692" s="69" t="n"/>
      <c r="C692" s="69" t="n"/>
      <c r="D692" s="69" t="n"/>
      <c r="E692" s="70" t="n"/>
      <c r="F692" s="69" t="n"/>
      <c r="G692" s="69" t="n"/>
      <c r="H692" s="69" t="n"/>
      <c r="I692" s="69" t="n"/>
      <c r="J692" s="69" t="n"/>
      <c r="K692" s="69" t="n"/>
      <c r="L692" s="69" t="n"/>
      <c r="M692" s="69" t="n"/>
      <c r="N692" s="69" t="n"/>
      <c r="O692" s="69" t="n"/>
      <c r="P692" s="69" t="n"/>
    </row>
    <row r="693" hidden="1" outlineLevel="1" ht="15" customHeight="1" s="15">
      <c r="B693" s="69" t="n"/>
      <c r="C693" s="69" t="n"/>
      <c r="D693" s="69" t="n"/>
      <c r="E693" s="70" t="n"/>
      <c r="F693" s="69" t="n"/>
      <c r="G693" s="69" t="n"/>
      <c r="H693" s="69" t="n"/>
      <c r="I693" s="69" t="n"/>
      <c r="J693" s="69" t="n"/>
      <c r="K693" s="69" t="n"/>
      <c r="L693" s="69" t="n"/>
      <c r="M693" s="69" t="n"/>
      <c r="N693" s="69" t="n"/>
      <c r="O693" s="69" t="n"/>
      <c r="P693" s="69" t="n"/>
    </row>
    <row r="694" hidden="1" outlineLevel="1" ht="15" customHeight="1" s="15">
      <c r="B694" s="69" t="n"/>
      <c r="C694" s="69" t="n"/>
      <c r="D694" s="69" t="n"/>
      <c r="E694" s="70" t="n"/>
      <c r="F694" s="69" t="n"/>
      <c r="G694" s="69" t="n"/>
      <c r="H694" s="69" t="n"/>
      <c r="I694" s="69" t="n"/>
      <c r="J694" s="69" t="n"/>
      <c r="K694" s="69" t="n"/>
      <c r="L694" s="69" t="n"/>
      <c r="M694" s="69" t="n"/>
      <c r="N694" s="69" t="n"/>
      <c r="O694" s="69" t="n"/>
      <c r="P694" s="69" t="n"/>
    </row>
    <row r="695" hidden="1" outlineLevel="1" ht="15" customHeight="1" s="15">
      <c r="B695" s="69" t="n"/>
      <c r="C695" s="69" t="n"/>
      <c r="D695" s="69" t="n"/>
      <c r="E695" s="70" t="n"/>
      <c r="F695" s="69" t="n"/>
      <c r="G695" s="69" t="n"/>
      <c r="H695" s="69" t="n"/>
      <c r="I695" s="69" t="n"/>
      <c r="J695" s="69" t="n"/>
      <c r="K695" s="69" t="n"/>
      <c r="L695" s="69" t="n"/>
      <c r="M695" s="69" t="n"/>
      <c r="N695" s="69" t="n"/>
      <c r="O695" s="69" t="n"/>
      <c r="P695" s="69" t="n"/>
    </row>
    <row r="696" hidden="1" outlineLevel="1" ht="15" customHeight="1" s="15">
      <c r="B696" s="69" t="n"/>
      <c r="C696" s="69" t="n"/>
      <c r="D696" s="69" t="n"/>
      <c r="E696" s="70" t="n"/>
      <c r="F696" s="69" t="n"/>
      <c r="G696" s="69" t="n"/>
      <c r="H696" s="69" t="n"/>
      <c r="I696" s="69" t="n"/>
      <c r="J696" s="69" t="n"/>
      <c r="K696" s="69" t="n"/>
      <c r="L696" s="69" t="n"/>
      <c r="M696" s="69" t="n"/>
      <c r="N696" s="69" t="n"/>
      <c r="O696" s="69" t="n"/>
      <c r="P696" s="69" t="n"/>
    </row>
    <row r="697" hidden="1" outlineLevel="1" ht="15" customHeight="1" s="15">
      <c r="B697" s="69" t="n"/>
      <c r="C697" s="69" t="n"/>
      <c r="D697" s="69" t="n"/>
      <c r="E697" s="70" t="n"/>
      <c r="F697" s="69" t="n"/>
      <c r="G697" s="69" t="n"/>
      <c r="H697" s="69" t="n"/>
      <c r="I697" s="69" t="n"/>
      <c r="J697" s="69" t="n"/>
      <c r="K697" s="69" t="n"/>
      <c r="L697" s="69" t="n"/>
      <c r="M697" s="69" t="n"/>
      <c r="N697" s="69" t="n"/>
      <c r="O697" s="69" t="n"/>
      <c r="P697" s="69" t="n"/>
    </row>
    <row r="698" hidden="1" outlineLevel="1" ht="15" customHeight="1" s="15">
      <c r="B698" s="69" t="n"/>
      <c r="C698" s="69" t="n"/>
      <c r="D698" s="69" t="n"/>
      <c r="E698" s="70" t="n"/>
      <c r="F698" s="69" t="n"/>
      <c r="G698" s="69" t="n"/>
      <c r="H698" s="69" t="n"/>
      <c r="I698" s="69" t="n"/>
      <c r="J698" s="69" t="n"/>
      <c r="K698" s="69" t="n"/>
      <c r="L698" s="69" t="n"/>
      <c r="M698" s="69" t="n"/>
      <c r="N698" s="69" t="n"/>
      <c r="O698" s="69" t="n"/>
      <c r="P698" s="69" t="n"/>
    </row>
    <row r="699" hidden="1" outlineLevel="1" ht="15" customHeight="1" s="15">
      <c r="B699" s="69" t="n"/>
      <c r="C699" s="69" t="n"/>
      <c r="D699" s="69" t="n"/>
      <c r="E699" s="70" t="n"/>
      <c r="F699" s="69" t="n"/>
      <c r="G699" s="69" t="n"/>
      <c r="H699" s="69" t="n"/>
      <c r="I699" s="69" t="n"/>
      <c r="J699" s="69" t="n"/>
      <c r="K699" s="69" t="n"/>
      <c r="L699" s="69" t="n"/>
      <c r="M699" s="69" t="n"/>
      <c r="N699" s="69" t="n"/>
      <c r="O699" s="69" t="n"/>
      <c r="P699" s="69" t="n"/>
    </row>
    <row r="700" hidden="1" outlineLevel="1" ht="15" customHeight="1" s="15">
      <c r="B700" s="69" t="n"/>
      <c r="C700" s="69" t="n"/>
      <c r="D700" s="69" t="n"/>
      <c r="E700" s="70" t="n"/>
      <c r="F700" s="69" t="n"/>
      <c r="G700" s="69" t="n"/>
      <c r="H700" s="69" t="n"/>
      <c r="I700" s="69" t="n"/>
      <c r="J700" s="69" t="n"/>
      <c r="K700" s="69" t="n"/>
      <c r="L700" s="69" t="n"/>
      <c r="M700" s="69" t="n"/>
      <c r="N700" s="69" t="n"/>
      <c r="O700" s="69" t="n"/>
      <c r="P700" s="69" t="n"/>
    </row>
    <row r="701" hidden="1" outlineLevel="1" ht="15" customHeight="1" s="15">
      <c r="B701" s="69" t="n"/>
      <c r="C701" s="69" t="n"/>
      <c r="D701" s="69" t="n"/>
      <c r="E701" s="70" t="n"/>
      <c r="F701" s="69" t="n"/>
      <c r="G701" s="69" t="n"/>
      <c r="H701" s="69" t="n"/>
      <c r="I701" s="69" t="n"/>
      <c r="J701" s="69" t="n"/>
      <c r="K701" s="69" t="n"/>
      <c r="L701" s="69" t="n"/>
      <c r="M701" s="69" t="n"/>
      <c r="N701" s="69" t="n"/>
      <c r="O701" s="69" t="n"/>
      <c r="P701" s="69" t="n"/>
    </row>
    <row r="702" hidden="1" outlineLevel="1" ht="15" customHeight="1" s="15">
      <c r="B702" s="69" t="n"/>
      <c r="C702" s="69" t="n"/>
      <c r="D702" s="69" t="n"/>
      <c r="E702" s="70" t="n"/>
      <c r="F702" s="69" t="n"/>
      <c r="G702" s="69" t="n"/>
      <c r="H702" s="69" t="n"/>
      <c r="I702" s="69" t="n"/>
      <c r="J702" s="69" t="n"/>
      <c r="K702" s="69" t="n"/>
      <c r="L702" s="69" t="n"/>
      <c r="M702" s="69" t="n"/>
      <c r="N702" s="69" t="n"/>
      <c r="O702" s="69" t="n"/>
      <c r="P702" s="69" t="n"/>
    </row>
    <row r="703" hidden="1" outlineLevel="1" ht="15" customHeight="1" s="15">
      <c r="B703" s="69" t="n"/>
      <c r="C703" s="69" t="n"/>
      <c r="D703" s="69" t="n"/>
      <c r="E703" s="70" t="n"/>
      <c r="F703" s="69" t="n"/>
      <c r="G703" s="69" t="n"/>
      <c r="H703" s="69" t="n"/>
      <c r="I703" s="69" t="n"/>
      <c r="J703" s="69" t="n"/>
      <c r="K703" s="69" t="n"/>
      <c r="L703" s="69" t="n"/>
      <c r="M703" s="69" t="n"/>
      <c r="N703" s="69" t="n"/>
      <c r="O703" s="69" t="n"/>
      <c r="P703" s="69" t="n"/>
    </row>
    <row r="704" hidden="1" outlineLevel="1" ht="15" customHeight="1" s="15">
      <c r="B704" s="69" t="n"/>
      <c r="C704" s="69" t="n"/>
      <c r="D704" s="69" t="n"/>
      <c r="E704" s="70" t="n"/>
      <c r="F704" s="69" t="n"/>
      <c r="G704" s="69" t="n"/>
      <c r="H704" s="69" t="n"/>
      <c r="I704" s="69" t="n"/>
      <c r="J704" s="69" t="n"/>
      <c r="K704" s="69" t="n"/>
      <c r="L704" s="69" t="n"/>
      <c r="M704" s="69" t="n"/>
      <c r="N704" s="69" t="n"/>
      <c r="O704" s="69" t="n"/>
      <c r="P704" s="69" t="n"/>
    </row>
    <row r="705" hidden="1" outlineLevel="1" ht="15" customHeight="1" s="15">
      <c r="B705" s="69" t="n"/>
      <c r="C705" s="69" t="n"/>
      <c r="D705" s="69" t="n"/>
      <c r="E705" s="70" t="n"/>
      <c r="F705" s="69" t="n"/>
      <c r="G705" s="69" t="n"/>
      <c r="H705" s="69" t="n"/>
      <c r="I705" s="69" t="n"/>
      <c r="J705" s="69" t="n"/>
      <c r="K705" s="69" t="n"/>
      <c r="L705" s="69" t="n"/>
      <c r="M705" s="69" t="n"/>
      <c r="N705" s="69" t="n"/>
      <c r="O705" s="69" t="n"/>
      <c r="P705" s="69" t="n"/>
    </row>
    <row r="706" hidden="1" outlineLevel="1" ht="15" customHeight="1" s="15">
      <c r="B706" s="69" t="n"/>
      <c r="C706" s="69" t="n"/>
      <c r="D706" s="69" t="n"/>
      <c r="E706" s="70" t="n"/>
      <c r="F706" s="69" t="n"/>
      <c r="G706" s="69" t="n"/>
      <c r="H706" s="69" t="n"/>
      <c r="I706" s="69" t="n"/>
      <c r="J706" s="69" t="n"/>
      <c r="K706" s="69" t="n"/>
      <c r="L706" s="69" t="n"/>
      <c r="M706" s="69" t="n"/>
      <c r="N706" s="69" t="n"/>
      <c r="O706" s="69" t="n"/>
      <c r="P706" s="69" t="n"/>
    </row>
    <row r="707" hidden="1" outlineLevel="1" ht="15" customHeight="1" s="15">
      <c r="B707" s="69" t="n"/>
      <c r="C707" s="69" t="n"/>
      <c r="D707" s="69" t="n"/>
      <c r="E707" s="70" t="n"/>
      <c r="F707" s="69" t="n"/>
      <c r="G707" s="69" t="n"/>
      <c r="H707" s="69" t="n"/>
      <c r="I707" s="69" t="n"/>
      <c r="J707" s="69" t="n"/>
      <c r="K707" s="69" t="n"/>
      <c r="L707" s="69" t="n"/>
      <c r="M707" s="69" t="n"/>
      <c r="N707" s="69" t="n"/>
      <c r="O707" s="69" t="n"/>
      <c r="P707" s="69" t="n"/>
    </row>
    <row r="708" hidden="1" outlineLevel="1" ht="15" customHeight="1" s="15">
      <c r="B708" s="69" t="n"/>
      <c r="C708" s="69" t="n"/>
      <c r="D708" s="69" t="n"/>
      <c r="E708" s="70" t="n"/>
      <c r="F708" s="69" t="n"/>
      <c r="G708" s="69" t="n"/>
      <c r="H708" s="69" t="n"/>
      <c r="I708" s="69" t="n"/>
      <c r="J708" s="69" t="n"/>
      <c r="K708" s="69" t="n"/>
      <c r="L708" s="69" t="n"/>
      <c r="M708" s="69" t="n"/>
      <c r="N708" s="69" t="n"/>
      <c r="O708" s="69" t="n"/>
      <c r="P708" s="69" t="n"/>
    </row>
    <row r="709" hidden="1" outlineLevel="1" ht="15" customHeight="1" s="15">
      <c r="B709" s="69" t="n"/>
      <c r="C709" s="69" t="n"/>
      <c r="D709" s="69" t="n"/>
      <c r="E709" s="70" t="n"/>
      <c r="F709" s="69" t="n"/>
      <c r="G709" s="69" t="n"/>
      <c r="H709" s="69" t="n"/>
      <c r="I709" s="69" t="n"/>
      <c r="J709" s="69" t="n"/>
      <c r="K709" s="69" t="n"/>
      <c r="L709" s="69" t="n"/>
      <c r="M709" s="69" t="n"/>
      <c r="N709" s="69" t="n"/>
      <c r="O709" s="69" t="n"/>
      <c r="P709" s="69" t="n"/>
    </row>
    <row r="710" hidden="1" outlineLevel="1" ht="15" customHeight="1" s="15">
      <c r="B710" s="69" t="n"/>
      <c r="C710" s="69" t="n"/>
      <c r="D710" s="69" t="n"/>
      <c r="E710" s="70" t="n"/>
      <c r="F710" s="69" t="n"/>
      <c r="G710" s="69" t="n"/>
      <c r="H710" s="69" t="n"/>
      <c r="I710" s="69" t="n"/>
      <c r="J710" s="69" t="n"/>
      <c r="K710" s="69" t="n"/>
      <c r="L710" s="69" t="n"/>
      <c r="M710" s="69" t="n"/>
      <c r="N710" s="69" t="n"/>
      <c r="O710" s="69" t="n"/>
      <c r="P710" s="69" t="n"/>
    </row>
    <row r="711" hidden="1" outlineLevel="1" ht="15" customHeight="1" s="15">
      <c r="B711" s="69" t="n"/>
      <c r="C711" s="69" t="n"/>
      <c r="D711" s="69" t="n"/>
      <c r="E711" s="70" t="n"/>
      <c r="F711" s="69" t="n"/>
      <c r="G711" s="69" t="n"/>
      <c r="H711" s="69" t="n"/>
      <c r="I711" s="69" t="n"/>
      <c r="J711" s="69" t="n"/>
      <c r="K711" s="69" t="n"/>
      <c r="L711" s="69" t="n"/>
      <c r="M711" s="69" t="n"/>
      <c r="N711" s="69" t="n"/>
      <c r="O711" s="69" t="n"/>
      <c r="P711" s="69" t="n"/>
    </row>
    <row r="712" hidden="1" outlineLevel="1" ht="15" customHeight="1" s="15">
      <c r="B712" s="69" t="n"/>
      <c r="C712" s="69" t="n"/>
      <c r="D712" s="69" t="n"/>
      <c r="E712" s="70" t="n"/>
      <c r="F712" s="69" t="n"/>
      <c r="G712" s="69" t="n"/>
      <c r="H712" s="69" t="n"/>
      <c r="I712" s="69" t="n"/>
      <c r="J712" s="69" t="n"/>
      <c r="K712" s="69" t="n"/>
      <c r="L712" s="69" t="n"/>
      <c r="M712" s="69" t="n"/>
      <c r="N712" s="69" t="n"/>
      <c r="O712" s="69" t="n"/>
      <c r="P712" s="69" t="n"/>
    </row>
    <row r="713" hidden="1" outlineLevel="1" ht="15" customHeight="1" s="15">
      <c r="B713" s="69" t="n"/>
      <c r="C713" s="69" t="n"/>
      <c r="D713" s="69" t="n"/>
      <c r="E713" s="70" t="n"/>
      <c r="F713" s="69" t="n"/>
      <c r="G713" s="69" t="n"/>
      <c r="H713" s="69" t="n"/>
      <c r="I713" s="69" t="n"/>
      <c r="J713" s="69" t="n"/>
      <c r="K713" s="69" t="n"/>
      <c r="L713" s="69" t="n"/>
      <c r="M713" s="69" t="n"/>
      <c r="N713" s="69" t="n"/>
      <c r="O713" s="69" t="n"/>
      <c r="P713" s="69" t="n"/>
    </row>
    <row r="714" hidden="1" outlineLevel="1" ht="15" customHeight="1" s="15">
      <c r="B714" s="69" t="n"/>
      <c r="C714" s="69" t="n"/>
      <c r="D714" s="69" t="n"/>
      <c r="E714" s="70" t="n"/>
      <c r="F714" s="69" t="n"/>
      <c r="G714" s="69" t="n"/>
      <c r="H714" s="69" t="n"/>
      <c r="I714" s="69" t="n"/>
      <c r="J714" s="69" t="n"/>
      <c r="K714" s="69" t="n"/>
      <c r="L714" s="69" t="n"/>
      <c r="M714" s="69" t="n"/>
      <c r="N714" s="69" t="n"/>
      <c r="O714" s="69" t="n"/>
      <c r="P714" s="69" t="n"/>
    </row>
    <row r="715" hidden="1" outlineLevel="1" ht="15" customHeight="1" s="15">
      <c r="B715" s="69" t="n"/>
      <c r="C715" s="69" t="n"/>
      <c r="D715" s="69" t="n"/>
      <c r="E715" s="70" t="n"/>
      <c r="F715" s="69" t="n"/>
      <c r="G715" s="69" t="n"/>
      <c r="H715" s="69" t="n"/>
      <c r="I715" s="69" t="n"/>
      <c r="J715" s="69" t="n"/>
      <c r="K715" s="69" t="n"/>
      <c r="L715" s="69" t="n"/>
      <c r="M715" s="69" t="n"/>
      <c r="N715" s="69" t="n"/>
      <c r="O715" s="69" t="n"/>
      <c r="P715" s="69" t="n"/>
    </row>
    <row r="716" hidden="1" outlineLevel="1" ht="15" customHeight="1" s="15">
      <c r="B716" s="69" t="n"/>
      <c r="C716" s="69" t="n"/>
      <c r="D716" s="69" t="n"/>
      <c r="E716" s="70" t="n"/>
      <c r="F716" s="69" t="n"/>
      <c r="G716" s="69" t="n"/>
      <c r="H716" s="69" t="n"/>
      <c r="I716" s="69" t="n"/>
      <c r="J716" s="69" t="n"/>
      <c r="K716" s="69" t="n"/>
      <c r="L716" s="69" t="n"/>
      <c r="M716" s="69" t="n"/>
      <c r="N716" s="69" t="n"/>
      <c r="O716" s="69" t="n"/>
      <c r="P716" s="69" t="n"/>
    </row>
    <row r="717" hidden="1" outlineLevel="1" ht="15" customHeight="1" s="15">
      <c r="B717" s="69" t="n"/>
      <c r="C717" s="69" t="n"/>
      <c r="D717" s="69" t="n"/>
      <c r="E717" s="70" t="n"/>
      <c r="F717" s="69" t="n"/>
      <c r="G717" s="69" t="n"/>
      <c r="H717" s="69" t="n"/>
      <c r="I717" s="69" t="n"/>
      <c r="J717" s="69" t="n"/>
      <c r="K717" s="69" t="n"/>
      <c r="L717" s="69" t="n"/>
      <c r="M717" s="69" t="n"/>
      <c r="N717" s="69" t="n"/>
      <c r="O717" s="69" t="n"/>
      <c r="P717" s="69" t="n"/>
    </row>
    <row r="718" hidden="1" outlineLevel="1" ht="15" customHeight="1" s="15">
      <c r="B718" s="69" t="n"/>
      <c r="C718" s="69" t="n"/>
      <c r="D718" s="69" t="n"/>
      <c r="E718" s="70" t="n"/>
      <c r="F718" s="69" t="n"/>
      <c r="G718" s="69" t="n"/>
      <c r="H718" s="69" t="n"/>
      <c r="I718" s="69" t="n"/>
      <c r="J718" s="69" t="n"/>
      <c r="K718" s="69" t="n"/>
      <c r="L718" s="69" t="n"/>
      <c r="M718" s="69" t="n"/>
      <c r="N718" s="69" t="n"/>
      <c r="O718" s="69" t="n"/>
      <c r="P718" s="69" t="n"/>
    </row>
    <row r="719" hidden="1" outlineLevel="1" ht="15" customHeight="1" s="15">
      <c r="B719" s="69" t="n"/>
      <c r="C719" s="69" t="n"/>
      <c r="D719" s="69" t="n"/>
      <c r="E719" s="70" t="n"/>
      <c r="F719" s="69" t="n"/>
      <c r="G719" s="69" t="n"/>
      <c r="H719" s="69" t="n"/>
      <c r="I719" s="69" t="n"/>
      <c r="J719" s="69" t="n"/>
      <c r="K719" s="69" t="n"/>
      <c r="L719" s="69" t="n"/>
      <c r="M719" s="69" t="n"/>
      <c r="N719" s="69" t="n"/>
      <c r="O719" s="69" t="n"/>
      <c r="P719" s="69" t="n"/>
    </row>
    <row r="720" hidden="1" outlineLevel="1" ht="15" customHeight="1" s="15">
      <c r="B720" s="69" t="n"/>
      <c r="C720" s="69" t="n"/>
      <c r="D720" s="69" t="n"/>
      <c r="E720" s="70" t="n"/>
      <c r="F720" s="69" t="n"/>
      <c r="G720" s="69" t="n"/>
      <c r="H720" s="69" t="n"/>
      <c r="I720" s="69" t="n"/>
      <c r="J720" s="69" t="n"/>
      <c r="K720" s="69" t="n"/>
      <c r="L720" s="69" t="n"/>
      <c r="M720" s="69" t="n"/>
      <c r="N720" s="69" t="n"/>
      <c r="O720" s="69" t="n"/>
      <c r="P720" s="69" t="n"/>
    </row>
    <row r="721" hidden="1" outlineLevel="1" ht="15" customHeight="1" s="15">
      <c r="B721" s="69" t="n"/>
      <c r="C721" s="69" t="n"/>
      <c r="D721" s="69" t="n"/>
      <c r="E721" s="70" t="n"/>
      <c r="F721" s="69" t="n"/>
      <c r="G721" s="69" t="n"/>
      <c r="H721" s="69" t="n"/>
      <c r="I721" s="69" t="n"/>
      <c r="J721" s="69" t="n"/>
      <c r="K721" s="69" t="n"/>
      <c r="L721" s="69" t="n"/>
      <c r="M721" s="69" t="n"/>
      <c r="N721" s="69" t="n"/>
      <c r="O721" s="69" t="n"/>
      <c r="P721" s="69" t="n"/>
    </row>
    <row r="722" hidden="1" outlineLevel="1" ht="15" customHeight="1" s="15">
      <c r="B722" s="69" t="n"/>
      <c r="C722" s="69" t="n"/>
      <c r="D722" s="69" t="n"/>
      <c r="E722" s="70" t="n"/>
      <c r="F722" s="69" t="n"/>
      <c r="G722" s="69" t="n"/>
      <c r="H722" s="69" t="n"/>
      <c r="I722" s="69" t="n"/>
      <c r="J722" s="69" t="n"/>
      <c r="K722" s="69" t="n"/>
      <c r="L722" s="69" t="n"/>
      <c r="M722" s="69" t="n"/>
      <c r="N722" s="69" t="n"/>
      <c r="O722" s="69" t="n"/>
      <c r="P722" s="69" t="n"/>
    </row>
    <row r="723" hidden="1" outlineLevel="1" ht="15" customHeight="1" s="15">
      <c r="B723" s="69" t="n"/>
      <c r="C723" s="69" t="n"/>
      <c r="D723" s="69" t="n"/>
      <c r="E723" s="70" t="n"/>
      <c r="F723" s="69" t="n"/>
      <c r="G723" s="69" t="n"/>
      <c r="H723" s="69" t="n"/>
      <c r="I723" s="69" t="n"/>
      <c r="J723" s="69" t="n"/>
      <c r="K723" s="69" t="n"/>
      <c r="L723" s="69" t="n"/>
      <c r="M723" s="69" t="n"/>
      <c r="N723" s="69" t="n"/>
      <c r="O723" s="69" t="n"/>
      <c r="P723" s="69" t="n"/>
    </row>
    <row r="724" hidden="1" outlineLevel="1" ht="15" customHeight="1" s="15">
      <c r="B724" s="69" t="n"/>
      <c r="C724" s="69" t="n"/>
      <c r="D724" s="69" t="n"/>
      <c r="E724" s="70" t="n"/>
      <c r="F724" s="69" t="n"/>
      <c r="G724" s="69" t="n"/>
      <c r="H724" s="69" t="n"/>
      <c r="I724" s="69" t="n"/>
      <c r="J724" s="69" t="n"/>
      <c r="K724" s="69" t="n"/>
      <c r="L724" s="69" t="n"/>
      <c r="M724" s="69" t="n"/>
      <c r="N724" s="69" t="n"/>
      <c r="O724" s="69" t="n"/>
      <c r="P724" s="69" t="n"/>
    </row>
    <row r="725" hidden="1" outlineLevel="1" ht="15" customHeight="1" s="15">
      <c r="B725" s="69" t="n"/>
      <c r="C725" s="69" t="n"/>
      <c r="D725" s="69" t="n"/>
      <c r="E725" s="70" t="n"/>
      <c r="F725" s="69" t="n"/>
      <c r="G725" s="69" t="n"/>
      <c r="H725" s="69" t="n"/>
      <c r="I725" s="69" t="n"/>
      <c r="J725" s="69" t="n"/>
      <c r="K725" s="69" t="n"/>
      <c r="L725" s="69" t="n"/>
      <c r="M725" s="69" t="n"/>
      <c r="N725" s="69" t="n"/>
      <c r="O725" s="69" t="n"/>
      <c r="P725" s="69" t="n"/>
    </row>
    <row r="726" hidden="1" outlineLevel="1" ht="15" customHeight="1" s="15">
      <c r="B726" s="69" t="n"/>
      <c r="C726" s="69" t="n"/>
      <c r="D726" s="69" t="n"/>
      <c r="E726" s="70" t="n"/>
      <c r="F726" s="69" t="n"/>
      <c r="G726" s="69" t="n"/>
      <c r="H726" s="69" t="n"/>
      <c r="I726" s="69" t="n"/>
      <c r="J726" s="69" t="n"/>
      <c r="K726" s="69" t="n"/>
      <c r="L726" s="69" t="n"/>
      <c r="M726" s="69" t="n"/>
      <c r="N726" s="69" t="n"/>
      <c r="O726" s="69" t="n"/>
      <c r="P726" s="69" t="n"/>
    </row>
    <row r="727" hidden="1" outlineLevel="1" ht="15" customHeight="1" s="15">
      <c r="B727" s="69" t="n"/>
      <c r="C727" s="69" t="n"/>
      <c r="D727" s="69" t="n"/>
      <c r="E727" s="70" t="n"/>
      <c r="F727" s="69" t="n"/>
      <c r="G727" s="69" t="n"/>
      <c r="H727" s="69" t="n"/>
      <c r="I727" s="69" t="n"/>
      <c r="J727" s="69" t="n"/>
      <c r="K727" s="69" t="n"/>
      <c r="L727" s="69" t="n"/>
      <c r="M727" s="69" t="n"/>
      <c r="N727" s="69" t="n"/>
      <c r="O727" s="69" t="n"/>
      <c r="P727" s="69" t="n"/>
    </row>
    <row r="728" hidden="1" outlineLevel="1" ht="15" customHeight="1" s="15">
      <c r="B728" s="69" t="n"/>
      <c r="C728" s="69" t="n"/>
      <c r="D728" s="69" t="n"/>
      <c r="E728" s="70" t="n"/>
      <c r="F728" s="69" t="n"/>
      <c r="G728" s="69" t="n"/>
      <c r="H728" s="69" t="n"/>
      <c r="I728" s="69" t="n"/>
      <c r="J728" s="69" t="n"/>
      <c r="K728" s="69" t="n"/>
      <c r="L728" s="69" t="n"/>
      <c r="M728" s="69" t="n"/>
      <c r="N728" s="69" t="n"/>
      <c r="O728" s="69" t="n"/>
      <c r="P728" s="69" t="n"/>
    </row>
    <row r="729" hidden="1" outlineLevel="1" ht="15" customHeight="1" s="15">
      <c r="B729" s="69" t="n"/>
      <c r="C729" s="69" t="n"/>
      <c r="D729" s="69" t="n"/>
      <c r="E729" s="70" t="n"/>
      <c r="F729" s="69" t="n"/>
      <c r="G729" s="69" t="n"/>
      <c r="H729" s="69" t="n"/>
      <c r="I729" s="69" t="n"/>
      <c r="J729" s="69" t="n"/>
      <c r="K729" s="69" t="n"/>
      <c r="L729" s="69" t="n"/>
      <c r="M729" s="69" t="n"/>
      <c r="N729" s="69" t="n"/>
      <c r="O729" s="69" t="n"/>
      <c r="P729" s="69" t="n"/>
    </row>
    <row r="730" collapsed="1" ht="19.5" customHeight="1" s="15">
      <c r="B730" s="6" t="inlineStr">
        <is>
          <t>ℹ  Coller ici (Collage spécial &gt; Valeurs) les lignes agents de JOURNAL pour Novembre — fond bleu-gris = zone d'archive, pas de formule.</t>
        </is>
      </c>
    </row>
    <row r="732" ht="19.5" customHeight="1" s="15">
      <c r="B732" s="4" t="inlineStr">
        <is>
          <t xml:space="preserve">  DÉCEMBRE — bloc à remplir à la clôture</t>
        </is>
      </c>
    </row>
    <row r="733" ht="25.5" customHeight="1" s="15">
      <c r="B733" s="40" t="inlineStr">
        <is>
          <t>Année</t>
        </is>
      </c>
      <c r="C733" s="40" t="inlineStr">
        <is>
          <t>Mois</t>
        </is>
      </c>
      <c r="D733" s="40" t="inlineStr">
        <is>
          <t>Matricule</t>
        </is>
      </c>
      <c r="E733" s="40" t="inlineStr">
        <is>
          <t>Nom</t>
        </is>
      </c>
      <c r="F733" s="40" t="inlineStr">
        <is>
          <t>BRUT</t>
        </is>
      </c>
      <c r="G733" s="40" t="inlineStr">
        <is>
          <t>CNSS salariale</t>
        </is>
      </c>
      <c r="H733" s="40" t="inlineStr">
        <is>
          <t>IPR</t>
        </is>
      </c>
      <c r="I733" s="40" t="inlineStr">
        <is>
          <t>NET avant retenues</t>
        </is>
      </c>
      <c r="J733" s="40" t="inlineStr">
        <is>
          <t>Avance</t>
        </is>
      </c>
      <c r="K733" s="40" t="inlineStr">
        <is>
          <t>Retenues diverses</t>
        </is>
      </c>
      <c r="L733" s="40" t="inlineStr">
        <is>
          <t>NET À PAYER</t>
        </is>
      </c>
      <c r="M733" s="40" t="inlineStr">
        <is>
          <t>CNSS patronale</t>
        </is>
      </c>
      <c r="N733" s="40" t="inlineStr">
        <is>
          <t>INPP</t>
        </is>
      </c>
      <c r="O733" s="40" t="inlineStr">
        <is>
          <t>ONEM</t>
        </is>
      </c>
      <c r="P733" s="40" t="inlineStr">
        <is>
          <t>Coût total employeur</t>
        </is>
      </c>
    </row>
    <row r="734" hidden="1" outlineLevel="1" ht="15" customHeight="1" s="15">
      <c r="B734" s="69" t="n"/>
      <c r="C734" s="69" t="n"/>
      <c r="D734" s="69" t="n"/>
      <c r="E734" s="70" t="n"/>
      <c r="F734" s="69" t="n"/>
      <c r="G734" s="69" t="n"/>
      <c r="H734" s="69" t="n"/>
      <c r="I734" s="69" t="n"/>
      <c r="J734" s="69" t="n"/>
      <c r="K734" s="69" t="n"/>
      <c r="L734" s="69" t="n"/>
      <c r="M734" s="69" t="n"/>
      <c r="N734" s="69" t="n"/>
      <c r="O734" s="69" t="n"/>
      <c r="P734" s="69" t="n"/>
    </row>
    <row r="735" hidden="1" outlineLevel="1" ht="15" customHeight="1" s="15">
      <c r="B735" s="69" t="n"/>
      <c r="C735" s="69" t="n"/>
      <c r="D735" s="69" t="n"/>
      <c r="E735" s="70" t="n"/>
      <c r="F735" s="69" t="n"/>
      <c r="G735" s="69" t="n"/>
      <c r="H735" s="69" t="n"/>
      <c r="I735" s="69" t="n"/>
      <c r="J735" s="69" t="n"/>
      <c r="K735" s="69" t="n"/>
      <c r="L735" s="69" t="n"/>
      <c r="M735" s="69" t="n"/>
      <c r="N735" s="69" t="n"/>
      <c r="O735" s="69" t="n"/>
      <c r="P735" s="69" t="n"/>
    </row>
    <row r="736" hidden="1" outlineLevel="1" ht="15" customHeight="1" s="15">
      <c r="B736" s="69" t="n"/>
      <c r="C736" s="69" t="n"/>
      <c r="D736" s="69" t="n"/>
      <c r="E736" s="70" t="n"/>
      <c r="F736" s="69" t="n"/>
      <c r="G736" s="69" t="n"/>
      <c r="H736" s="69" t="n"/>
      <c r="I736" s="69" t="n"/>
      <c r="J736" s="69" t="n"/>
      <c r="K736" s="69" t="n"/>
      <c r="L736" s="69" t="n"/>
      <c r="M736" s="69" t="n"/>
      <c r="N736" s="69" t="n"/>
      <c r="O736" s="69" t="n"/>
      <c r="P736" s="69" t="n"/>
    </row>
    <row r="737" hidden="1" outlineLevel="1" ht="15" customHeight="1" s="15">
      <c r="B737" s="69" t="n"/>
      <c r="C737" s="69" t="n"/>
      <c r="D737" s="69" t="n"/>
      <c r="E737" s="70" t="n"/>
      <c r="F737" s="69" t="n"/>
      <c r="G737" s="69" t="n"/>
      <c r="H737" s="69" t="n"/>
      <c r="I737" s="69" t="n"/>
      <c r="J737" s="69" t="n"/>
      <c r="K737" s="69" t="n"/>
      <c r="L737" s="69" t="n"/>
      <c r="M737" s="69" t="n"/>
      <c r="N737" s="69" t="n"/>
      <c r="O737" s="69" t="n"/>
      <c r="P737" s="69" t="n"/>
    </row>
    <row r="738" hidden="1" outlineLevel="1" ht="15" customHeight="1" s="15">
      <c r="B738" s="69" t="n"/>
      <c r="C738" s="69" t="n"/>
      <c r="D738" s="69" t="n"/>
      <c r="E738" s="70" t="n"/>
      <c r="F738" s="69" t="n"/>
      <c r="G738" s="69" t="n"/>
      <c r="H738" s="69" t="n"/>
      <c r="I738" s="69" t="n"/>
      <c r="J738" s="69" t="n"/>
      <c r="K738" s="69" t="n"/>
      <c r="L738" s="69" t="n"/>
      <c r="M738" s="69" t="n"/>
      <c r="N738" s="69" t="n"/>
      <c r="O738" s="69" t="n"/>
      <c r="P738" s="69" t="n"/>
    </row>
    <row r="739" hidden="1" outlineLevel="1" ht="15" customHeight="1" s="15">
      <c r="B739" s="69" t="n"/>
      <c r="C739" s="69" t="n"/>
      <c r="D739" s="69" t="n"/>
      <c r="E739" s="70" t="n"/>
      <c r="F739" s="69" t="n"/>
      <c r="G739" s="69" t="n"/>
      <c r="H739" s="69" t="n"/>
      <c r="I739" s="69" t="n"/>
      <c r="J739" s="69" t="n"/>
      <c r="K739" s="69" t="n"/>
      <c r="L739" s="69" t="n"/>
      <c r="M739" s="69" t="n"/>
      <c r="N739" s="69" t="n"/>
      <c r="O739" s="69" t="n"/>
      <c r="P739" s="69" t="n"/>
    </row>
    <row r="740" hidden="1" outlineLevel="1" ht="15" customHeight="1" s="15">
      <c r="B740" s="69" t="n"/>
      <c r="C740" s="69" t="n"/>
      <c r="D740" s="69" t="n"/>
      <c r="E740" s="70" t="n"/>
      <c r="F740" s="69" t="n"/>
      <c r="G740" s="69" t="n"/>
      <c r="H740" s="69" t="n"/>
      <c r="I740" s="69" t="n"/>
      <c r="J740" s="69" t="n"/>
      <c r="K740" s="69" t="n"/>
      <c r="L740" s="69" t="n"/>
      <c r="M740" s="69" t="n"/>
      <c r="N740" s="69" t="n"/>
      <c r="O740" s="69" t="n"/>
      <c r="P740" s="69" t="n"/>
    </row>
    <row r="741" hidden="1" outlineLevel="1" ht="15" customHeight="1" s="15">
      <c r="B741" s="69" t="n"/>
      <c r="C741" s="69" t="n"/>
      <c r="D741" s="69" t="n"/>
      <c r="E741" s="70" t="n"/>
      <c r="F741" s="69" t="n"/>
      <c r="G741" s="69" t="n"/>
      <c r="H741" s="69" t="n"/>
      <c r="I741" s="69" t="n"/>
      <c r="J741" s="69" t="n"/>
      <c r="K741" s="69" t="n"/>
      <c r="L741" s="69" t="n"/>
      <c r="M741" s="69" t="n"/>
      <c r="N741" s="69" t="n"/>
      <c r="O741" s="69" t="n"/>
      <c r="P741" s="69" t="n"/>
    </row>
    <row r="742" hidden="1" outlineLevel="1" ht="15" customHeight="1" s="15">
      <c r="B742" s="69" t="n"/>
      <c r="C742" s="69" t="n"/>
      <c r="D742" s="69" t="n"/>
      <c r="E742" s="70" t="n"/>
      <c r="F742" s="69" t="n"/>
      <c r="G742" s="69" t="n"/>
      <c r="H742" s="69" t="n"/>
      <c r="I742" s="69" t="n"/>
      <c r="J742" s="69" t="n"/>
      <c r="K742" s="69" t="n"/>
      <c r="L742" s="69" t="n"/>
      <c r="M742" s="69" t="n"/>
      <c r="N742" s="69" t="n"/>
      <c r="O742" s="69" t="n"/>
      <c r="P742" s="69" t="n"/>
    </row>
    <row r="743" hidden="1" outlineLevel="1" ht="15" customHeight="1" s="15">
      <c r="B743" s="69" t="n"/>
      <c r="C743" s="69" t="n"/>
      <c r="D743" s="69" t="n"/>
      <c r="E743" s="70" t="n"/>
      <c r="F743" s="69" t="n"/>
      <c r="G743" s="69" t="n"/>
      <c r="H743" s="69" t="n"/>
      <c r="I743" s="69" t="n"/>
      <c r="J743" s="69" t="n"/>
      <c r="K743" s="69" t="n"/>
      <c r="L743" s="69" t="n"/>
      <c r="M743" s="69" t="n"/>
      <c r="N743" s="69" t="n"/>
      <c r="O743" s="69" t="n"/>
      <c r="P743" s="69" t="n"/>
    </row>
    <row r="744" hidden="1" outlineLevel="1" ht="15" customHeight="1" s="15">
      <c r="B744" s="69" t="n"/>
      <c r="C744" s="69" t="n"/>
      <c r="D744" s="69" t="n"/>
      <c r="E744" s="70" t="n"/>
      <c r="F744" s="69" t="n"/>
      <c r="G744" s="69" t="n"/>
      <c r="H744" s="69" t="n"/>
      <c r="I744" s="69" t="n"/>
      <c r="J744" s="69" t="n"/>
      <c r="K744" s="69" t="n"/>
      <c r="L744" s="69" t="n"/>
      <c r="M744" s="69" t="n"/>
      <c r="N744" s="69" t="n"/>
      <c r="O744" s="69" t="n"/>
      <c r="P744" s="69" t="n"/>
    </row>
    <row r="745" hidden="1" outlineLevel="1" ht="15" customHeight="1" s="15">
      <c r="B745" s="69" t="n"/>
      <c r="C745" s="69" t="n"/>
      <c r="D745" s="69" t="n"/>
      <c r="E745" s="70" t="n"/>
      <c r="F745" s="69" t="n"/>
      <c r="G745" s="69" t="n"/>
      <c r="H745" s="69" t="n"/>
      <c r="I745" s="69" t="n"/>
      <c r="J745" s="69" t="n"/>
      <c r="K745" s="69" t="n"/>
      <c r="L745" s="69" t="n"/>
      <c r="M745" s="69" t="n"/>
      <c r="N745" s="69" t="n"/>
      <c r="O745" s="69" t="n"/>
      <c r="P745" s="69" t="n"/>
    </row>
    <row r="746" hidden="1" outlineLevel="1" ht="15" customHeight="1" s="15">
      <c r="B746" s="69" t="n"/>
      <c r="C746" s="69" t="n"/>
      <c r="D746" s="69" t="n"/>
      <c r="E746" s="70" t="n"/>
      <c r="F746" s="69" t="n"/>
      <c r="G746" s="69" t="n"/>
      <c r="H746" s="69" t="n"/>
      <c r="I746" s="69" t="n"/>
      <c r="J746" s="69" t="n"/>
      <c r="K746" s="69" t="n"/>
      <c r="L746" s="69" t="n"/>
      <c r="M746" s="69" t="n"/>
      <c r="N746" s="69" t="n"/>
      <c r="O746" s="69" t="n"/>
      <c r="P746" s="69" t="n"/>
    </row>
    <row r="747" hidden="1" outlineLevel="1" ht="15" customHeight="1" s="15">
      <c r="B747" s="69" t="n"/>
      <c r="C747" s="69" t="n"/>
      <c r="D747" s="69" t="n"/>
      <c r="E747" s="70" t="n"/>
      <c r="F747" s="69" t="n"/>
      <c r="G747" s="69" t="n"/>
      <c r="H747" s="69" t="n"/>
      <c r="I747" s="69" t="n"/>
      <c r="J747" s="69" t="n"/>
      <c r="K747" s="69" t="n"/>
      <c r="L747" s="69" t="n"/>
      <c r="M747" s="69" t="n"/>
      <c r="N747" s="69" t="n"/>
      <c r="O747" s="69" t="n"/>
      <c r="P747" s="69" t="n"/>
    </row>
    <row r="748" hidden="1" outlineLevel="1" ht="15" customHeight="1" s="15">
      <c r="B748" s="69" t="n"/>
      <c r="C748" s="69" t="n"/>
      <c r="D748" s="69" t="n"/>
      <c r="E748" s="70" t="n"/>
      <c r="F748" s="69" t="n"/>
      <c r="G748" s="69" t="n"/>
      <c r="H748" s="69" t="n"/>
      <c r="I748" s="69" t="n"/>
      <c r="J748" s="69" t="n"/>
      <c r="K748" s="69" t="n"/>
      <c r="L748" s="69" t="n"/>
      <c r="M748" s="69" t="n"/>
      <c r="N748" s="69" t="n"/>
      <c r="O748" s="69" t="n"/>
      <c r="P748" s="69" t="n"/>
    </row>
    <row r="749" hidden="1" outlineLevel="1" ht="15" customHeight="1" s="15">
      <c r="B749" s="69" t="n"/>
      <c r="C749" s="69" t="n"/>
      <c r="D749" s="69" t="n"/>
      <c r="E749" s="70" t="n"/>
      <c r="F749" s="69" t="n"/>
      <c r="G749" s="69" t="n"/>
      <c r="H749" s="69" t="n"/>
      <c r="I749" s="69" t="n"/>
      <c r="J749" s="69" t="n"/>
      <c r="K749" s="69" t="n"/>
      <c r="L749" s="69" t="n"/>
      <c r="M749" s="69" t="n"/>
      <c r="N749" s="69" t="n"/>
      <c r="O749" s="69" t="n"/>
      <c r="P749" s="69" t="n"/>
    </row>
    <row r="750" hidden="1" outlineLevel="1" ht="15" customHeight="1" s="15">
      <c r="B750" s="69" t="n"/>
      <c r="C750" s="69" t="n"/>
      <c r="D750" s="69" t="n"/>
      <c r="E750" s="70" t="n"/>
      <c r="F750" s="69" t="n"/>
      <c r="G750" s="69" t="n"/>
      <c r="H750" s="69" t="n"/>
      <c r="I750" s="69" t="n"/>
      <c r="J750" s="69" t="n"/>
      <c r="K750" s="69" t="n"/>
      <c r="L750" s="69" t="n"/>
      <c r="M750" s="69" t="n"/>
      <c r="N750" s="69" t="n"/>
      <c r="O750" s="69" t="n"/>
      <c r="P750" s="69" t="n"/>
    </row>
    <row r="751" hidden="1" outlineLevel="1" ht="15" customHeight="1" s="15">
      <c r="B751" s="69" t="n"/>
      <c r="C751" s="69" t="n"/>
      <c r="D751" s="69" t="n"/>
      <c r="E751" s="70" t="n"/>
      <c r="F751" s="69" t="n"/>
      <c r="G751" s="69" t="n"/>
      <c r="H751" s="69" t="n"/>
      <c r="I751" s="69" t="n"/>
      <c r="J751" s="69" t="n"/>
      <c r="K751" s="69" t="n"/>
      <c r="L751" s="69" t="n"/>
      <c r="M751" s="69" t="n"/>
      <c r="N751" s="69" t="n"/>
      <c r="O751" s="69" t="n"/>
      <c r="P751" s="69" t="n"/>
    </row>
    <row r="752" hidden="1" outlineLevel="1" ht="15" customHeight="1" s="15">
      <c r="B752" s="69" t="n"/>
      <c r="C752" s="69" t="n"/>
      <c r="D752" s="69" t="n"/>
      <c r="E752" s="70" t="n"/>
      <c r="F752" s="69" t="n"/>
      <c r="G752" s="69" t="n"/>
      <c r="H752" s="69" t="n"/>
      <c r="I752" s="69" t="n"/>
      <c r="J752" s="69" t="n"/>
      <c r="K752" s="69" t="n"/>
      <c r="L752" s="69" t="n"/>
      <c r="M752" s="69" t="n"/>
      <c r="N752" s="69" t="n"/>
      <c r="O752" s="69" t="n"/>
      <c r="P752" s="69" t="n"/>
    </row>
    <row r="753" hidden="1" outlineLevel="1" ht="15" customHeight="1" s="15">
      <c r="B753" s="69" t="n"/>
      <c r="C753" s="69" t="n"/>
      <c r="D753" s="69" t="n"/>
      <c r="E753" s="70" t="n"/>
      <c r="F753" s="69" t="n"/>
      <c r="G753" s="69" t="n"/>
      <c r="H753" s="69" t="n"/>
      <c r="I753" s="69" t="n"/>
      <c r="J753" s="69" t="n"/>
      <c r="K753" s="69" t="n"/>
      <c r="L753" s="69" t="n"/>
      <c r="M753" s="69" t="n"/>
      <c r="N753" s="69" t="n"/>
      <c r="O753" s="69" t="n"/>
      <c r="P753" s="69" t="n"/>
    </row>
    <row r="754" hidden="1" outlineLevel="1" ht="15" customHeight="1" s="15">
      <c r="B754" s="69" t="n"/>
      <c r="C754" s="69" t="n"/>
      <c r="D754" s="69" t="n"/>
      <c r="E754" s="70" t="n"/>
      <c r="F754" s="69" t="n"/>
      <c r="G754" s="69" t="n"/>
      <c r="H754" s="69" t="n"/>
      <c r="I754" s="69" t="n"/>
      <c r="J754" s="69" t="n"/>
      <c r="K754" s="69" t="n"/>
      <c r="L754" s="69" t="n"/>
      <c r="M754" s="69" t="n"/>
      <c r="N754" s="69" t="n"/>
      <c r="O754" s="69" t="n"/>
      <c r="P754" s="69" t="n"/>
    </row>
    <row r="755" hidden="1" outlineLevel="1" ht="15" customHeight="1" s="15">
      <c r="B755" s="69" t="n"/>
      <c r="C755" s="69" t="n"/>
      <c r="D755" s="69" t="n"/>
      <c r="E755" s="70" t="n"/>
      <c r="F755" s="69" t="n"/>
      <c r="G755" s="69" t="n"/>
      <c r="H755" s="69" t="n"/>
      <c r="I755" s="69" t="n"/>
      <c r="J755" s="69" t="n"/>
      <c r="K755" s="69" t="n"/>
      <c r="L755" s="69" t="n"/>
      <c r="M755" s="69" t="n"/>
      <c r="N755" s="69" t="n"/>
      <c r="O755" s="69" t="n"/>
      <c r="P755" s="69" t="n"/>
    </row>
    <row r="756" hidden="1" outlineLevel="1" ht="15" customHeight="1" s="15">
      <c r="B756" s="69" t="n"/>
      <c r="C756" s="69" t="n"/>
      <c r="D756" s="69" t="n"/>
      <c r="E756" s="70" t="n"/>
      <c r="F756" s="69" t="n"/>
      <c r="G756" s="69" t="n"/>
      <c r="H756" s="69" t="n"/>
      <c r="I756" s="69" t="n"/>
      <c r="J756" s="69" t="n"/>
      <c r="K756" s="69" t="n"/>
      <c r="L756" s="69" t="n"/>
      <c r="M756" s="69" t="n"/>
      <c r="N756" s="69" t="n"/>
      <c r="O756" s="69" t="n"/>
      <c r="P756" s="69" t="n"/>
    </row>
    <row r="757" hidden="1" outlineLevel="1" ht="15" customHeight="1" s="15">
      <c r="B757" s="69" t="n"/>
      <c r="C757" s="69" t="n"/>
      <c r="D757" s="69" t="n"/>
      <c r="E757" s="70" t="n"/>
      <c r="F757" s="69" t="n"/>
      <c r="G757" s="69" t="n"/>
      <c r="H757" s="69" t="n"/>
      <c r="I757" s="69" t="n"/>
      <c r="J757" s="69" t="n"/>
      <c r="K757" s="69" t="n"/>
      <c r="L757" s="69" t="n"/>
      <c r="M757" s="69" t="n"/>
      <c r="N757" s="69" t="n"/>
      <c r="O757" s="69" t="n"/>
      <c r="P757" s="69" t="n"/>
    </row>
    <row r="758" hidden="1" outlineLevel="1" ht="15" customHeight="1" s="15">
      <c r="B758" s="69" t="n"/>
      <c r="C758" s="69" t="n"/>
      <c r="D758" s="69" t="n"/>
      <c r="E758" s="70" t="n"/>
      <c r="F758" s="69" t="n"/>
      <c r="G758" s="69" t="n"/>
      <c r="H758" s="69" t="n"/>
      <c r="I758" s="69" t="n"/>
      <c r="J758" s="69" t="n"/>
      <c r="K758" s="69" t="n"/>
      <c r="L758" s="69" t="n"/>
      <c r="M758" s="69" t="n"/>
      <c r="N758" s="69" t="n"/>
      <c r="O758" s="69" t="n"/>
      <c r="P758" s="69" t="n"/>
    </row>
    <row r="759" hidden="1" outlineLevel="1" ht="15" customHeight="1" s="15">
      <c r="B759" s="69" t="n"/>
      <c r="C759" s="69" t="n"/>
      <c r="D759" s="69" t="n"/>
      <c r="E759" s="70" t="n"/>
      <c r="F759" s="69" t="n"/>
      <c r="G759" s="69" t="n"/>
      <c r="H759" s="69" t="n"/>
      <c r="I759" s="69" t="n"/>
      <c r="J759" s="69" t="n"/>
      <c r="K759" s="69" t="n"/>
      <c r="L759" s="69" t="n"/>
      <c r="M759" s="69" t="n"/>
      <c r="N759" s="69" t="n"/>
      <c r="O759" s="69" t="n"/>
      <c r="P759" s="69" t="n"/>
    </row>
    <row r="760" hidden="1" outlineLevel="1" ht="15" customHeight="1" s="15">
      <c r="B760" s="69" t="n"/>
      <c r="C760" s="69" t="n"/>
      <c r="D760" s="69" t="n"/>
      <c r="E760" s="70" t="n"/>
      <c r="F760" s="69" t="n"/>
      <c r="G760" s="69" t="n"/>
      <c r="H760" s="69" t="n"/>
      <c r="I760" s="69" t="n"/>
      <c r="J760" s="69" t="n"/>
      <c r="K760" s="69" t="n"/>
      <c r="L760" s="69" t="n"/>
      <c r="M760" s="69" t="n"/>
      <c r="N760" s="69" t="n"/>
      <c r="O760" s="69" t="n"/>
      <c r="P760" s="69" t="n"/>
    </row>
    <row r="761" hidden="1" outlineLevel="1" ht="15" customHeight="1" s="15">
      <c r="B761" s="69" t="n"/>
      <c r="C761" s="69" t="n"/>
      <c r="D761" s="69" t="n"/>
      <c r="E761" s="70" t="n"/>
      <c r="F761" s="69" t="n"/>
      <c r="G761" s="69" t="n"/>
      <c r="H761" s="69" t="n"/>
      <c r="I761" s="69" t="n"/>
      <c r="J761" s="69" t="n"/>
      <c r="K761" s="69" t="n"/>
      <c r="L761" s="69" t="n"/>
      <c r="M761" s="69" t="n"/>
      <c r="N761" s="69" t="n"/>
      <c r="O761" s="69" t="n"/>
      <c r="P761" s="69" t="n"/>
    </row>
    <row r="762" hidden="1" outlineLevel="1" ht="15" customHeight="1" s="15">
      <c r="B762" s="69" t="n"/>
      <c r="C762" s="69" t="n"/>
      <c r="D762" s="69" t="n"/>
      <c r="E762" s="70" t="n"/>
      <c r="F762" s="69" t="n"/>
      <c r="G762" s="69" t="n"/>
      <c r="H762" s="69" t="n"/>
      <c r="I762" s="69" t="n"/>
      <c r="J762" s="69" t="n"/>
      <c r="K762" s="69" t="n"/>
      <c r="L762" s="69" t="n"/>
      <c r="M762" s="69" t="n"/>
      <c r="N762" s="69" t="n"/>
      <c r="O762" s="69" t="n"/>
      <c r="P762" s="69" t="n"/>
    </row>
    <row r="763" hidden="1" outlineLevel="1" ht="15" customHeight="1" s="15">
      <c r="B763" s="69" t="n"/>
      <c r="C763" s="69" t="n"/>
      <c r="D763" s="69" t="n"/>
      <c r="E763" s="70" t="n"/>
      <c r="F763" s="69" t="n"/>
      <c r="G763" s="69" t="n"/>
      <c r="H763" s="69" t="n"/>
      <c r="I763" s="69" t="n"/>
      <c r="J763" s="69" t="n"/>
      <c r="K763" s="69" t="n"/>
      <c r="L763" s="69" t="n"/>
      <c r="M763" s="69" t="n"/>
      <c r="N763" s="69" t="n"/>
      <c r="O763" s="69" t="n"/>
      <c r="P763" s="69" t="n"/>
    </row>
    <row r="764" hidden="1" outlineLevel="1" ht="15" customHeight="1" s="15">
      <c r="B764" s="69" t="n"/>
      <c r="C764" s="69" t="n"/>
      <c r="D764" s="69" t="n"/>
      <c r="E764" s="70" t="n"/>
      <c r="F764" s="69" t="n"/>
      <c r="G764" s="69" t="n"/>
      <c r="H764" s="69" t="n"/>
      <c r="I764" s="69" t="n"/>
      <c r="J764" s="69" t="n"/>
      <c r="K764" s="69" t="n"/>
      <c r="L764" s="69" t="n"/>
      <c r="M764" s="69" t="n"/>
      <c r="N764" s="69" t="n"/>
      <c r="O764" s="69" t="n"/>
      <c r="P764" s="69" t="n"/>
    </row>
    <row r="765" hidden="1" outlineLevel="1" ht="15" customHeight="1" s="15">
      <c r="B765" s="69" t="n"/>
      <c r="C765" s="69" t="n"/>
      <c r="D765" s="69" t="n"/>
      <c r="E765" s="70" t="n"/>
      <c r="F765" s="69" t="n"/>
      <c r="G765" s="69" t="n"/>
      <c r="H765" s="69" t="n"/>
      <c r="I765" s="69" t="n"/>
      <c r="J765" s="69" t="n"/>
      <c r="K765" s="69" t="n"/>
      <c r="L765" s="69" t="n"/>
      <c r="M765" s="69" t="n"/>
      <c r="N765" s="69" t="n"/>
      <c r="O765" s="69" t="n"/>
      <c r="P765" s="69" t="n"/>
    </row>
    <row r="766" hidden="1" outlineLevel="1" ht="15" customHeight="1" s="15">
      <c r="B766" s="69" t="n"/>
      <c r="C766" s="69" t="n"/>
      <c r="D766" s="69" t="n"/>
      <c r="E766" s="70" t="n"/>
      <c r="F766" s="69" t="n"/>
      <c r="G766" s="69" t="n"/>
      <c r="H766" s="69" t="n"/>
      <c r="I766" s="69" t="n"/>
      <c r="J766" s="69" t="n"/>
      <c r="K766" s="69" t="n"/>
      <c r="L766" s="69" t="n"/>
      <c r="M766" s="69" t="n"/>
      <c r="N766" s="69" t="n"/>
      <c r="O766" s="69" t="n"/>
      <c r="P766" s="69" t="n"/>
    </row>
    <row r="767" hidden="1" outlineLevel="1" ht="15" customHeight="1" s="15">
      <c r="B767" s="69" t="n"/>
      <c r="C767" s="69" t="n"/>
      <c r="D767" s="69" t="n"/>
      <c r="E767" s="70" t="n"/>
      <c r="F767" s="69" t="n"/>
      <c r="G767" s="69" t="n"/>
      <c r="H767" s="69" t="n"/>
      <c r="I767" s="69" t="n"/>
      <c r="J767" s="69" t="n"/>
      <c r="K767" s="69" t="n"/>
      <c r="L767" s="69" t="n"/>
      <c r="M767" s="69" t="n"/>
      <c r="N767" s="69" t="n"/>
      <c r="O767" s="69" t="n"/>
      <c r="P767" s="69" t="n"/>
    </row>
    <row r="768" hidden="1" outlineLevel="1" ht="15" customHeight="1" s="15">
      <c r="B768" s="69" t="n"/>
      <c r="C768" s="69" t="n"/>
      <c r="D768" s="69" t="n"/>
      <c r="E768" s="70" t="n"/>
      <c r="F768" s="69" t="n"/>
      <c r="G768" s="69" t="n"/>
      <c r="H768" s="69" t="n"/>
      <c r="I768" s="69" t="n"/>
      <c r="J768" s="69" t="n"/>
      <c r="K768" s="69" t="n"/>
      <c r="L768" s="69" t="n"/>
      <c r="M768" s="69" t="n"/>
      <c r="N768" s="69" t="n"/>
      <c r="O768" s="69" t="n"/>
      <c r="P768" s="69" t="n"/>
    </row>
    <row r="769" hidden="1" outlineLevel="1" ht="15" customHeight="1" s="15">
      <c r="B769" s="69" t="n"/>
      <c r="C769" s="69" t="n"/>
      <c r="D769" s="69" t="n"/>
      <c r="E769" s="70" t="n"/>
      <c r="F769" s="69" t="n"/>
      <c r="G769" s="69" t="n"/>
      <c r="H769" s="69" t="n"/>
      <c r="I769" s="69" t="n"/>
      <c r="J769" s="69" t="n"/>
      <c r="K769" s="69" t="n"/>
      <c r="L769" s="69" t="n"/>
      <c r="M769" s="69" t="n"/>
      <c r="N769" s="69" t="n"/>
      <c r="O769" s="69" t="n"/>
      <c r="P769" s="69" t="n"/>
    </row>
    <row r="770" hidden="1" outlineLevel="1" ht="15" customHeight="1" s="15">
      <c r="B770" s="69" t="n"/>
      <c r="C770" s="69" t="n"/>
      <c r="D770" s="69" t="n"/>
      <c r="E770" s="70" t="n"/>
      <c r="F770" s="69" t="n"/>
      <c r="G770" s="69" t="n"/>
      <c r="H770" s="69" t="n"/>
      <c r="I770" s="69" t="n"/>
      <c r="J770" s="69" t="n"/>
      <c r="K770" s="69" t="n"/>
      <c r="L770" s="69" t="n"/>
      <c r="M770" s="69" t="n"/>
      <c r="N770" s="69" t="n"/>
      <c r="O770" s="69" t="n"/>
      <c r="P770" s="69" t="n"/>
    </row>
    <row r="771" hidden="1" outlineLevel="1" ht="15" customHeight="1" s="15">
      <c r="B771" s="69" t="n"/>
      <c r="C771" s="69" t="n"/>
      <c r="D771" s="69" t="n"/>
      <c r="E771" s="70" t="n"/>
      <c r="F771" s="69" t="n"/>
      <c r="G771" s="69" t="n"/>
      <c r="H771" s="69" t="n"/>
      <c r="I771" s="69" t="n"/>
      <c r="J771" s="69" t="n"/>
      <c r="K771" s="69" t="n"/>
      <c r="L771" s="69" t="n"/>
      <c r="M771" s="69" t="n"/>
      <c r="N771" s="69" t="n"/>
      <c r="O771" s="69" t="n"/>
      <c r="P771" s="69" t="n"/>
    </row>
    <row r="772" hidden="1" outlineLevel="1" ht="15" customHeight="1" s="15">
      <c r="B772" s="69" t="n"/>
      <c r="C772" s="69" t="n"/>
      <c r="D772" s="69" t="n"/>
      <c r="E772" s="70" t="n"/>
      <c r="F772" s="69" t="n"/>
      <c r="G772" s="69" t="n"/>
      <c r="H772" s="69" t="n"/>
      <c r="I772" s="69" t="n"/>
      <c r="J772" s="69" t="n"/>
      <c r="K772" s="69" t="n"/>
      <c r="L772" s="69" t="n"/>
      <c r="M772" s="69" t="n"/>
      <c r="N772" s="69" t="n"/>
      <c r="O772" s="69" t="n"/>
      <c r="P772" s="69" t="n"/>
    </row>
    <row r="773" hidden="1" outlineLevel="1" ht="15" customHeight="1" s="15">
      <c r="B773" s="69" t="n"/>
      <c r="C773" s="69" t="n"/>
      <c r="D773" s="69" t="n"/>
      <c r="E773" s="70" t="n"/>
      <c r="F773" s="69" t="n"/>
      <c r="G773" s="69" t="n"/>
      <c r="H773" s="69" t="n"/>
      <c r="I773" s="69" t="n"/>
      <c r="J773" s="69" t="n"/>
      <c r="K773" s="69" t="n"/>
      <c r="L773" s="69" t="n"/>
      <c r="M773" s="69" t="n"/>
      <c r="N773" s="69" t="n"/>
      <c r="O773" s="69" t="n"/>
      <c r="P773" s="69" t="n"/>
    </row>
    <row r="774" hidden="1" outlineLevel="1" ht="15" customHeight="1" s="15">
      <c r="B774" s="69" t="n"/>
      <c r="C774" s="69" t="n"/>
      <c r="D774" s="69" t="n"/>
      <c r="E774" s="70" t="n"/>
      <c r="F774" s="69" t="n"/>
      <c r="G774" s="69" t="n"/>
      <c r="H774" s="69" t="n"/>
      <c r="I774" s="69" t="n"/>
      <c r="J774" s="69" t="n"/>
      <c r="K774" s="69" t="n"/>
      <c r="L774" s="69" t="n"/>
      <c r="M774" s="69" t="n"/>
      <c r="N774" s="69" t="n"/>
      <c r="O774" s="69" t="n"/>
      <c r="P774" s="69" t="n"/>
    </row>
    <row r="775" hidden="1" outlineLevel="1" ht="15" customHeight="1" s="15">
      <c r="B775" s="69" t="n"/>
      <c r="C775" s="69" t="n"/>
      <c r="D775" s="69" t="n"/>
      <c r="E775" s="70" t="n"/>
      <c r="F775" s="69" t="n"/>
      <c r="G775" s="69" t="n"/>
      <c r="H775" s="69" t="n"/>
      <c r="I775" s="69" t="n"/>
      <c r="J775" s="69" t="n"/>
      <c r="K775" s="69" t="n"/>
      <c r="L775" s="69" t="n"/>
      <c r="M775" s="69" t="n"/>
      <c r="N775" s="69" t="n"/>
      <c r="O775" s="69" t="n"/>
      <c r="P775" s="69" t="n"/>
    </row>
    <row r="776" hidden="1" outlineLevel="1" ht="15" customHeight="1" s="15">
      <c r="B776" s="69" t="n"/>
      <c r="C776" s="69" t="n"/>
      <c r="D776" s="69" t="n"/>
      <c r="E776" s="70" t="n"/>
      <c r="F776" s="69" t="n"/>
      <c r="G776" s="69" t="n"/>
      <c r="H776" s="69" t="n"/>
      <c r="I776" s="69" t="n"/>
      <c r="J776" s="69" t="n"/>
      <c r="K776" s="69" t="n"/>
      <c r="L776" s="69" t="n"/>
      <c r="M776" s="69" t="n"/>
      <c r="N776" s="69" t="n"/>
      <c r="O776" s="69" t="n"/>
      <c r="P776" s="69" t="n"/>
    </row>
    <row r="777" hidden="1" outlineLevel="1" ht="15" customHeight="1" s="15">
      <c r="B777" s="69" t="n"/>
      <c r="C777" s="69" t="n"/>
      <c r="D777" s="69" t="n"/>
      <c r="E777" s="70" t="n"/>
      <c r="F777" s="69" t="n"/>
      <c r="G777" s="69" t="n"/>
      <c r="H777" s="69" t="n"/>
      <c r="I777" s="69" t="n"/>
      <c r="J777" s="69" t="n"/>
      <c r="K777" s="69" t="n"/>
      <c r="L777" s="69" t="n"/>
      <c r="M777" s="69" t="n"/>
      <c r="N777" s="69" t="n"/>
      <c r="O777" s="69" t="n"/>
      <c r="P777" s="69" t="n"/>
    </row>
    <row r="778" hidden="1" outlineLevel="1" ht="15" customHeight="1" s="15">
      <c r="B778" s="69" t="n"/>
      <c r="C778" s="69" t="n"/>
      <c r="D778" s="69" t="n"/>
      <c r="E778" s="70" t="n"/>
      <c r="F778" s="69" t="n"/>
      <c r="G778" s="69" t="n"/>
      <c r="H778" s="69" t="n"/>
      <c r="I778" s="69" t="n"/>
      <c r="J778" s="69" t="n"/>
      <c r="K778" s="69" t="n"/>
      <c r="L778" s="69" t="n"/>
      <c r="M778" s="69" t="n"/>
      <c r="N778" s="69" t="n"/>
      <c r="O778" s="69" t="n"/>
      <c r="P778" s="69" t="n"/>
    </row>
    <row r="779" hidden="1" outlineLevel="1" ht="15" customHeight="1" s="15">
      <c r="B779" s="69" t="n"/>
      <c r="C779" s="69" t="n"/>
      <c r="D779" s="69" t="n"/>
      <c r="E779" s="70" t="n"/>
      <c r="F779" s="69" t="n"/>
      <c r="G779" s="69" t="n"/>
      <c r="H779" s="69" t="n"/>
      <c r="I779" s="69" t="n"/>
      <c r="J779" s="69" t="n"/>
      <c r="K779" s="69" t="n"/>
      <c r="L779" s="69" t="n"/>
      <c r="M779" s="69" t="n"/>
      <c r="N779" s="69" t="n"/>
      <c r="O779" s="69" t="n"/>
      <c r="P779" s="69" t="n"/>
    </row>
    <row r="780" hidden="1" outlineLevel="1" ht="15" customHeight="1" s="15">
      <c r="B780" s="69" t="n"/>
      <c r="C780" s="69" t="n"/>
      <c r="D780" s="69" t="n"/>
      <c r="E780" s="70" t="n"/>
      <c r="F780" s="69" t="n"/>
      <c r="G780" s="69" t="n"/>
      <c r="H780" s="69" t="n"/>
      <c r="I780" s="69" t="n"/>
      <c r="J780" s="69" t="n"/>
      <c r="K780" s="69" t="n"/>
      <c r="L780" s="69" t="n"/>
      <c r="M780" s="69" t="n"/>
      <c r="N780" s="69" t="n"/>
      <c r="O780" s="69" t="n"/>
      <c r="P780" s="69" t="n"/>
    </row>
    <row r="781" hidden="1" outlineLevel="1" ht="15" customHeight="1" s="15">
      <c r="B781" s="69" t="n"/>
      <c r="C781" s="69" t="n"/>
      <c r="D781" s="69" t="n"/>
      <c r="E781" s="70" t="n"/>
      <c r="F781" s="69" t="n"/>
      <c r="G781" s="69" t="n"/>
      <c r="H781" s="69" t="n"/>
      <c r="I781" s="69" t="n"/>
      <c r="J781" s="69" t="n"/>
      <c r="K781" s="69" t="n"/>
      <c r="L781" s="69" t="n"/>
      <c r="M781" s="69" t="n"/>
      <c r="N781" s="69" t="n"/>
      <c r="O781" s="69" t="n"/>
      <c r="P781" s="69" t="n"/>
    </row>
    <row r="782" hidden="1" outlineLevel="1" ht="15" customHeight="1" s="15">
      <c r="B782" s="69" t="n"/>
      <c r="C782" s="69" t="n"/>
      <c r="D782" s="69" t="n"/>
      <c r="E782" s="70" t="n"/>
      <c r="F782" s="69" t="n"/>
      <c r="G782" s="69" t="n"/>
      <c r="H782" s="69" t="n"/>
      <c r="I782" s="69" t="n"/>
      <c r="J782" s="69" t="n"/>
      <c r="K782" s="69" t="n"/>
      <c r="L782" s="69" t="n"/>
      <c r="M782" s="69" t="n"/>
      <c r="N782" s="69" t="n"/>
      <c r="O782" s="69" t="n"/>
      <c r="P782" s="69" t="n"/>
    </row>
    <row r="783" hidden="1" outlineLevel="1" ht="15" customHeight="1" s="15">
      <c r="B783" s="69" t="n"/>
      <c r="C783" s="69" t="n"/>
      <c r="D783" s="69" t="n"/>
      <c r="E783" s="70" t="n"/>
      <c r="F783" s="69" t="n"/>
      <c r="G783" s="69" t="n"/>
      <c r="H783" s="69" t="n"/>
      <c r="I783" s="69" t="n"/>
      <c r="J783" s="69" t="n"/>
      <c r="K783" s="69" t="n"/>
      <c r="L783" s="69" t="n"/>
      <c r="M783" s="69" t="n"/>
      <c r="N783" s="69" t="n"/>
      <c r="O783" s="69" t="n"/>
      <c r="P783" s="69" t="n"/>
    </row>
    <row r="784" hidden="1" outlineLevel="1" ht="15" customHeight="1" s="15">
      <c r="B784" s="69" t="n"/>
      <c r="C784" s="69" t="n"/>
      <c r="D784" s="69" t="n"/>
      <c r="E784" s="70" t="n"/>
      <c r="F784" s="69" t="n"/>
      <c r="G784" s="69" t="n"/>
      <c r="H784" s="69" t="n"/>
      <c r="I784" s="69" t="n"/>
      <c r="J784" s="69" t="n"/>
      <c r="K784" s="69" t="n"/>
      <c r="L784" s="69" t="n"/>
      <c r="M784" s="69" t="n"/>
      <c r="N784" s="69" t="n"/>
      <c r="O784" s="69" t="n"/>
      <c r="P784" s="69" t="n"/>
    </row>
    <row r="785" hidden="1" outlineLevel="1" ht="15" customHeight="1" s="15">
      <c r="B785" s="69" t="n"/>
      <c r="C785" s="69" t="n"/>
      <c r="D785" s="69" t="n"/>
      <c r="E785" s="70" t="n"/>
      <c r="F785" s="69" t="n"/>
      <c r="G785" s="69" t="n"/>
      <c r="H785" s="69" t="n"/>
      <c r="I785" s="69" t="n"/>
      <c r="J785" s="69" t="n"/>
      <c r="K785" s="69" t="n"/>
      <c r="L785" s="69" t="n"/>
      <c r="M785" s="69" t="n"/>
      <c r="N785" s="69" t="n"/>
      <c r="O785" s="69" t="n"/>
      <c r="P785" s="69" t="n"/>
    </row>
    <row r="786" hidden="1" outlineLevel="1" ht="15" customHeight="1" s="15">
      <c r="B786" s="69" t="n"/>
      <c r="C786" s="69" t="n"/>
      <c r="D786" s="69" t="n"/>
      <c r="E786" s="70" t="n"/>
      <c r="F786" s="69" t="n"/>
      <c r="G786" s="69" t="n"/>
      <c r="H786" s="69" t="n"/>
      <c r="I786" s="69" t="n"/>
      <c r="J786" s="69" t="n"/>
      <c r="K786" s="69" t="n"/>
      <c r="L786" s="69" t="n"/>
      <c r="M786" s="69" t="n"/>
      <c r="N786" s="69" t="n"/>
      <c r="O786" s="69" t="n"/>
      <c r="P786" s="69" t="n"/>
    </row>
    <row r="787" hidden="1" outlineLevel="1" ht="15" customHeight="1" s="15">
      <c r="B787" s="69" t="n"/>
      <c r="C787" s="69" t="n"/>
      <c r="D787" s="69" t="n"/>
      <c r="E787" s="70" t="n"/>
      <c r="F787" s="69" t="n"/>
      <c r="G787" s="69" t="n"/>
      <c r="H787" s="69" t="n"/>
      <c r="I787" s="69" t="n"/>
      <c r="J787" s="69" t="n"/>
      <c r="K787" s="69" t="n"/>
      <c r="L787" s="69" t="n"/>
      <c r="M787" s="69" t="n"/>
      <c r="N787" s="69" t="n"/>
      <c r="O787" s="69" t="n"/>
      <c r="P787" s="69" t="n"/>
    </row>
    <row r="788" hidden="1" outlineLevel="1" ht="15" customHeight="1" s="15">
      <c r="B788" s="69" t="n"/>
      <c r="C788" s="69" t="n"/>
      <c r="D788" s="69" t="n"/>
      <c r="E788" s="70" t="n"/>
      <c r="F788" s="69" t="n"/>
      <c r="G788" s="69" t="n"/>
      <c r="H788" s="69" t="n"/>
      <c r="I788" s="69" t="n"/>
      <c r="J788" s="69" t="n"/>
      <c r="K788" s="69" t="n"/>
      <c r="L788" s="69" t="n"/>
      <c r="M788" s="69" t="n"/>
      <c r="N788" s="69" t="n"/>
      <c r="O788" s="69" t="n"/>
      <c r="P788" s="69" t="n"/>
    </row>
    <row r="789" hidden="1" outlineLevel="1" ht="15" customHeight="1" s="15">
      <c r="B789" s="69" t="n"/>
      <c r="C789" s="69" t="n"/>
      <c r="D789" s="69" t="n"/>
      <c r="E789" s="70" t="n"/>
      <c r="F789" s="69" t="n"/>
      <c r="G789" s="69" t="n"/>
      <c r="H789" s="69" t="n"/>
      <c r="I789" s="69" t="n"/>
      <c r="J789" s="69" t="n"/>
      <c r="K789" s="69" t="n"/>
      <c r="L789" s="69" t="n"/>
      <c r="M789" s="69" t="n"/>
      <c r="N789" s="69" t="n"/>
      <c r="O789" s="69" t="n"/>
      <c r="P789" s="69" t="n"/>
    </row>
    <row r="790" hidden="1" outlineLevel="1" ht="15" customHeight="1" s="15">
      <c r="B790" s="69" t="n"/>
      <c r="C790" s="69" t="n"/>
      <c r="D790" s="69" t="n"/>
      <c r="E790" s="70" t="n"/>
      <c r="F790" s="69" t="n"/>
      <c r="G790" s="69" t="n"/>
      <c r="H790" s="69" t="n"/>
      <c r="I790" s="69" t="n"/>
      <c r="J790" s="69" t="n"/>
      <c r="K790" s="69" t="n"/>
      <c r="L790" s="69" t="n"/>
      <c r="M790" s="69" t="n"/>
      <c r="N790" s="69" t="n"/>
      <c r="O790" s="69" t="n"/>
      <c r="P790" s="69" t="n"/>
    </row>
    <row r="791" hidden="1" outlineLevel="1" ht="15" customHeight="1" s="15">
      <c r="B791" s="69" t="n"/>
      <c r="C791" s="69" t="n"/>
      <c r="D791" s="69" t="n"/>
      <c r="E791" s="70" t="n"/>
      <c r="F791" s="69" t="n"/>
      <c r="G791" s="69" t="n"/>
      <c r="H791" s="69" t="n"/>
      <c r="I791" s="69" t="n"/>
      <c r="J791" s="69" t="n"/>
      <c r="K791" s="69" t="n"/>
      <c r="L791" s="69" t="n"/>
      <c r="M791" s="69" t="n"/>
      <c r="N791" s="69" t="n"/>
      <c r="O791" s="69" t="n"/>
      <c r="P791" s="69" t="n"/>
    </row>
    <row r="792" hidden="1" outlineLevel="1" ht="15" customHeight="1" s="15">
      <c r="B792" s="69" t="n"/>
      <c r="C792" s="69" t="n"/>
      <c r="D792" s="69" t="n"/>
      <c r="E792" s="70" t="n"/>
      <c r="F792" s="69" t="n"/>
      <c r="G792" s="69" t="n"/>
      <c r="H792" s="69" t="n"/>
      <c r="I792" s="69" t="n"/>
      <c r="J792" s="69" t="n"/>
      <c r="K792" s="69" t="n"/>
      <c r="L792" s="69" t="n"/>
      <c r="M792" s="69" t="n"/>
      <c r="N792" s="69" t="n"/>
      <c r="O792" s="69" t="n"/>
      <c r="P792" s="69" t="n"/>
    </row>
    <row r="793" hidden="1" outlineLevel="1" ht="15" customHeight="1" s="15">
      <c r="B793" s="69" t="n"/>
      <c r="C793" s="69" t="n"/>
      <c r="D793" s="69" t="n"/>
      <c r="E793" s="70" t="n"/>
      <c r="F793" s="69" t="n"/>
      <c r="G793" s="69" t="n"/>
      <c r="H793" s="69" t="n"/>
      <c r="I793" s="69" t="n"/>
      <c r="J793" s="69" t="n"/>
      <c r="K793" s="69" t="n"/>
      <c r="L793" s="69" t="n"/>
      <c r="M793" s="69" t="n"/>
      <c r="N793" s="69" t="n"/>
      <c r="O793" s="69" t="n"/>
      <c r="P793" s="69" t="n"/>
    </row>
    <row r="794" collapsed="1" ht="19.5" customHeight="1" s="15">
      <c r="B794" s="6" t="inlineStr">
        <is>
          <t>ℹ  Coller ici (Collage spécial &gt; Valeurs) les lignes agents de JOURNAL pour Décembre — fond bleu-gris = zone d'archive, pas de formule.</t>
        </is>
      </c>
    </row>
  </sheetData>
  <mergeCells count="35">
    <mergeCell ref="B4:R4"/>
    <mergeCell ref="B474:R474"/>
    <mergeCell ref="B7:R7"/>
    <mergeCell ref="B666:R666"/>
    <mergeCell ref="B218:R218"/>
    <mergeCell ref="B156:R156"/>
    <mergeCell ref="B90:R90"/>
    <mergeCell ref="B730:R730"/>
    <mergeCell ref="B282:R282"/>
    <mergeCell ref="B220:R220"/>
    <mergeCell ref="A2:R2"/>
    <mergeCell ref="B12:R12"/>
    <mergeCell ref="B412:R412"/>
    <mergeCell ref="B794:R794"/>
    <mergeCell ref="B346:R346"/>
    <mergeCell ref="B732:R732"/>
    <mergeCell ref="B11:R11"/>
    <mergeCell ref="B538:R538"/>
    <mergeCell ref="B8:R8"/>
    <mergeCell ref="B476:R476"/>
    <mergeCell ref="B28:R28"/>
    <mergeCell ref="B10:R10"/>
    <mergeCell ref="B348:R348"/>
    <mergeCell ref="B410:R410"/>
    <mergeCell ref="B668:R668"/>
    <mergeCell ref="B602:R602"/>
    <mergeCell ref="B9:R9"/>
    <mergeCell ref="B540:R540"/>
    <mergeCell ref="B92:R92"/>
    <mergeCell ref="B6:R6"/>
    <mergeCell ref="B284:R284"/>
    <mergeCell ref="A1:R1"/>
    <mergeCell ref="B5:R5"/>
    <mergeCell ref="B604:R604"/>
    <mergeCell ref="B154:R154"/>
  </mergeCells>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language>en-US</dc:language>
  <dcterms:created xsi:type="dcterms:W3CDTF">2026-07-22T13:07:51Z</dcterms:created>
  <dcterms:modified xsi:type="dcterms:W3CDTF">2026-07-25T19:55:08Z</dcterms:modified>
  <cp:lastModifiedBy>LUISANCE</cp:lastModifiedBy>
  <cp:revision>0</cp:revision>
</cp:coreProperties>
</file>